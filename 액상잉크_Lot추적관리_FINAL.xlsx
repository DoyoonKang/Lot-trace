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14.76\써클기술-잉크기술\잉크기술\111.S관관련\"/>
    </mc:Choice>
  </mc:AlternateContent>
  <bookViews>
    <workbookView xWindow="0" yWindow="0" windowWidth="28800" windowHeight="12225" firstSheet="5" activeTab="9"/>
  </bookViews>
  <sheets>
    <sheet name="Dashboard" sheetId="1" r:id="rId1"/>
    <sheet name="Spec_Binder" sheetId="2" r:id="rId2"/>
    <sheet name="Spec_Single_H&amp;S" sheetId="3" r:id="rId3"/>
    <sheet name="기준LAB" sheetId="5" r:id="rId4"/>
    <sheet name="코드목록" sheetId="7" r:id="rId5"/>
    <sheet name="Lot규칙_단일색" sheetId="8" r:id="rId6"/>
    <sheet name="Binder_Visc" sheetId="10" r:id="rId7"/>
    <sheet name="README" sheetId="12" r:id="rId8"/>
    <sheet name="바인더_제조_입고" sheetId="11" r:id="rId9"/>
    <sheet name="단일색_수입검사" sheetId="9" r:id="rId10"/>
    <sheet name="제품코드목록" sheetId="13" state="hidden" r:id="rId11"/>
  </sheets>
  <definedNames>
    <definedName name="Black">코드목록!$A$32:$A$39</definedName>
    <definedName name="Blue">코드목록!$A$17:$A$23</definedName>
    <definedName name="Green">코드목록!$A$16</definedName>
    <definedName name="Pink">코드목록!$A$2:$A$3</definedName>
    <definedName name="Red">코드목록!$A$4:$A$8</definedName>
    <definedName name="White">코드목록!$A$24:$A$31</definedName>
    <definedName name="Yellow">코드목록!$A$9:$A$15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9" l="1"/>
  <c r="J57" i="9"/>
  <c r="L57" i="9" s="1"/>
  <c r="H57" i="9"/>
  <c r="E57" i="9"/>
  <c r="K22" i="9" l="1"/>
  <c r="J22" i="9"/>
  <c r="L22" i="9" s="1"/>
  <c r="H22" i="9"/>
  <c r="E22" i="9"/>
  <c r="K21" i="9"/>
  <c r="J21" i="9"/>
  <c r="H21" i="9"/>
  <c r="E21" i="9"/>
  <c r="K20" i="9"/>
  <c r="J20" i="9"/>
  <c r="H20" i="9"/>
  <c r="E20" i="9"/>
  <c r="K19" i="9"/>
  <c r="J19" i="9"/>
  <c r="H19" i="9"/>
  <c r="E19" i="9"/>
  <c r="K18" i="9"/>
  <c r="J18" i="9"/>
  <c r="H18" i="9"/>
  <c r="E18" i="9"/>
  <c r="K17" i="9"/>
  <c r="J17" i="9"/>
  <c r="H17" i="9"/>
  <c r="E17" i="9"/>
  <c r="K24" i="9"/>
  <c r="J24" i="9"/>
  <c r="H24" i="9"/>
  <c r="E24" i="9"/>
  <c r="K23" i="9"/>
  <c r="J23" i="9"/>
  <c r="H23" i="9"/>
  <c r="E23" i="9"/>
  <c r="L23" i="9" l="1"/>
  <c r="L24" i="9"/>
  <c r="L17" i="9"/>
  <c r="L19" i="9"/>
  <c r="L21" i="9"/>
  <c r="L20" i="9"/>
  <c r="L18" i="9"/>
  <c r="J3" i="9"/>
  <c r="K3" i="9"/>
  <c r="J4" i="9"/>
  <c r="K4" i="9"/>
  <c r="J5" i="9"/>
  <c r="K5" i="9"/>
  <c r="J6" i="9"/>
  <c r="K6" i="9"/>
  <c r="J7" i="9"/>
  <c r="K7" i="9"/>
  <c r="J8" i="9"/>
  <c r="K8" i="9"/>
  <c r="J9" i="9"/>
  <c r="K9" i="9"/>
  <c r="J10" i="9"/>
  <c r="K10" i="9"/>
  <c r="J11" i="9"/>
  <c r="K11" i="9"/>
  <c r="J12" i="9"/>
  <c r="K12" i="9"/>
  <c r="J13" i="9"/>
  <c r="K13" i="9"/>
  <c r="J14" i="9"/>
  <c r="K14" i="9"/>
  <c r="J15" i="9"/>
  <c r="K15" i="9"/>
  <c r="J16" i="9"/>
  <c r="K16" i="9"/>
  <c r="J25" i="9"/>
  <c r="K25" i="9"/>
  <c r="J26" i="9"/>
  <c r="K26" i="9"/>
  <c r="J27" i="9"/>
  <c r="K27" i="9"/>
  <c r="J28" i="9"/>
  <c r="K28" i="9"/>
  <c r="J29" i="9"/>
  <c r="K29" i="9"/>
  <c r="J30" i="9"/>
  <c r="K30" i="9"/>
  <c r="J31" i="9"/>
  <c r="K31" i="9"/>
  <c r="J32" i="9"/>
  <c r="K32" i="9"/>
  <c r="J33" i="9"/>
  <c r="K33" i="9"/>
  <c r="J34" i="9"/>
  <c r="K34" i="9"/>
  <c r="J35" i="9"/>
  <c r="K35" i="9"/>
  <c r="J36" i="9"/>
  <c r="K36" i="9"/>
  <c r="J37" i="9"/>
  <c r="K37" i="9"/>
  <c r="J38" i="9"/>
  <c r="K38" i="9"/>
  <c r="J39" i="9"/>
  <c r="K39" i="9"/>
  <c r="J40" i="9"/>
  <c r="K40" i="9"/>
  <c r="J41" i="9"/>
  <c r="K41" i="9"/>
  <c r="J42" i="9"/>
  <c r="K42" i="9"/>
  <c r="J43" i="9"/>
  <c r="K43" i="9"/>
  <c r="J44" i="9"/>
  <c r="K44" i="9"/>
  <c r="J45" i="9"/>
  <c r="K45" i="9"/>
  <c r="J46" i="9"/>
  <c r="K46" i="9"/>
  <c r="J47" i="9"/>
  <c r="K47" i="9"/>
  <c r="J48" i="9"/>
  <c r="K48" i="9"/>
  <c r="J49" i="9"/>
  <c r="K49" i="9"/>
  <c r="J50" i="9"/>
  <c r="K50" i="9"/>
  <c r="J51" i="9"/>
  <c r="K51" i="9"/>
  <c r="J52" i="9"/>
  <c r="K52" i="9"/>
  <c r="J53" i="9"/>
  <c r="K53" i="9"/>
  <c r="J54" i="9"/>
  <c r="K54" i="9"/>
  <c r="J55" i="9"/>
  <c r="K55" i="9"/>
  <c r="J56" i="9"/>
  <c r="K56" i="9"/>
  <c r="J58" i="9"/>
  <c r="K58" i="9"/>
  <c r="J59" i="9"/>
  <c r="K59" i="9"/>
  <c r="J60" i="9"/>
  <c r="K60" i="9"/>
  <c r="J61" i="9"/>
  <c r="K61" i="9"/>
  <c r="J62" i="9"/>
  <c r="K62" i="9"/>
  <c r="J63" i="9"/>
  <c r="K63" i="9"/>
  <c r="J64" i="9"/>
  <c r="K64" i="9"/>
  <c r="J65" i="9"/>
  <c r="K65" i="9"/>
  <c r="J66" i="9"/>
  <c r="K66" i="9"/>
  <c r="J67" i="9"/>
  <c r="K67" i="9"/>
  <c r="J68" i="9"/>
  <c r="K68" i="9"/>
  <c r="J69" i="9"/>
  <c r="K69" i="9"/>
  <c r="J70" i="9"/>
  <c r="K70" i="9"/>
  <c r="J71" i="9"/>
  <c r="K71" i="9"/>
  <c r="J72" i="9"/>
  <c r="K72" i="9"/>
  <c r="J73" i="9"/>
  <c r="K73" i="9"/>
  <c r="J74" i="9"/>
  <c r="K74" i="9"/>
  <c r="J75" i="9"/>
  <c r="K75" i="9"/>
  <c r="J76" i="9"/>
  <c r="K76" i="9"/>
  <c r="J77" i="9"/>
  <c r="K77" i="9"/>
  <c r="J78" i="9"/>
  <c r="K78" i="9"/>
  <c r="J79" i="9"/>
  <c r="K79" i="9"/>
  <c r="J80" i="9"/>
  <c r="K80" i="9"/>
  <c r="J81" i="9"/>
  <c r="K81" i="9"/>
  <c r="J82" i="9"/>
  <c r="K82" i="9"/>
  <c r="J83" i="9"/>
  <c r="K83" i="9"/>
  <c r="J84" i="9"/>
  <c r="K84" i="9"/>
  <c r="J85" i="9"/>
  <c r="K85" i="9"/>
  <c r="J86" i="9"/>
  <c r="K86" i="9"/>
  <c r="J87" i="9"/>
  <c r="K87" i="9"/>
  <c r="J88" i="9"/>
  <c r="K88" i="9"/>
  <c r="J89" i="9"/>
  <c r="K89" i="9"/>
  <c r="J90" i="9"/>
  <c r="K90" i="9"/>
  <c r="J91" i="9"/>
  <c r="K91" i="9"/>
  <c r="J92" i="9"/>
  <c r="K92" i="9"/>
  <c r="J93" i="9"/>
  <c r="K93" i="9"/>
  <c r="J94" i="9"/>
  <c r="K94" i="9"/>
  <c r="J95" i="9"/>
  <c r="K95" i="9"/>
  <c r="J96" i="9"/>
  <c r="K96" i="9"/>
  <c r="J97" i="9"/>
  <c r="K97" i="9"/>
  <c r="J98" i="9"/>
  <c r="K98" i="9"/>
  <c r="J99" i="9"/>
  <c r="K99" i="9"/>
  <c r="J100" i="9"/>
  <c r="K100" i="9"/>
  <c r="J101" i="9"/>
  <c r="K101" i="9"/>
  <c r="J102" i="9"/>
  <c r="K102" i="9"/>
  <c r="J103" i="9"/>
  <c r="K103" i="9"/>
  <c r="J104" i="9"/>
  <c r="K104" i="9"/>
  <c r="J105" i="9"/>
  <c r="K105" i="9"/>
  <c r="J106" i="9"/>
  <c r="K106" i="9"/>
  <c r="J107" i="9"/>
  <c r="K107" i="9"/>
  <c r="J108" i="9"/>
  <c r="K108" i="9"/>
  <c r="J109" i="9"/>
  <c r="K109" i="9"/>
  <c r="J110" i="9"/>
  <c r="K110" i="9"/>
  <c r="J111" i="9"/>
  <c r="K111" i="9"/>
  <c r="J112" i="9"/>
  <c r="K112" i="9"/>
  <c r="J113" i="9"/>
  <c r="K113" i="9"/>
  <c r="J114" i="9"/>
  <c r="K114" i="9"/>
  <c r="J115" i="9"/>
  <c r="K115" i="9"/>
  <c r="J116" i="9"/>
  <c r="K116" i="9"/>
  <c r="J117" i="9"/>
  <c r="K117" i="9"/>
  <c r="J118" i="9"/>
  <c r="K118" i="9"/>
  <c r="J119" i="9"/>
  <c r="K119" i="9"/>
  <c r="J120" i="9"/>
  <c r="K120" i="9"/>
  <c r="J121" i="9"/>
  <c r="K121" i="9"/>
  <c r="J122" i="9"/>
  <c r="K122" i="9"/>
  <c r="J123" i="9"/>
  <c r="K123" i="9"/>
  <c r="J124" i="9"/>
  <c r="K124" i="9"/>
  <c r="J125" i="9"/>
  <c r="K125" i="9"/>
  <c r="J126" i="9"/>
  <c r="K126" i="9"/>
  <c r="J127" i="9"/>
  <c r="K127" i="9"/>
  <c r="J128" i="9"/>
  <c r="K128" i="9"/>
  <c r="J129" i="9"/>
  <c r="K129" i="9"/>
  <c r="J130" i="9"/>
  <c r="K130" i="9"/>
  <c r="J131" i="9"/>
  <c r="K131" i="9"/>
  <c r="J132" i="9"/>
  <c r="K132" i="9"/>
  <c r="J133" i="9"/>
  <c r="K133" i="9"/>
  <c r="J134" i="9"/>
  <c r="K134" i="9"/>
  <c r="J135" i="9"/>
  <c r="K135" i="9"/>
  <c r="J136" i="9"/>
  <c r="K136" i="9"/>
  <c r="J137" i="9"/>
  <c r="K137" i="9"/>
  <c r="J138" i="9"/>
  <c r="K138" i="9"/>
  <c r="J139" i="9"/>
  <c r="K139" i="9"/>
  <c r="J140" i="9"/>
  <c r="K140" i="9"/>
  <c r="J141" i="9"/>
  <c r="K141" i="9"/>
  <c r="J142" i="9"/>
  <c r="K142" i="9"/>
  <c r="J143" i="9"/>
  <c r="K143" i="9"/>
  <c r="J144" i="9"/>
  <c r="K144" i="9"/>
  <c r="J145" i="9"/>
  <c r="K145" i="9"/>
  <c r="J146" i="9"/>
  <c r="K146" i="9"/>
  <c r="J147" i="9"/>
  <c r="K147" i="9"/>
  <c r="J148" i="9"/>
  <c r="K148" i="9"/>
  <c r="J149" i="9"/>
  <c r="K149" i="9"/>
  <c r="J150" i="9"/>
  <c r="K150" i="9"/>
  <c r="J151" i="9"/>
  <c r="K151" i="9"/>
  <c r="J152" i="9"/>
  <c r="K152" i="9"/>
  <c r="J153" i="9"/>
  <c r="K153" i="9"/>
  <c r="J154" i="9"/>
  <c r="K154" i="9"/>
  <c r="J155" i="9"/>
  <c r="K155" i="9"/>
  <c r="J156" i="9"/>
  <c r="K156" i="9"/>
  <c r="J157" i="9"/>
  <c r="K157" i="9"/>
  <c r="J158" i="9"/>
  <c r="K158" i="9"/>
  <c r="J159" i="9"/>
  <c r="K159" i="9"/>
  <c r="J160" i="9"/>
  <c r="K160" i="9"/>
  <c r="J161" i="9"/>
  <c r="K161" i="9"/>
  <c r="J162" i="9"/>
  <c r="K162" i="9"/>
  <c r="J163" i="9"/>
  <c r="K163" i="9"/>
  <c r="J164" i="9"/>
  <c r="K164" i="9"/>
  <c r="J165" i="9"/>
  <c r="K165" i="9"/>
  <c r="J166" i="9"/>
  <c r="K166" i="9"/>
  <c r="J167" i="9"/>
  <c r="K167" i="9"/>
  <c r="J168" i="9"/>
  <c r="K168" i="9"/>
  <c r="J169" i="9"/>
  <c r="K169" i="9"/>
  <c r="J170" i="9"/>
  <c r="K170" i="9"/>
  <c r="J171" i="9"/>
  <c r="K171" i="9"/>
  <c r="J172" i="9"/>
  <c r="K172" i="9"/>
  <c r="J173" i="9"/>
  <c r="K173" i="9"/>
  <c r="J174" i="9"/>
  <c r="K174" i="9"/>
  <c r="J175" i="9"/>
  <c r="K175" i="9"/>
  <c r="J176" i="9"/>
  <c r="K176" i="9"/>
  <c r="J177" i="9"/>
  <c r="K177" i="9"/>
  <c r="J178" i="9"/>
  <c r="K178" i="9"/>
  <c r="J179" i="9"/>
  <c r="K179" i="9"/>
  <c r="J180" i="9"/>
  <c r="K180" i="9"/>
  <c r="J181" i="9"/>
  <c r="K181" i="9"/>
  <c r="J182" i="9"/>
  <c r="K182" i="9"/>
  <c r="J183" i="9"/>
  <c r="K183" i="9"/>
  <c r="J184" i="9"/>
  <c r="K184" i="9"/>
  <c r="J185" i="9"/>
  <c r="K185" i="9"/>
  <c r="J186" i="9"/>
  <c r="K186" i="9"/>
  <c r="J187" i="9"/>
  <c r="K187" i="9"/>
  <c r="J188" i="9"/>
  <c r="K188" i="9"/>
  <c r="J189" i="9"/>
  <c r="K189" i="9"/>
  <c r="J190" i="9"/>
  <c r="K190" i="9"/>
  <c r="J191" i="9"/>
  <c r="K191" i="9"/>
  <c r="J192" i="9"/>
  <c r="K192" i="9"/>
  <c r="J193" i="9"/>
  <c r="K193" i="9"/>
  <c r="J194" i="9"/>
  <c r="K194" i="9"/>
  <c r="J195" i="9"/>
  <c r="K195" i="9"/>
  <c r="J196" i="9"/>
  <c r="K196" i="9"/>
  <c r="J197" i="9"/>
  <c r="K197" i="9"/>
  <c r="J198" i="9"/>
  <c r="K198" i="9"/>
  <c r="J199" i="9"/>
  <c r="K199" i="9"/>
  <c r="J200" i="9"/>
  <c r="K200" i="9"/>
  <c r="J201" i="9"/>
  <c r="K201" i="9"/>
  <c r="J202" i="9"/>
  <c r="K202" i="9"/>
  <c r="J203" i="9"/>
  <c r="K203" i="9"/>
  <c r="J204" i="9"/>
  <c r="K204" i="9"/>
  <c r="J205" i="9"/>
  <c r="K205" i="9"/>
  <c r="J206" i="9"/>
  <c r="K206" i="9"/>
  <c r="J207" i="9"/>
  <c r="K207" i="9"/>
  <c r="J208" i="9"/>
  <c r="K208" i="9"/>
  <c r="J209" i="9"/>
  <c r="K209" i="9"/>
  <c r="J210" i="9"/>
  <c r="K210" i="9"/>
  <c r="J211" i="9"/>
  <c r="K211" i="9"/>
  <c r="J212" i="9"/>
  <c r="K212" i="9"/>
  <c r="J213" i="9"/>
  <c r="K213" i="9"/>
  <c r="J214" i="9"/>
  <c r="K214" i="9"/>
  <c r="J215" i="9"/>
  <c r="K215" i="9"/>
  <c r="J216" i="9"/>
  <c r="K216" i="9"/>
  <c r="J217" i="9"/>
  <c r="K217" i="9"/>
  <c r="J218" i="9"/>
  <c r="K218" i="9"/>
  <c r="J219" i="9"/>
  <c r="K219" i="9"/>
  <c r="J220" i="9"/>
  <c r="K220" i="9"/>
  <c r="J221" i="9"/>
  <c r="K221" i="9"/>
  <c r="J222" i="9"/>
  <c r="K222" i="9"/>
  <c r="J223" i="9"/>
  <c r="K223" i="9"/>
  <c r="J224" i="9"/>
  <c r="K224" i="9"/>
  <c r="J225" i="9"/>
  <c r="K225" i="9"/>
  <c r="J226" i="9"/>
  <c r="K226" i="9"/>
  <c r="J227" i="9"/>
  <c r="K227" i="9"/>
  <c r="J228" i="9"/>
  <c r="K228" i="9"/>
  <c r="J229" i="9"/>
  <c r="K229" i="9"/>
  <c r="J230" i="9"/>
  <c r="K230" i="9"/>
  <c r="J231" i="9"/>
  <c r="K231" i="9"/>
  <c r="J232" i="9"/>
  <c r="K232" i="9"/>
  <c r="J233" i="9"/>
  <c r="K233" i="9"/>
  <c r="J234" i="9"/>
  <c r="K234" i="9"/>
  <c r="J235" i="9"/>
  <c r="K235" i="9"/>
  <c r="J236" i="9"/>
  <c r="K236" i="9"/>
  <c r="J237" i="9"/>
  <c r="K237" i="9"/>
  <c r="J238" i="9"/>
  <c r="K238" i="9"/>
  <c r="J239" i="9"/>
  <c r="K239" i="9"/>
  <c r="J240" i="9"/>
  <c r="K240" i="9"/>
  <c r="J241" i="9"/>
  <c r="K241" i="9"/>
  <c r="J242" i="9"/>
  <c r="K242" i="9"/>
  <c r="J243" i="9"/>
  <c r="K243" i="9"/>
  <c r="J244" i="9"/>
  <c r="K244" i="9"/>
  <c r="J245" i="9"/>
  <c r="K245" i="9"/>
  <c r="J246" i="9"/>
  <c r="K246" i="9"/>
  <c r="J247" i="9"/>
  <c r="K247" i="9"/>
  <c r="J248" i="9"/>
  <c r="K248" i="9"/>
  <c r="J249" i="9"/>
  <c r="K249" i="9"/>
  <c r="J250" i="9"/>
  <c r="K250" i="9"/>
  <c r="K2" i="9"/>
  <c r="J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8" i="9"/>
  <c r="H59" i="9"/>
  <c r="H60" i="9"/>
  <c r="H61" i="9"/>
  <c r="H62" i="9"/>
  <c r="H63" i="9"/>
  <c r="H64" i="9"/>
  <c r="H65" i="9"/>
  <c r="H66" i="9"/>
  <c r="H67" i="9"/>
  <c r="H68" i="9"/>
  <c r="H69" i="9"/>
  <c r="H2" i="9"/>
  <c r="L13" i="9" l="1"/>
  <c r="L135" i="9"/>
  <c r="L129" i="9"/>
  <c r="L123" i="9"/>
  <c r="L117" i="9"/>
  <c r="L111" i="9"/>
  <c r="L105" i="9"/>
  <c r="L99" i="9"/>
  <c r="L97" i="9"/>
  <c r="L91" i="9"/>
  <c r="L85" i="9"/>
  <c r="L79" i="9"/>
  <c r="L73" i="9"/>
  <c r="L67" i="9"/>
  <c r="L63" i="9"/>
  <c r="L59" i="9"/>
  <c r="L55" i="9"/>
  <c r="L53" i="9"/>
  <c r="L49" i="9"/>
  <c r="L47" i="9"/>
  <c r="L43" i="9"/>
  <c r="L41" i="9"/>
  <c r="L39" i="9"/>
  <c r="L37" i="9"/>
  <c r="L35" i="9"/>
  <c r="L33" i="9"/>
  <c r="L31" i="9"/>
  <c r="L29" i="9"/>
  <c r="L27" i="9"/>
  <c r="L25" i="9"/>
  <c r="L16" i="9"/>
  <c r="L14" i="9"/>
  <c r="L10" i="9"/>
  <c r="L8" i="9"/>
  <c r="L6" i="9"/>
  <c r="L4" i="9"/>
  <c r="L133" i="9"/>
  <c r="L127" i="9"/>
  <c r="L119" i="9"/>
  <c r="L115" i="9"/>
  <c r="L107" i="9"/>
  <c r="L103" i="9"/>
  <c r="L93" i="9"/>
  <c r="L89" i="9"/>
  <c r="L83" i="9"/>
  <c r="L77" i="9"/>
  <c r="L71" i="9"/>
  <c r="L65" i="9"/>
  <c r="L45" i="9"/>
  <c r="L137" i="9"/>
  <c r="L131" i="9"/>
  <c r="L125" i="9"/>
  <c r="L121" i="9"/>
  <c r="L113" i="9"/>
  <c r="L109" i="9"/>
  <c r="L101" i="9"/>
  <c r="L95" i="9"/>
  <c r="L87" i="9"/>
  <c r="L81" i="9"/>
  <c r="L75" i="9"/>
  <c r="L69" i="9"/>
  <c r="L61" i="9"/>
  <c r="L51" i="9"/>
  <c r="L136" i="9"/>
  <c r="L134" i="9"/>
  <c r="L132" i="9"/>
  <c r="L130" i="9"/>
  <c r="L128" i="9"/>
  <c r="L126" i="9"/>
  <c r="L124" i="9"/>
  <c r="L122" i="9"/>
  <c r="L120" i="9"/>
  <c r="L118" i="9"/>
  <c r="L116" i="9"/>
  <c r="L114" i="9"/>
  <c r="L112" i="9"/>
  <c r="L110" i="9"/>
  <c r="L108" i="9"/>
  <c r="L106" i="9"/>
  <c r="L104" i="9"/>
  <c r="L102" i="9"/>
  <c r="L100" i="9"/>
  <c r="L98" i="9"/>
  <c r="L96" i="9"/>
  <c r="L94" i="9"/>
  <c r="L92" i="9"/>
  <c r="L90" i="9"/>
  <c r="L88" i="9"/>
  <c r="L86" i="9"/>
  <c r="L84" i="9"/>
  <c r="L82" i="9"/>
  <c r="L80" i="9"/>
  <c r="L78" i="9"/>
  <c r="L76" i="9"/>
  <c r="L74" i="9"/>
  <c r="L72" i="9"/>
  <c r="L70" i="9"/>
  <c r="L68" i="9"/>
  <c r="L66" i="9"/>
  <c r="L64" i="9"/>
  <c r="L62" i="9"/>
  <c r="L60" i="9"/>
  <c r="L58" i="9"/>
  <c r="L56" i="9"/>
  <c r="L54" i="9"/>
  <c r="L52" i="9"/>
  <c r="L50" i="9"/>
  <c r="L48" i="9"/>
  <c r="L46" i="9"/>
  <c r="L44" i="9"/>
  <c r="L42" i="9"/>
  <c r="L40" i="9"/>
  <c r="L38" i="9"/>
  <c r="L36" i="9"/>
  <c r="L34" i="9"/>
  <c r="L32" i="9"/>
  <c r="L30" i="9"/>
  <c r="L28" i="9"/>
  <c r="L26" i="9"/>
  <c r="L15" i="9"/>
  <c r="L9" i="9"/>
  <c r="L7" i="9"/>
  <c r="L5" i="9"/>
  <c r="L12" i="9"/>
  <c r="L11" i="9"/>
  <c r="E4" i="9"/>
  <c r="L3" i="9" l="1"/>
  <c r="E12" i="9"/>
  <c r="E11" i="9"/>
  <c r="E3" i="9"/>
  <c r="F9" i="11" l="1"/>
  <c r="F8" i="11"/>
  <c r="F7" i="11"/>
  <c r="F6" i="11"/>
  <c r="F5" i="11"/>
  <c r="F4" i="11"/>
  <c r="F3" i="11"/>
  <c r="F2" i="11"/>
  <c r="C9" i="11"/>
  <c r="C8" i="11"/>
  <c r="C7" i="11"/>
  <c r="C6" i="11"/>
  <c r="C5" i="11"/>
  <c r="C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8" i="11"/>
  <c r="C57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F17" i="11"/>
  <c r="F16" i="11"/>
  <c r="F19" i="11"/>
  <c r="F18" i="11"/>
  <c r="F37" i="11"/>
  <c r="F36" i="11"/>
  <c r="F64" i="11"/>
  <c r="F62" i="11"/>
  <c r="F61" i="11"/>
  <c r="F59" i="11"/>
  <c r="F58" i="11"/>
  <c r="F57" i="11"/>
  <c r="F56" i="11"/>
  <c r="F55" i="11"/>
  <c r="F54" i="11"/>
  <c r="F53" i="11"/>
  <c r="F52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3" i="11"/>
  <c r="F60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D35" i="11"/>
  <c r="F35" i="11" s="1"/>
  <c r="D34" i="11"/>
  <c r="F33" i="11"/>
  <c r="D27" i="11"/>
  <c r="D26" i="11"/>
  <c r="D25" i="11"/>
  <c r="D24" i="11"/>
  <c r="F24" i="11" s="1"/>
  <c r="D23" i="11"/>
  <c r="F23" i="11" s="1"/>
  <c r="D22" i="11"/>
  <c r="F22" i="11" s="1"/>
  <c r="D21" i="11"/>
  <c r="F21" i="11" s="1"/>
  <c r="D20" i="11"/>
  <c r="F20" i="11" s="1"/>
  <c r="F29" i="11"/>
  <c r="F30" i="11"/>
  <c r="F31" i="11"/>
  <c r="F32" i="11"/>
  <c r="F34" i="11"/>
  <c r="F28" i="11"/>
  <c r="F27" i="11"/>
  <c r="F26" i="11"/>
  <c r="F25" i="11"/>
  <c r="D11" i="11"/>
  <c r="F11" i="11" s="1"/>
  <c r="D10" i="11"/>
  <c r="F10" i="11" s="1"/>
  <c r="D3" i="11"/>
  <c r="C3" i="11"/>
  <c r="C11" i="11"/>
  <c r="C10" i="11"/>
  <c r="E5" i="2"/>
  <c r="D15" i="11"/>
  <c r="F15" i="11" s="1"/>
  <c r="D14" i="11"/>
  <c r="D13" i="11"/>
  <c r="F13" i="11" s="1"/>
  <c r="D12" i="11"/>
  <c r="C14" i="11"/>
  <c r="D6" i="11"/>
  <c r="F14" i="11"/>
  <c r="F12" i="11"/>
  <c r="D5" i="11"/>
  <c r="C2" i="11"/>
  <c r="D2" i="11"/>
  <c r="F2010" i="11" l="1"/>
  <c r="C2010" i="11"/>
  <c r="F2009" i="11"/>
  <c r="C2009" i="11"/>
  <c r="F2008" i="11"/>
  <c r="C2008" i="11"/>
  <c r="F2007" i="11"/>
  <c r="C2007" i="11"/>
  <c r="F2006" i="11"/>
  <c r="C2006" i="11"/>
  <c r="F2005" i="11"/>
  <c r="C2005" i="11"/>
  <c r="F2004" i="11"/>
  <c r="C2004" i="11"/>
  <c r="F2003" i="11"/>
  <c r="C2003" i="11"/>
  <c r="F2002" i="11"/>
  <c r="C2002" i="11"/>
  <c r="F2001" i="11"/>
  <c r="C2001" i="11"/>
  <c r="F2000" i="11"/>
  <c r="C2000" i="11"/>
  <c r="F1999" i="11"/>
  <c r="C1999" i="11"/>
  <c r="F1998" i="11"/>
  <c r="C1998" i="11"/>
  <c r="F1997" i="11"/>
  <c r="C1997" i="11"/>
  <c r="F1996" i="11"/>
  <c r="C1996" i="11"/>
  <c r="F1995" i="11"/>
  <c r="C1995" i="11"/>
  <c r="F1994" i="11"/>
  <c r="C1994" i="11"/>
  <c r="F1993" i="11"/>
  <c r="C1993" i="11"/>
  <c r="F1992" i="11"/>
  <c r="C1992" i="11"/>
  <c r="F1991" i="11"/>
  <c r="C1991" i="11"/>
  <c r="F1990" i="11"/>
  <c r="C1990" i="11"/>
  <c r="F1989" i="11"/>
  <c r="C1989" i="11"/>
  <c r="F1988" i="11"/>
  <c r="C1988" i="11"/>
  <c r="F1987" i="11"/>
  <c r="C1987" i="11"/>
  <c r="F1986" i="11"/>
  <c r="C1986" i="11"/>
  <c r="F1985" i="11"/>
  <c r="C1985" i="11"/>
  <c r="F1984" i="11"/>
  <c r="C1984" i="11"/>
  <c r="F1983" i="11"/>
  <c r="C1983" i="11"/>
  <c r="F1982" i="11"/>
  <c r="C1982" i="11"/>
  <c r="F1981" i="11"/>
  <c r="C1981" i="11"/>
  <c r="F1980" i="11"/>
  <c r="C1980" i="11"/>
  <c r="F1979" i="11"/>
  <c r="C1979" i="11"/>
  <c r="F1978" i="11"/>
  <c r="C1978" i="11"/>
  <c r="F1977" i="11"/>
  <c r="C1977" i="11"/>
  <c r="F1976" i="11"/>
  <c r="C1976" i="11"/>
  <c r="F1975" i="11"/>
  <c r="C1975" i="11"/>
  <c r="F1974" i="11"/>
  <c r="C1974" i="11"/>
  <c r="F1973" i="11"/>
  <c r="C1973" i="11"/>
  <c r="F1972" i="11"/>
  <c r="C1972" i="11"/>
  <c r="F1971" i="11"/>
  <c r="C1971" i="11"/>
  <c r="F1970" i="11"/>
  <c r="C1970" i="11"/>
  <c r="F1969" i="11"/>
  <c r="C1969" i="11"/>
  <c r="F1968" i="11"/>
  <c r="C1968" i="11"/>
  <c r="F1967" i="11"/>
  <c r="C1967" i="11"/>
  <c r="F1966" i="11"/>
  <c r="C1966" i="11"/>
  <c r="F1965" i="11"/>
  <c r="C1965" i="11"/>
  <c r="F1964" i="11"/>
  <c r="C1964" i="11"/>
  <c r="F1963" i="11"/>
  <c r="C1963" i="11"/>
  <c r="F1962" i="11"/>
  <c r="C1962" i="11"/>
  <c r="F1961" i="11"/>
  <c r="C1961" i="11"/>
  <c r="F1960" i="11"/>
  <c r="C1960" i="11"/>
  <c r="F1959" i="11"/>
  <c r="C1959" i="11"/>
  <c r="F1958" i="11"/>
  <c r="C1958" i="11"/>
  <c r="F1957" i="11"/>
  <c r="C1957" i="11"/>
  <c r="F1956" i="11"/>
  <c r="C1956" i="11"/>
  <c r="F1955" i="11"/>
  <c r="C1955" i="11"/>
  <c r="F1954" i="11"/>
  <c r="C1954" i="11"/>
  <c r="F1953" i="11"/>
  <c r="C1953" i="11"/>
  <c r="F1952" i="11"/>
  <c r="C1952" i="11"/>
  <c r="F1951" i="11"/>
  <c r="C1951" i="11"/>
  <c r="F1950" i="11"/>
  <c r="C1950" i="11"/>
  <c r="F1949" i="11"/>
  <c r="C1949" i="11"/>
  <c r="F1948" i="11"/>
  <c r="C1948" i="11"/>
  <c r="F1947" i="11"/>
  <c r="C1947" i="11"/>
  <c r="F1946" i="11"/>
  <c r="C1946" i="11"/>
  <c r="F1945" i="11"/>
  <c r="C1945" i="11"/>
  <c r="F1944" i="11"/>
  <c r="C1944" i="11"/>
  <c r="F1943" i="11"/>
  <c r="C1943" i="11"/>
  <c r="F1942" i="11"/>
  <c r="C1942" i="11"/>
  <c r="F1941" i="11"/>
  <c r="C1941" i="11"/>
  <c r="F1940" i="11"/>
  <c r="C1940" i="11"/>
  <c r="F1939" i="11"/>
  <c r="C1939" i="11"/>
  <c r="F1938" i="11"/>
  <c r="C1938" i="11"/>
  <c r="F1937" i="11"/>
  <c r="C1937" i="11"/>
  <c r="F1936" i="11"/>
  <c r="C1936" i="11"/>
  <c r="F1935" i="11"/>
  <c r="C1935" i="11"/>
  <c r="F1934" i="11"/>
  <c r="C1934" i="11"/>
  <c r="F1933" i="11"/>
  <c r="C1933" i="11"/>
  <c r="F1932" i="11"/>
  <c r="C1932" i="11"/>
  <c r="F1931" i="11"/>
  <c r="C1931" i="11"/>
  <c r="F1930" i="11"/>
  <c r="C1930" i="11"/>
  <c r="F1929" i="11"/>
  <c r="C1929" i="11"/>
  <c r="F1928" i="11"/>
  <c r="C1928" i="11"/>
  <c r="F1927" i="11"/>
  <c r="C1927" i="11"/>
  <c r="F1926" i="11"/>
  <c r="C1926" i="11"/>
  <c r="F1925" i="11"/>
  <c r="C1925" i="11"/>
  <c r="F1924" i="11"/>
  <c r="C1924" i="11"/>
  <c r="F1923" i="11"/>
  <c r="C1923" i="11"/>
  <c r="F1922" i="11"/>
  <c r="C1922" i="11"/>
  <c r="F1921" i="11"/>
  <c r="C1921" i="11"/>
  <c r="F1920" i="11"/>
  <c r="C1920" i="11"/>
  <c r="F1919" i="11"/>
  <c r="C1919" i="11"/>
  <c r="F1918" i="11"/>
  <c r="C1918" i="11"/>
  <c r="F1917" i="11"/>
  <c r="C1917" i="11"/>
  <c r="F1916" i="11"/>
  <c r="C1916" i="11"/>
  <c r="F1915" i="11"/>
  <c r="C1915" i="11"/>
  <c r="F1914" i="11"/>
  <c r="C1914" i="11"/>
  <c r="F1913" i="11"/>
  <c r="C1913" i="11"/>
  <c r="F1912" i="11"/>
  <c r="C1912" i="11"/>
  <c r="F1911" i="11"/>
  <c r="C1911" i="11"/>
  <c r="F1910" i="11"/>
  <c r="C1910" i="11"/>
  <c r="F1909" i="11"/>
  <c r="C1909" i="11"/>
  <c r="F1908" i="11"/>
  <c r="C1908" i="11"/>
  <c r="F1907" i="11"/>
  <c r="C1907" i="11"/>
  <c r="F1906" i="11"/>
  <c r="C1906" i="11"/>
  <c r="F1905" i="11"/>
  <c r="C1905" i="11"/>
  <c r="F1904" i="11"/>
  <c r="C1904" i="11"/>
  <c r="F1903" i="11"/>
  <c r="C1903" i="11"/>
  <c r="F1902" i="11"/>
  <c r="C1902" i="11"/>
  <c r="F1901" i="11"/>
  <c r="C1901" i="11"/>
  <c r="F1900" i="11"/>
  <c r="C1900" i="11"/>
  <c r="F1899" i="11"/>
  <c r="C1899" i="11"/>
  <c r="F1898" i="11"/>
  <c r="C1898" i="11"/>
  <c r="F1897" i="11"/>
  <c r="C1897" i="11"/>
  <c r="F1896" i="11"/>
  <c r="C1896" i="11"/>
  <c r="F1895" i="11"/>
  <c r="C1895" i="11"/>
  <c r="F1894" i="11"/>
  <c r="C1894" i="11"/>
  <c r="F1893" i="11"/>
  <c r="C1893" i="11"/>
  <c r="F1892" i="11"/>
  <c r="C1892" i="11"/>
  <c r="F1891" i="11"/>
  <c r="C1891" i="11"/>
  <c r="F1890" i="11"/>
  <c r="C1890" i="11"/>
  <c r="F1889" i="11"/>
  <c r="C1889" i="11"/>
  <c r="F1888" i="11"/>
  <c r="C1888" i="11"/>
  <c r="F1887" i="11"/>
  <c r="C1887" i="11"/>
  <c r="F1886" i="11"/>
  <c r="C1886" i="11"/>
  <c r="F1885" i="11"/>
  <c r="C1885" i="11"/>
  <c r="F1884" i="11"/>
  <c r="C1884" i="11"/>
  <c r="F1883" i="11"/>
  <c r="C1883" i="11"/>
  <c r="F1882" i="11"/>
  <c r="C1882" i="11"/>
  <c r="F1881" i="11"/>
  <c r="C1881" i="11"/>
  <c r="F1880" i="11"/>
  <c r="C1880" i="11"/>
  <c r="F1879" i="11"/>
  <c r="C1879" i="11"/>
  <c r="F1878" i="11"/>
  <c r="C1878" i="11"/>
  <c r="F1877" i="11"/>
  <c r="C1877" i="11"/>
  <c r="F1876" i="11"/>
  <c r="C1876" i="11"/>
  <c r="F1875" i="11"/>
  <c r="C1875" i="11"/>
  <c r="F1874" i="11"/>
  <c r="C1874" i="11"/>
  <c r="F1873" i="11"/>
  <c r="C1873" i="11"/>
  <c r="F1872" i="11"/>
  <c r="C1872" i="11"/>
  <c r="F1871" i="11"/>
  <c r="C1871" i="11"/>
  <c r="F1870" i="11"/>
  <c r="C1870" i="11"/>
  <c r="F1869" i="11"/>
  <c r="C1869" i="11"/>
  <c r="F1868" i="11"/>
  <c r="C1868" i="11"/>
  <c r="F1867" i="11"/>
  <c r="C1867" i="11"/>
  <c r="F1866" i="11"/>
  <c r="C1866" i="11"/>
  <c r="F1865" i="11"/>
  <c r="C1865" i="11"/>
  <c r="F1864" i="11"/>
  <c r="C1864" i="11"/>
  <c r="F1863" i="11"/>
  <c r="C1863" i="11"/>
  <c r="F1862" i="11"/>
  <c r="C1862" i="11"/>
  <c r="F1861" i="11"/>
  <c r="C1861" i="11"/>
  <c r="F1860" i="11"/>
  <c r="C1860" i="11"/>
  <c r="F1859" i="11"/>
  <c r="C1859" i="11"/>
  <c r="F1858" i="11"/>
  <c r="C1858" i="11"/>
  <c r="F1857" i="11"/>
  <c r="C1857" i="11"/>
  <c r="F1856" i="11"/>
  <c r="C1856" i="11"/>
  <c r="F1855" i="11"/>
  <c r="C1855" i="11"/>
  <c r="F1854" i="11"/>
  <c r="C1854" i="11"/>
  <c r="F1853" i="11"/>
  <c r="C1853" i="11"/>
  <c r="F1852" i="11"/>
  <c r="C1852" i="11"/>
  <c r="F1851" i="11"/>
  <c r="C1851" i="11"/>
  <c r="F1850" i="11"/>
  <c r="C1850" i="11"/>
  <c r="F1849" i="11"/>
  <c r="C1849" i="11"/>
  <c r="F1848" i="11"/>
  <c r="C1848" i="11"/>
  <c r="F1847" i="11"/>
  <c r="C1847" i="11"/>
  <c r="F1846" i="11"/>
  <c r="C1846" i="11"/>
  <c r="F1845" i="11"/>
  <c r="C1845" i="11"/>
  <c r="F1844" i="11"/>
  <c r="C1844" i="11"/>
  <c r="F1843" i="11"/>
  <c r="C1843" i="11"/>
  <c r="F1842" i="11"/>
  <c r="C1842" i="11"/>
  <c r="F1841" i="11"/>
  <c r="C1841" i="11"/>
  <c r="F1840" i="11"/>
  <c r="C1840" i="11"/>
  <c r="F1839" i="11"/>
  <c r="C1839" i="11"/>
  <c r="F1838" i="11"/>
  <c r="C1838" i="11"/>
  <c r="F1837" i="11"/>
  <c r="C1837" i="11"/>
  <c r="F1836" i="11"/>
  <c r="C1836" i="11"/>
  <c r="F1835" i="11"/>
  <c r="C1835" i="11"/>
  <c r="F1834" i="11"/>
  <c r="C1834" i="11"/>
  <c r="F1833" i="11"/>
  <c r="C1833" i="11"/>
  <c r="F1832" i="11"/>
  <c r="C1832" i="11"/>
  <c r="F1831" i="11"/>
  <c r="C1831" i="11"/>
  <c r="F1830" i="11"/>
  <c r="C1830" i="11"/>
  <c r="F1829" i="11"/>
  <c r="C1829" i="11"/>
  <c r="F1828" i="11"/>
  <c r="C1828" i="11"/>
  <c r="F1827" i="11"/>
  <c r="C1827" i="11"/>
  <c r="F1826" i="11"/>
  <c r="C1826" i="11"/>
  <c r="F1825" i="11"/>
  <c r="C1825" i="11"/>
  <c r="F1824" i="11"/>
  <c r="C1824" i="11"/>
  <c r="F1823" i="11"/>
  <c r="C1823" i="11"/>
  <c r="F1822" i="11"/>
  <c r="C1822" i="11"/>
  <c r="F1821" i="11"/>
  <c r="C1821" i="11"/>
  <c r="F1820" i="11"/>
  <c r="C1820" i="11"/>
  <c r="F1819" i="11"/>
  <c r="C1819" i="11"/>
  <c r="F1818" i="11"/>
  <c r="C1818" i="11"/>
  <c r="F1817" i="11"/>
  <c r="C1817" i="11"/>
  <c r="F1816" i="11"/>
  <c r="C1816" i="11"/>
  <c r="F1815" i="11"/>
  <c r="C1815" i="11"/>
  <c r="F1814" i="11"/>
  <c r="C1814" i="11"/>
  <c r="F1813" i="11"/>
  <c r="C1813" i="11"/>
  <c r="F1812" i="11"/>
  <c r="C1812" i="11"/>
  <c r="F1811" i="11"/>
  <c r="C1811" i="11"/>
  <c r="F1810" i="11"/>
  <c r="C1810" i="11"/>
  <c r="F1809" i="11"/>
  <c r="C1809" i="11"/>
  <c r="F1808" i="11"/>
  <c r="C1808" i="11"/>
  <c r="F1807" i="11"/>
  <c r="C1807" i="11"/>
  <c r="F1806" i="11"/>
  <c r="C1806" i="11"/>
  <c r="F1805" i="11"/>
  <c r="C1805" i="11"/>
  <c r="F1804" i="11"/>
  <c r="C1804" i="11"/>
  <c r="F1803" i="11"/>
  <c r="C1803" i="11"/>
  <c r="F1802" i="11"/>
  <c r="C1802" i="11"/>
  <c r="F1801" i="11"/>
  <c r="C1801" i="11"/>
  <c r="F1800" i="11"/>
  <c r="C1800" i="11"/>
  <c r="F1799" i="11"/>
  <c r="C1799" i="11"/>
  <c r="F1798" i="11"/>
  <c r="C1798" i="11"/>
  <c r="F1797" i="11"/>
  <c r="C1797" i="11"/>
  <c r="F1796" i="11"/>
  <c r="C1796" i="11"/>
  <c r="F1795" i="11"/>
  <c r="C1795" i="11"/>
  <c r="F1794" i="11"/>
  <c r="C1794" i="11"/>
  <c r="F1793" i="11"/>
  <c r="C1793" i="11"/>
  <c r="F1792" i="11"/>
  <c r="C1792" i="11"/>
  <c r="F1791" i="11"/>
  <c r="C1791" i="11"/>
  <c r="F1790" i="11"/>
  <c r="C1790" i="11"/>
  <c r="F1789" i="11"/>
  <c r="C1789" i="11"/>
  <c r="F1788" i="11"/>
  <c r="C1788" i="11"/>
  <c r="F1787" i="11"/>
  <c r="C1787" i="11"/>
  <c r="F1786" i="11"/>
  <c r="C1786" i="11"/>
  <c r="F1785" i="11"/>
  <c r="C1785" i="11"/>
  <c r="F1784" i="11"/>
  <c r="C1784" i="11"/>
  <c r="F1783" i="11"/>
  <c r="C1783" i="11"/>
  <c r="F1782" i="11"/>
  <c r="C1782" i="11"/>
  <c r="F1781" i="11"/>
  <c r="C1781" i="11"/>
  <c r="F1780" i="11"/>
  <c r="C1780" i="11"/>
  <c r="F1779" i="11"/>
  <c r="C1779" i="11"/>
  <c r="F1778" i="11"/>
  <c r="C1778" i="11"/>
  <c r="F1777" i="11"/>
  <c r="C1777" i="11"/>
  <c r="F1776" i="11"/>
  <c r="C1776" i="11"/>
  <c r="F1775" i="11"/>
  <c r="C1775" i="11"/>
  <c r="F1774" i="11"/>
  <c r="C1774" i="11"/>
  <c r="F1773" i="11"/>
  <c r="C1773" i="11"/>
  <c r="F1772" i="11"/>
  <c r="C1772" i="11"/>
  <c r="F1771" i="11"/>
  <c r="C1771" i="11"/>
  <c r="F1770" i="11"/>
  <c r="C1770" i="11"/>
  <c r="F1769" i="11"/>
  <c r="C1769" i="11"/>
  <c r="F1768" i="11"/>
  <c r="C1768" i="11"/>
  <c r="F1767" i="11"/>
  <c r="C1767" i="11"/>
  <c r="F1766" i="11"/>
  <c r="C1766" i="11"/>
  <c r="F1765" i="11"/>
  <c r="C1765" i="11"/>
  <c r="F1764" i="11"/>
  <c r="C1764" i="11"/>
  <c r="F1763" i="11"/>
  <c r="C1763" i="11"/>
  <c r="F1762" i="11"/>
  <c r="C1762" i="11"/>
  <c r="F1761" i="11"/>
  <c r="C1761" i="11"/>
  <c r="F1760" i="11"/>
  <c r="C1760" i="11"/>
  <c r="F1759" i="11"/>
  <c r="C1759" i="11"/>
  <c r="F1758" i="11"/>
  <c r="C1758" i="11"/>
  <c r="F1757" i="11"/>
  <c r="C1757" i="11"/>
  <c r="F1756" i="11"/>
  <c r="C1756" i="11"/>
  <c r="F1755" i="11"/>
  <c r="C1755" i="11"/>
  <c r="F1754" i="11"/>
  <c r="C1754" i="11"/>
  <c r="F1753" i="11"/>
  <c r="C1753" i="11"/>
  <c r="F1752" i="11"/>
  <c r="C1752" i="11"/>
  <c r="F1751" i="11"/>
  <c r="C1751" i="11"/>
  <c r="F1750" i="11"/>
  <c r="C1750" i="11"/>
  <c r="F1749" i="11"/>
  <c r="C1749" i="11"/>
  <c r="F1748" i="11"/>
  <c r="C1748" i="11"/>
  <c r="F1747" i="11"/>
  <c r="C1747" i="11"/>
  <c r="F1746" i="11"/>
  <c r="C1746" i="11"/>
  <c r="F1745" i="11"/>
  <c r="C1745" i="11"/>
  <c r="F1744" i="11"/>
  <c r="C1744" i="11"/>
  <c r="F1743" i="11"/>
  <c r="C1743" i="11"/>
  <c r="F1742" i="11"/>
  <c r="C1742" i="11"/>
  <c r="F1741" i="11"/>
  <c r="C1741" i="11"/>
  <c r="F1740" i="11"/>
  <c r="C1740" i="11"/>
  <c r="F1739" i="11"/>
  <c r="C1739" i="11"/>
  <c r="F1738" i="11"/>
  <c r="C1738" i="11"/>
  <c r="F1737" i="11"/>
  <c r="C1737" i="11"/>
  <c r="F1736" i="11"/>
  <c r="C1736" i="11"/>
  <c r="F1735" i="11"/>
  <c r="C1735" i="11"/>
  <c r="F1734" i="11"/>
  <c r="C1734" i="11"/>
  <c r="F1733" i="11"/>
  <c r="C1733" i="11"/>
  <c r="F1732" i="11"/>
  <c r="C1732" i="11"/>
  <c r="F1731" i="11"/>
  <c r="C1731" i="11"/>
  <c r="F1730" i="11"/>
  <c r="C1730" i="11"/>
  <c r="F1729" i="11"/>
  <c r="C1729" i="11"/>
  <c r="F1728" i="11"/>
  <c r="C1728" i="11"/>
  <c r="F1727" i="11"/>
  <c r="C1727" i="11"/>
  <c r="F1726" i="11"/>
  <c r="C1726" i="11"/>
  <c r="F1725" i="11"/>
  <c r="C1725" i="11"/>
  <c r="F1724" i="11"/>
  <c r="C1724" i="11"/>
  <c r="F1723" i="11"/>
  <c r="C1723" i="11"/>
  <c r="F1722" i="11"/>
  <c r="C1722" i="11"/>
  <c r="F1721" i="11"/>
  <c r="C1721" i="11"/>
  <c r="F1720" i="11"/>
  <c r="C1720" i="11"/>
  <c r="F1719" i="11"/>
  <c r="C1719" i="11"/>
  <c r="F1718" i="11"/>
  <c r="C1718" i="11"/>
  <c r="F1717" i="11"/>
  <c r="C1717" i="11"/>
  <c r="F1716" i="11"/>
  <c r="C1716" i="11"/>
  <c r="F1715" i="11"/>
  <c r="C1715" i="11"/>
  <c r="F1714" i="11"/>
  <c r="C1714" i="11"/>
  <c r="F1713" i="11"/>
  <c r="C1713" i="11"/>
  <c r="F1712" i="11"/>
  <c r="C1712" i="11"/>
  <c r="F1711" i="11"/>
  <c r="C1711" i="11"/>
  <c r="F1710" i="11"/>
  <c r="C1710" i="11"/>
  <c r="F1709" i="11"/>
  <c r="C1709" i="11"/>
  <c r="F1708" i="11"/>
  <c r="C1708" i="11"/>
  <c r="F1707" i="11"/>
  <c r="C1707" i="11"/>
  <c r="F1706" i="11"/>
  <c r="C1706" i="11"/>
  <c r="F1705" i="11"/>
  <c r="C1705" i="11"/>
  <c r="F1704" i="11"/>
  <c r="C1704" i="11"/>
  <c r="F1703" i="11"/>
  <c r="C1703" i="11"/>
  <c r="F1702" i="11"/>
  <c r="C1702" i="11"/>
  <c r="F1701" i="11"/>
  <c r="C1701" i="11"/>
  <c r="F1700" i="11"/>
  <c r="C1700" i="11"/>
  <c r="F1699" i="11"/>
  <c r="C1699" i="11"/>
  <c r="F1698" i="11"/>
  <c r="C1698" i="11"/>
  <c r="F1697" i="11"/>
  <c r="C1697" i="11"/>
  <c r="F1696" i="11"/>
  <c r="C1696" i="11"/>
  <c r="F1695" i="11"/>
  <c r="C1695" i="11"/>
  <c r="F1694" i="11"/>
  <c r="C1694" i="11"/>
  <c r="F1693" i="11"/>
  <c r="C1693" i="11"/>
  <c r="F1692" i="11"/>
  <c r="C1692" i="11"/>
  <c r="F1691" i="11"/>
  <c r="C1691" i="11"/>
  <c r="F1690" i="11"/>
  <c r="C1690" i="11"/>
  <c r="F1689" i="11"/>
  <c r="C1689" i="11"/>
  <c r="F1688" i="11"/>
  <c r="C1688" i="11"/>
  <c r="F1687" i="11"/>
  <c r="C1687" i="11"/>
  <c r="F1686" i="11"/>
  <c r="C1686" i="11"/>
  <c r="F1685" i="11"/>
  <c r="C1685" i="11"/>
  <c r="F1684" i="11"/>
  <c r="C1684" i="11"/>
  <c r="F1683" i="11"/>
  <c r="C1683" i="11"/>
  <c r="F1682" i="11"/>
  <c r="C1682" i="11"/>
  <c r="F1681" i="11"/>
  <c r="C1681" i="11"/>
  <c r="F1680" i="11"/>
  <c r="C1680" i="11"/>
  <c r="F1679" i="11"/>
  <c r="C1679" i="11"/>
  <c r="F1678" i="11"/>
  <c r="C1678" i="11"/>
  <c r="F1677" i="11"/>
  <c r="C1677" i="11"/>
  <c r="F1676" i="11"/>
  <c r="C1676" i="11"/>
  <c r="F1675" i="11"/>
  <c r="C1675" i="11"/>
  <c r="F1674" i="11"/>
  <c r="C1674" i="11"/>
  <c r="F1673" i="11"/>
  <c r="C1673" i="11"/>
  <c r="F1672" i="11"/>
  <c r="C1672" i="11"/>
  <c r="F1671" i="11"/>
  <c r="C1671" i="11"/>
  <c r="F1670" i="11"/>
  <c r="C1670" i="11"/>
  <c r="F1669" i="11"/>
  <c r="C1669" i="11"/>
  <c r="F1668" i="11"/>
  <c r="C1668" i="11"/>
  <c r="F1667" i="11"/>
  <c r="C1667" i="11"/>
  <c r="F1666" i="11"/>
  <c r="C1666" i="11"/>
  <c r="F1665" i="11"/>
  <c r="C1665" i="11"/>
  <c r="F1664" i="11"/>
  <c r="C1664" i="11"/>
  <c r="F1663" i="11"/>
  <c r="C1663" i="11"/>
  <c r="F1662" i="11"/>
  <c r="C1662" i="11"/>
  <c r="F1661" i="11"/>
  <c r="C1661" i="11"/>
  <c r="F1660" i="11"/>
  <c r="C1660" i="11"/>
  <c r="F1659" i="11"/>
  <c r="C1659" i="11"/>
  <c r="F1658" i="11"/>
  <c r="C1658" i="11"/>
  <c r="F1657" i="11"/>
  <c r="C1657" i="11"/>
  <c r="F1656" i="11"/>
  <c r="C1656" i="11"/>
  <c r="F1655" i="11"/>
  <c r="C1655" i="11"/>
  <c r="F1654" i="11"/>
  <c r="C1654" i="11"/>
  <c r="F1653" i="11"/>
  <c r="C1653" i="11"/>
  <c r="F1652" i="11"/>
  <c r="C1652" i="11"/>
  <c r="F1651" i="11"/>
  <c r="C1651" i="11"/>
  <c r="F1650" i="11"/>
  <c r="C1650" i="11"/>
  <c r="F1649" i="11"/>
  <c r="C1649" i="11"/>
  <c r="F1648" i="11"/>
  <c r="C1648" i="11"/>
  <c r="F1647" i="11"/>
  <c r="C1647" i="11"/>
  <c r="F1646" i="11"/>
  <c r="C1646" i="11"/>
  <c r="F1645" i="11"/>
  <c r="C1645" i="11"/>
  <c r="F1644" i="11"/>
  <c r="C1644" i="11"/>
  <c r="F1643" i="11"/>
  <c r="C1643" i="11"/>
  <c r="F1642" i="11"/>
  <c r="C1642" i="11"/>
  <c r="F1641" i="11"/>
  <c r="C1641" i="11"/>
  <c r="F1640" i="11"/>
  <c r="C1640" i="11"/>
  <c r="F1639" i="11"/>
  <c r="C1639" i="11"/>
  <c r="F1638" i="11"/>
  <c r="C1638" i="11"/>
  <c r="F1637" i="11"/>
  <c r="C1637" i="11"/>
  <c r="F1636" i="11"/>
  <c r="C1636" i="11"/>
  <c r="F1635" i="11"/>
  <c r="C1635" i="11"/>
  <c r="F1634" i="11"/>
  <c r="C1634" i="11"/>
  <c r="F1633" i="11"/>
  <c r="C1633" i="11"/>
  <c r="F1632" i="11"/>
  <c r="C1632" i="11"/>
  <c r="F1631" i="11"/>
  <c r="C1631" i="11"/>
  <c r="F1630" i="11"/>
  <c r="C1630" i="11"/>
  <c r="F1629" i="11"/>
  <c r="C1629" i="11"/>
  <c r="F1628" i="11"/>
  <c r="C1628" i="11"/>
  <c r="F1627" i="11"/>
  <c r="C1627" i="11"/>
  <c r="F1626" i="11"/>
  <c r="C1626" i="11"/>
  <c r="F1625" i="11"/>
  <c r="C1625" i="11"/>
  <c r="F1624" i="11"/>
  <c r="C1624" i="11"/>
  <c r="F1623" i="11"/>
  <c r="C1623" i="11"/>
  <c r="F1622" i="11"/>
  <c r="C1622" i="11"/>
  <c r="F1621" i="11"/>
  <c r="C1621" i="11"/>
  <c r="F1620" i="11"/>
  <c r="C1620" i="11"/>
  <c r="F1619" i="11"/>
  <c r="C1619" i="11"/>
  <c r="F1618" i="11"/>
  <c r="C1618" i="11"/>
  <c r="F1617" i="11"/>
  <c r="C1617" i="11"/>
  <c r="F1616" i="11"/>
  <c r="C1616" i="11"/>
  <c r="F1615" i="11"/>
  <c r="C1615" i="11"/>
  <c r="F1614" i="11"/>
  <c r="C1614" i="11"/>
  <c r="F1613" i="11"/>
  <c r="C1613" i="11"/>
  <c r="F1612" i="11"/>
  <c r="C1612" i="11"/>
  <c r="F1611" i="11"/>
  <c r="C1611" i="11"/>
  <c r="F1610" i="11"/>
  <c r="C1610" i="11"/>
  <c r="F1609" i="11"/>
  <c r="C1609" i="11"/>
  <c r="F1608" i="11"/>
  <c r="C1608" i="11"/>
  <c r="F1607" i="11"/>
  <c r="C1607" i="11"/>
  <c r="F1606" i="11"/>
  <c r="C1606" i="11"/>
  <c r="F1605" i="11"/>
  <c r="C1605" i="11"/>
  <c r="F1604" i="11"/>
  <c r="C1604" i="11"/>
  <c r="F1603" i="11"/>
  <c r="C1603" i="11"/>
  <c r="F1602" i="11"/>
  <c r="C1602" i="11"/>
  <c r="F1601" i="11"/>
  <c r="C1601" i="11"/>
  <c r="F1600" i="11"/>
  <c r="C1600" i="11"/>
  <c r="F1599" i="11"/>
  <c r="C1599" i="11"/>
  <c r="F1598" i="11"/>
  <c r="C1598" i="11"/>
  <c r="F1597" i="11"/>
  <c r="C1597" i="11"/>
  <c r="F1596" i="11"/>
  <c r="C1596" i="11"/>
  <c r="F1595" i="11"/>
  <c r="C1595" i="11"/>
  <c r="F1594" i="11"/>
  <c r="C1594" i="11"/>
  <c r="F1593" i="11"/>
  <c r="C1593" i="11"/>
  <c r="F1592" i="11"/>
  <c r="C1592" i="11"/>
  <c r="F1591" i="11"/>
  <c r="C1591" i="11"/>
  <c r="F1590" i="11"/>
  <c r="C1590" i="11"/>
  <c r="F1589" i="11"/>
  <c r="C1589" i="11"/>
  <c r="F1588" i="11"/>
  <c r="C1588" i="11"/>
  <c r="F1587" i="11"/>
  <c r="C1587" i="11"/>
  <c r="F1586" i="11"/>
  <c r="C1586" i="11"/>
  <c r="F1585" i="11"/>
  <c r="C1585" i="11"/>
  <c r="F1584" i="11"/>
  <c r="C1584" i="11"/>
  <c r="F1583" i="11"/>
  <c r="C1583" i="11"/>
  <c r="F1582" i="11"/>
  <c r="C1582" i="11"/>
  <c r="F1581" i="11"/>
  <c r="C1581" i="11"/>
  <c r="F1580" i="11"/>
  <c r="C1580" i="11"/>
  <c r="F1579" i="11"/>
  <c r="C1579" i="11"/>
  <c r="F1578" i="11"/>
  <c r="C1578" i="11"/>
  <c r="F1577" i="11"/>
  <c r="C1577" i="11"/>
  <c r="F1576" i="11"/>
  <c r="C1576" i="11"/>
  <c r="F1575" i="11"/>
  <c r="C1575" i="11"/>
  <c r="F1574" i="11"/>
  <c r="C1574" i="11"/>
  <c r="F1573" i="11"/>
  <c r="C1573" i="11"/>
  <c r="F1572" i="11"/>
  <c r="C1572" i="11"/>
  <c r="F1571" i="11"/>
  <c r="C1571" i="11"/>
  <c r="F1570" i="11"/>
  <c r="C1570" i="11"/>
  <c r="F1569" i="11"/>
  <c r="C1569" i="11"/>
  <c r="F1568" i="11"/>
  <c r="C1568" i="11"/>
  <c r="F1567" i="11"/>
  <c r="C1567" i="11"/>
  <c r="F1566" i="11"/>
  <c r="C1566" i="11"/>
  <c r="F1565" i="11"/>
  <c r="C1565" i="11"/>
  <c r="F1564" i="11"/>
  <c r="C1564" i="11"/>
  <c r="F1563" i="11"/>
  <c r="C1563" i="11"/>
  <c r="F1562" i="11"/>
  <c r="C1562" i="11"/>
  <c r="F1561" i="11"/>
  <c r="C1561" i="11"/>
  <c r="F1560" i="11"/>
  <c r="C1560" i="11"/>
  <c r="F1559" i="11"/>
  <c r="C1559" i="11"/>
  <c r="F1558" i="11"/>
  <c r="C1558" i="11"/>
  <c r="F1557" i="11"/>
  <c r="C1557" i="11"/>
  <c r="F1556" i="11"/>
  <c r="C1556" i="11"/>
  <c r="F1555" i="11"/>
  <c r="C1555" i="11"/>
  <c r="F1554" i="11"/>
  <c r="C1554" i="11"/>
  <c r="F1553" i="11"/>
  <c r="C1553" i="11"/>
  <c r="F1552" i="11"/>
  <c r="C1552" i="11"/>
  <c r="F1551" i="11"/>
  <c r="C1551" i="11"/>
  <c r="F1550" i="11"/>
  <c r="C1550" i="11"/>
  <c r="F1549" i="11"/>
  <c r="C1549" i="11"/>
  <c r="F1548" i="11"/>
  <c r="C1548" i="11"/>
  <c r="F1547" i="11"/>
  <c r="C1547" i="11"/>
  <c r="F1546" i="11"/>
  <c r="C1546" i="11"/>
  <c r="F1545" i="11"/>
  <c r="C1545" i="11"/>
  <c r="F1544" i="11"/>
  <c r="C1544" i="11"/>
  <c r="F1543" i="11"/>
  <c r="C1543" i="11"/>
  <c r="F1542" i="11"/>
  <c r="C1542" i="11"/>
  <c r="F1541" i="11"/>
  <c r="C1541" i="11"/>
  <c r="F1540" i="11"/>
  <c r="C1540" i="11"/>
  <c r="F1539" i="11"/>
  <c r="C1539" i="11"/>
  <c r="F1538" i="11"/>
  <c r="C1538" i="11"/>
  <c r="F1537" i="11"/>
  <c r="C1537" i="11"/>
  <c r="F1536" i="11"/>
  <c r="C1536" i="11"/>
  <c r="F1535" i="11"/>
  <c r="C1535" i="11"/>
  <c r="F1534" i="11"/>
  <c r="C1534" i="11"/>
  <c r="F1533" i="11"/>
  <c r="C1533" i="11"/>
  <c r="F1532" i="11"/>
  <c r="C1532" i="11"/>
  <c r="F1531" i="11"/>
  <c r="C1531" i="11"/>
  <c r="F1530" i="11"/>
  <c r="C1530" i="11"/>
  <c r="F1529" i="11"/>
  <c r="C1529" i="11"/>
  <c r="F1528" i="11"/>
  <c r="C1528" i="11"/>
  <c r="F1527" i="11"/>
  <c r="C1527" i="11"/>
  <c r="F1526" i="11"/>
  <c r="C1526" i="11"/>
  <c r="F1525" i="11"/>
  <c r="C1525" i="11"/>
  <c r="F1524" i="11"/>
  <c r="C1524" i="11"/>
  <c r="F1523" i="11"/>
  <c r="C1523" i="11"/>
  <c r="F1522" i="11"/>
  <c r="C1522" i="11"/>
  <c r="F1521" i="11"/>
  <c r="C1521" i="11"/>
  <c r="F1520" i="11"/>
  <c r="C1520" i="11"/>
  <c r="F1519" i="11"/>
  <c r="C1519" i="11"/>
  <c r="F1518" i="11"/>
  <c r="C1518" i="11"/>
  <c r="F1517" i="11"/>
  <c r="C1517" i="11"/>
  <c r="F1516" i="11"/>
  <c r="C1516" i="11"/>
  <c r="F1515" i="11"/>
  <c r="C1515" i="11"/>
  <c r="F1514" i="11"/>
  <c r="C1514" i="11"/>
  <c r="F1513" i="11"/>
  <c r="C1513" i="11"/>
  <c r="F1512" i="11"/>
  <c r="C1512" i="11"/>
  <c r="F1511" i="11"/>
  <c r="C1511" i="11"/>
  <c r="F1510" i="11"/>
  <c r="C1510" i="11"/>
  <c r="F1509" i="11"/>
  <c r="C1509" i="11"/>
  <c r="F1508" i="11"/>
  <c r="C1508" i="11"/>
  <c r="F1507" i="11"/>
  <c r="C1507" i="11"/>
  <c r="F1506" i="11"/>
  <c r="C1506" i="11"/>
  <c r="F1505" i="11"/>
  <c r="C1505" i="11"/>
  <c r="F1504" i="11"/>
  <c r="C1504" i="11"/>
  <c r="F1503" i="11"/>
  <c r="C1503" i="11"/>
  <c r="F1502" i="11"/>
  <c r="C1502" i="11"/>
  <c r="F1501" i="11"/>
  <c r="C1501" i="11"/>
  <c r="F1500" i="11"/>
  <c r="C1500" i="11"/>
  <c r="F1499" i="11"/>
  <c r="C1499" i="11"/>
  <c r="F1498" i="11"/>
  <c r="C1498" i="11"/>
  <c r="F1497" i="11"/>
  <c r="C1497" i="11"/>
  <c r="F1496" i="11"/>
  <c r="C1496" i="11"/>
  <c r="F1495" i="11"/>
  <c r="C1495" i="11"/>
  <c r="F1494" i="11"/>
  <c r="C1494" i="11"/>
  <c r="F1493" i="11"/>
  <c r="C1493" i="11"/>
  <c r="F1492" i="11"/>
  <c r="C1492" i="11"/>
  <c r="F1491" i="11"/>
  <c r="C1491" i="11"/>
  <c r="F1490" i="11"/>
  <c r="C1490" i="11"/>
  <c r="F1489" i="11"/>
  <c r="C1489" i="11"/>
  <c r="F1488" i="11"/>
  <c r="C1488" i="11"/>
  <c r="F1487" i="11"/>
  <c r="C1487" i="11"/>
  <c r="F1486" i="11"/>
  <c r="C1486" i="11"/>
  <c r="F1485" i="11"/>
  <c r="C1485" i="11"/>
  <c r="F1484" i="11"/>
  <c r="C1484" i="11"/>
  <c r="F1483" i="11"/>
  <c r="C1483" i="11"/>
  <c r="F1482" i="11"/>
  <c r="C1482" i="11"/>
  <c r="F1481" i="11"/>
  <c r="C1481" i="11"/>
  <c r="F1480" i="11"/>
  <c r="C1480" i="11"/>
  <c r="F1479" i="11"/>
  <c r="C1479" i="11"/>
  <c r="F1478" i="11"/>
  <c r="C1478" i="11"/>
  <c r="F1477" i="11"/>
  <c r="C1477" i="11"/>
  <c r="F1476" i="11"/>
  <c r="C1476" i="11"/>
  <c r="F1475" i="11"/>
  <c r="C1475" i="11"/>
  <c r="F1474" i="11"/>
  <c r="C1474" i="11"/>
  <c r="F1473" i="11"/>
  <c r="C1473" i="11"/>
  <c r="F1472" i="11"/>
  <c r="C1472" i="11"/>
  <c r="F1471" i="11"/>
  <c r="C1471" i="11"/>
  <c r="F1470" i="11"/>
  <c r="C1470" i="11"/>
  <c r="F1469" i="11"/>
  <c r="C1469" i="11"/>
  <c r="F1468" i="11"/>
  <c r="C1468" i="11"/>
  <c r="F1467" i="11"/>
  <c r="C1467" i="11"/>
  <c r="F1466" i="11"/>
  <c r="C1466" i="11"/>
  <c r="F1465" i="11"/>
  <c r="C1465" i="11"/>
  <c r="F1464" i="11"/>
  <c r="C1464" i="11"/>
  <c r="F1463" i="11"/>
  <c r="C1463" i="11"/>
  <c r="F1462" i="11"/>
  <c r="C1462" i="11"/>
  <c r="F1461" i="11"/>
  <c r="C1461" i="11"/>
  <c r="F1460" i="11"/>
  <c r="C1460" i="11"/>
  <c r="F1459" i="11"/>
  <c r="C1459" i="11"/>
  <c r="F1458" i="11"/>
  <c r="C1458" i="11"/>
  <c r="F1457" i="11"/>
  <c r="C1457" i="11"/>
  <c r="F1456" i="11"/>
  <c r="C1456" i="11"/>
  <c r="F1455" i="11"/>
  <c r="C1455" i="11"/>
  <c r="F1454" i="11"/>
  <c r="C1454" i="11"/>
  <c r="F1453" i="11"/>
  <c r="C1453" i="11"/>
  <c r="F1452" i="11"/>
  <c r="C1452" i="11"/>
  <c r="F1451" i="11"/>
  <c r="C1451" i="11"/>
  <c r="F1450" i="11"/>
  <c r="C1450" i="11"/>
  <c r="F1449" i="11"/>
  <c r="C1449" i="11"/>
  <c r="F1448" i="11"/>
  <c r="C1448" i="11"/>
  <c r="F1447" i="11"/>
  <c r="C1447" i="11"/>
  <c r="F1446" i="11"/>
  <c r="C1446" i="11"/>
  <c r="F1445" i="11"/>
  <c r="C1445" i="11"/>
  <c r="F1444" i="11"/>
  <c r="C1444" i="11"/>
  <c r="F1443" i="11"/>
  <c r="C1443" i="11"/>
  <c r="F1442" i="11"/>
  <c r="C1442" i="11"/>
  <c r="F1441" i="11"/>
  <c r="C1441" i="11"/>
  <c r="F1440" i="11"/>
  <c r="C1440" i="11"/>
  <c r="F1439" i="11"/>
  <c r="C1439" i="11"/>
  <c r="F1438" i="11"/>
  <c r="C1438" i="11"/>
  <c r="F1437" i="11"/>
  <c r="C1437" i="11"/>
  <c r="F1436" i="11"/>
  <c r="C1436" i="11"/>
  <c r="F1435" i="11"/>
  <c r="C1435" i="11"/>
  <c r="F1434" i="11"/>
  <c r="C1434" i="11"/>
  <c r="F1433" i="11"/>
  <c r="C1433" i="11"/>
  <c r="F1432" i="11"/>
  <c r="C1432" i="11"/>
  <c r="F1431" i="11"/>
  <c r="C1431" i="11"/>
  <c r="F1430" i="11"/>
  <c r="C1430" i="11"/>
  <c r="F1429" i="11"/>
  <c r="C1429" i="11"/>
  <c r="F1428" i="11"/>
  <c r="C1428" i="11"/>
  <c r="F1427" i="11"/>
  <c r="C1427" i="11"/>
  <c r="F1426" i="11"/>
  <c r="C1426" i="11"/>
  <c r="F1425" i="11"/>
  <c r="C1425" i="11"/>
  <c r="F1424" i="11"/>
  <c r="C1424" i="11"/>
  <c r="F1423" i="11"/>
  <c r="C1423" i="11"/>
  <c r="F1422" i="11"/>
  <c r="C1422" i="11"/>
  <c r="F1421" i="11"/>
  <c r="C1421" i="11"/>
  <c r="F1420" i="11"/>
  <c r="C1420" i="11"/>
  <c r="F1419" i="11"/>
  <c r="C1419" i="11"/>
  <c r="F1418" i="11"/>
  <c r="C1418" i="11"/>
  <c r="F1417" i="11"/>
  <c r="C1417" i="11"/>
  <c r="F1416" i="11"/>
  <c r="C1416" i="11"/>
  <c r="F1415" i="11"/>
  <c r="C1415" i="11"/>
  <c r="F1414" i="11"/>
  <c r="C1414" i="11"/>
  <c r="F1413" i="11"/>
  <c r="C1413" i="11"/>
  <c r="F1412" i="11"/>
  <c r="C1412" i="11"/>
  <c r="F1411" i="11"/>
  <c r="C1411" i="11"/>
  <c r="F1410" i="11"/>
  <c r="C1410" i="11"/>
  <c r="F1409" i="11"/>
  <c r="C1409" i="11"/>
  <c r="F1408" i="11"/>
  <c r="C1408" i="11"/>
  <c r="F1407" i="11"/>
  <c r="C1407" i="11"/>
  <c r="F1406" i="11"/>
  <c r="C1406" i="11"/>
  <c r="F1405" i="11"/>
  <c r="C1405" i="11"/>
  <c r="F1404" i="11"/>
  <c r="C1404" i="11"/>
  <c r="F1403" i="11"/>
  <c r="C1403" i="11"/>
  <c r="F1402" i="11"/>
  <c r="C1402" i="11"/>
  <c r="F1401" i="11"/>
  <c r="C1401" i="11"/>
  <c r="F1400" i="11"/>
  <c r="C1400" i="11"/>
  <c r="F1399" i="11"/>
  <c r="C1399" i="11"/>
  <c r="F1398" i="11"/>
  <c r="C1398" i="11"/>
  <c r="F1397" i="11"/>
  <c r="C1397" i="11"/>
  <c r="F1396" i="11"/>
  <c r="C1396" i="11"/>
  <c r="F1395" i="11"/>
  <c r="C1395" i="11"/>
  <c r="F1394" i="11"/>
  <c r="C1394" i="11"/>
  <c r="F1393" i="11"/>
  <c r="C1393" i="11"/>
  <c r="F1392" i="11"/>
  <c r="C1392" i="11"/>
  <c r="F1391" i="11"/>
  <c r="C1391" i="11"/>
  <c r="F1390" i="11"/>
  <c r="C1390" i="11"/>
  <c r="F1389" i="11"/>
  <c r="C1389" i="11"/>
  <c r="F1388" i="11"/>
  <c r="C1388" i="11"/>
  <c r="F1387" i="11"/>
  <c r="C1387" i="11"/>
  <c r="F1386" i="11"/>
  <c r="C1386" i="11"/>
  <c r="F1385" i="11"/>
  <c r="C1385" i="11"/>
  <c r="F1384" i="11"/>
  <c r="C1384" i="11"/>
  <c r="F1383" i="11"/>
  <c r="C1383" i="11"/>
  <c r="F1382" i="11"/>
  <c r="C1382" i="11"/>
  <c r="F1381" i="11"/>
  <c r="C1381" i="11"/>
  <c r="F1380" i="11"/>
  <c r="C1380" i="11"/>
  <c r="F1379" i="11"/>
  <c r="C1379" i="11"/>
  <c r="F1378" i="11"/>
  <c r="C1378" i="11"/>
  <c r="F1377" i="11"/>
  <c r="C1377" i="11"/>
  <c r="F1376" i="11"/>
  <c r="C1376" i="11"/>
  <c r="F1375" i="11"/>
  <c r="C1375" i="11"/>
  <c r="F1374" i="11"/>
  <c r="C1374" i="11"/>
  <c r="F1373" i="11"/>
  <c r="C1373" i="11"/>
  <c r="F1372" i="11"/>
  <c r="C1372" i="11"/>
  <c r="F1371" i="11"/>
  <c r="C1371" i="11"/>
  <c r="F1370" i="11"/>
  <c r="C1370" i="11"/>
  <c r="F1369" i="11"/>
  <c r="C1369" i="11"/>
  <c r="F1368" i="11"/>
  <c r="C1368" i="11"/>
  <c r="F1367" i="11"/>
  <c r="C1367" i="11"/>
  <c r="F1366" i="11"/>
  <c r="C1366" i="11"/>
  <c r="F1365" i="11"/>
  <c r="C1365" i="11"/>
  <c r="F1364" i="11"/>
  <c r="C1364" i="11"/>
  <c r="F1363" i="11"/>
  <c r="C1363" i="11"/>
  <c r="F1362" i="11"/>
  <c r="C1362" i="11"/>
  <c r="F1361" i="11"/>
  <c r="C1361" i="11"/>
  <c r="F1360" i="11"/>
  <c r="C1360" i="11"/>
  <c r="F1359" i="11"/>
  <c r="C1359" i="11"/>
  <c r="F1358" i="11"/>
  <c r="C1358" i="11"/>
  <c r="F1357" i="11"/>
  <c r="C1357" i="11"/>
  <c r="F1356" i="11"/>
  <c r="C1356" i="11"/>
  <c r="F1355" i="11"/>
  <c r="C1355" i="11"/>
  <c r="F1354" i="11"/>
  <c r="C1354" i="11"/>
  <c r="F1353" i="11"/>
  <c r="C1353" i="11"/>
  <c r="F1352" i="11"/>
  <c r="C1352" i="11"/>
  <c r="F1351" i="11"/>
  <c r="C1351" i="11"/>
  <c r="F1350" i="11"/>
  <c r="C1350" i="11"/>
  <c r="F1349" i="11"/>
  <c r="C1349" i="11"/>
  <c r="F1348" i="11"/>
  <c r="C1348" i="11"/>
  <c r="F1347" i="11"/>
  <c r="C1347" i="11"/>
  <c r="F1346" i="11"/>
  <c r="C1346" i="11"/>
  <c r="F1345" i="11"/>
  <c r="C1345" i="11"/>
  <c r="F1344" i="11"/>
  <c r="C1344" i="11"/>
  <c r="F1343" i="11"/>
  <c r="C1343" i="11"/>
  <c r="F1342" i="11"/>
  <c r="C1342" i="11"/>
  <c r="F1341" i="11"/>
  <c r="C1341" i="11"/>
  <c r="F1340" i="11"/>
  <c r="C1340" i="11"/>
  <c r="F1339" i="11"/>
  <c r="C1339" i="11"/>
  <c r="F1338" i="11"/>
  <c r="C1338" i="11"/>
  <c r="F1337" i="11"/>
  <c r="C1337" i="11"/>
  <c r="F1336" i="11"/>
  <c r="C1336" i="11"/>
  <c r="F1335" i="11"/>
  <c r="C1335" i="11"/>
  <c r="F1334" i="11"/>
  <c r="C1334" i="11"/>
  <c r="F1333" i="11"/>
  <c r="C1333" i="11"/>
  <c r="F1332" i="11"/>
  <c r="C1332" i="11"/>
  <c r="F1331" i="11"/>
  <c r="C1331" i="11"/>
  <c r="F1330" i="11"/>
  <c r="C1330" i="11"/>
  <c r="F1329" i="11"/>
  <c r="C1329" i="11"/>
  <c r="F1328" i="11"/>
  <c r="C1328" i="11"/>
  <c r="F1327" i="11"/>
  <c r="C1327" i="11"/>
  <c r="F1326" i="11"/>
  <c r="C1326" i="11"/>
  <c r="F1325" i="11"/>
  <c r="C1325" i="11"/>
  <c r="F1324" i="11"/>
  <c r="C1324" i="11"/>
  <c r="F1323" i="11"/>
  <c r="C1323" i="11"/>
  <c r="F1322" i="11"/>
  <c r="C1322" i="11"/>
  <c r="F1321" i="11"/>
  <c r="C1321" i="11"/>
  <c r="F1320" i="11"/>
  <c r="C1320" i="11"/>
  <c r="F1319" i="11"/>
  <c r="C1319" i="11"/>
  <c r="F1318" i="11"/>
  <c r="C1318" i="11"/>
  <c r="F1317" i="11"/>
  <c r="C1317" i="11"/>
  <c r="F1316" i="11"/>
  <c r="C1316" i="11"/>
  <c r="F1315" i="11"/>
  <c r="C1315" i="11"/>
  <c r="F1314" i="11"/>
  <c r="C1314" i="11"/>
  <c r="F1313" i="11"/>
  <c r="C1313" i="11"/>
  <c r="F1312" i="11"/>
  <c r="C1312" i="11"/>
  <c r="F1311" i="11"/>
  <c r="C1311" i="11"/>
  <c r="F1310" i="11"/>
  <c r="C1310" i="11"/>
  <c r="F1309" i="11"/>
  <c r="C1309" i="11"/>
  <c r="F1308" i="11"/>
  <c r="C1308" i="11"/>
  <c r="F1307" i="11"/>
  <c r="C1307" i="11"/>
  <c r="F1306" i="11"/>
  <c r="C1306" i="11"/>
  <c r="F1305" i="11"/>
  <c r="C1305" i="11"/>
  <c r="F1304" i="11"/>
  <c r="C1304" i="11"/>
  <c r="F1303" i="11"/>
  <c r="C1303" i="11"/>
  <c r="F1302" i="11"/>
  <c r="C1302" i="11"/>
  <c r="F1301" i="11"/>
  <c r="C1301" i="11"/>
  <c r="F1300" i="11"/>
  <c r="C1300" i="11"/>
  <c r="F1299" i="11"/>
  <c r="C1299" i="11"/>
  <c r="F1298" i="11"/>
  <c r="C1298" i="11"/>
  <c r="F1297" i="11"/>
  <c r="C1297" i="11"/>
  <c r="F1296" i="11"/>
  <c r="C1296" i="11"/>
  <c r="F1295" i="11"/>
  <c r="C1295" i="11"/>
  <c r="F1294" i="11"/>
  <c r="C1294" i="11"/>
  <c r="F1293" i="11"/>
  <c r="C1293" i="11"/>
  <c r="F1292" i="11"/>
  <c r="C1292" i="11"/>
  <c r="F1291" i="11"/>
  <c r="C1291" i="11"/>
  <c r="F1290" i="11"/>
  <c r="C1290" i="11"/>
  <c r="F1289" i="11"/>
  <c r="C1289" i="11"/>
  <c r="F1288" i="11"/>
  <c r="C1288" i="11"/>
  <c r="F1287" i="11"/>
  <c r="C1287" i="11"/>
  <c r="F1286" i="11"/>
  <c r="C1286" i="11"/>
  <c r="F1285" i="11"/>
  <c r="C1285" i="11"/>
  <c r="F1284" i="11"/>
  <c r="C1284" i="11"/>
  <c r="F1283" i="11"/>
  <c r="C1283" i="11"/>
  <c r="F1282" i="11"/>
  <c r="C1282" i="11"/>
  <c r="F1281" i="11"/>
  <c r="C1281" i="11"/>
  <c r="F1280" i="11"/>
  <c r="C1280" i="11"/>
  <c r="F1279" i="11"/>
  <c r="C1279" i="11"/>
  <c r="F1278" i="11"/>
  <c r="C1278" i="11"/>
  <c r="F1277" i="11"/>
  <c r="C1277" i="11"/>
  <c r="F1276" i="11"/>
  <c r="C1276" i="11"/>
  <c r="F1275" i="11"/>
  <c r="C1275" i="11"/>
  <c r="F1274" i="11"/>
  <c r="C1274" i="11"/>
  <c r="F1273" i="11"/>
  <c r="C1273" i="11"/>
  <c r="F1272" i="11"/>
  <c r="C1272" i="11"/>
  <c r="F1271" i="11"/>
  <c r="C1271" i="11"/>
  <c r="F1270" i="11"/>
  <c r="C1270" i="11"/>
  <c r="F1269" i="11"/>
  <c r="C1269" i="11"/>
  <c r="F1268" i="11"/>
  <c r="C1268" i="11"/>
  <c r="F1267" i="11"/>
  <c r="C1267" i="11"/>
  <c r="F1266" i="11"/>
  <c r="C1266" i="11"/>
  <c r="F1265" i="11"/>
  <c r="C1265" i="11"/>
  <c r="F1264" i="11"/>
  <c r="C1264" i="11"/>
  <c r="F1263" i="11"/>
  <c r="C1263" i="11"/>
  <c r="F1262" i="11"/>
  <c r="C1262" i="11"/>
  <c r="F1261" i="11"/>
  <c r="C1261" i="11"/>
  <c r="F1260" i="11"/>
  <c r="C1260" i="11"/>
  <c r="F1259" i="11"/>
  <c r="C1259" i="11"/>
  <c r="F1258" i="11"/>
  <c r="C1258" i="11"/>
  <c r="F1257" i="11"/>
  <c r="C1257" i="11"/>
  <c r="F1256" i="11"/>
  <c r="C1256" i="11"/>
  <c r="F1255" i="11"/>
  <c r="C1255" i="11"/>
  <c r="F1254" i="11"/>
  <c r="C1254" i="11"/>
  <c r="F1253" i="11"/>
  <c r="C1253" i="11"/>
  <c r="F1252" i="11"/>
  <c r="C1252" i="11"/>
  <c r="F1251" i="11"/>
  <c r="C1251" i="11"/>
  <c r="F1250" i="11"/>
  <c r="C1250" i="11"/>
  <c r="F1249" i="11"/>
  <c r="C1249" i="11"/>
  <c r="F1248" i="11"/>
  <c r="C1248" i="11"/>
  <c r="F1247" i="11"/>
  <c r="C1247" i="11"/>
  <c r="F1246" i="11"/>
  <c r="C1246" i="11"/>
  <c r="F1245" i="11"/>
  <c r="C1245" i="11"/>
  <c r="F1244" i="11"/>
  <c r="C1244" i="11"/>
  <c r="F1243" i="11"/>
  <c r="C1243" i="11"/>
  <c r="F1242" i="11"/>
  <c r="C1242" i="11"/>
  <c r="F1241" i="11"/>
  <c r="C1241" i="11"/>
  <c r="F1240" i="11"/>
  <c r="C1240" i="11"/>
  <c r="F1239" i="11"/>
  <c r="C1239" i="11"/>
  <c r="F1238" i="11"/>
  <c r="C1238" i="11"/>
  <c r="F1237" i="11"/>
  <c r="C1237" i="11"/>
  <c r="F1236" i="11"/>
  <c r="C1236" i="11"/>
  <c r="F1235" i="11"/>
  <c r="C1235" i="11"/>
  <c r="F1234" i="11"/>
  <c r="C1234" i="11"/>
  <c r="F1233" i="11"/>
  <c r="C1233" i="11"/>
  <c r="F1232" i="11"/>
  <c r="C1232" i="11"/>
  <c r="F1231" i="11"/>
  <c r="C1231" i="11"/>
  <c r="F1230" i="11"/>
  <c r="C1230" i="11"/>
  <c r="F1229" i="11"/>
  <c r="C1229" i="11"/>
  <c r="F1228" i="11"/>
  <c r="C1228" i="11"/>
  <c r="F1227" i="11"/>
  <c r="C1227" i="11"/>
  <c r="F1226" i="11"/>
  <c r="C1226" i="11"/>
  <c r="F1225" i="11"/>
  <c r="C1225" i="11"/>
  <c r="F1224" i="11"/>
  <c r="C1224" i="11"/>
  <c r="F1223" i="11"/>
  <c r="C1223" i="11"/>
  <c r="F1222" i="11"/>
  <c r="C1222" i="11"/>
  <c r="F1221" i="11"/>
  <c r="C1221" i="11"/>
  <c r="F1220" i="11"/>
  <c r="C1220" i="11"/>
  <c r="F1219" i="11"/>
  <c r="C1219" i="11"/>
  <c r="F1218" i="11"/>
  <c r="C1218" i="11"/>
  <c r="F1217" i="11"/>
  <c r="C1217" i="11"/>
  <c r="F1216" i="11"/>
  <c r="C1216" i="11"/>
  <c r="F1215" i="11"/>
  <c r="C1215" i="11"/>
  <c r="F1214" i="11"/>
  <c r="C1214" i="11"/>
  <c r="F1213" i="11"/>
  <c r="C1213" i="11"/>
  <c r="F1212" i="11"/>
  <c r="C1212" i="11"/>
  <c r="F1211" i="11"/>
  <c r="C1211" i="11"/>
  <c r="F1210" i="11"/>
  <c r="C1210" i="11"/>
  <c r="F1209" i="11"/>
  <c r="C1209" i="11"/>
  <c r="F1208" i="11"/>
  <c r="C1208" i="11"/>
  <c r="F1207" i="11"/>
  <c r="C1207" i="11"/>
  <c r="F1206" i="11"/>
  <c r="C1206" i="11"/>
  <c r="F1205" i="11"/>
  <c r="C1205" i="11"/>
  <c r="F1204" i="11"/>
  <c r="C1204" i="11"/>
  <c r="F1203" i="11"/>
  <c r="C1203" i="11"/>
  <c r="F1202" i="11"/>
  <c r="C1202" i="11"/>
  <c r="F1201" i="11"/>
  <c r="C1201" i="11"/>
  <c r="F1200" i="11"/>
  <c r="C1200" i="11"/>
  <c r="F1199" i="11"/>
  <c r="C1199" i="11"/>
  <c r="F1198" i="11"/>
  <c r="C1198" i="11"/>
  <c r="F1197" i="11"/>
  <c r="C1197" i="11"/>
  <c r="F1196" i="11"/>
  <c r="C1196" i="11"/>
  <c r="F1195" i="11"/>
  <c r="C1195" i="11"/>
  <c r="F1194" i="11"/>
  <c r="C1194" i="11"/>
  <c r="F1193" i="11"/>
  <c r="C1193" i="11"/>
  <c r="F1192" i="11"/>
  <c r="C1192" i="11"/>
  <c r="F1191" i="11"/>
  <c r="C1191" i="11"/>
  <c r="F1190" i="11"/>
  <c r="C1190" i="11"/>
  <c r="F1189" i="11"/>
  <c r="C1189" i="11"/>
  <c r="F1188" i="11"/>
  <c r="C1188" i="11"/>
  <c r="F1187" i="11"/>
  <c r="C1187" i="11"/>
  <c r="F1186" i="11"/>
  <c r="C1186" i="11"/>
  <c r="F1185" i="11"/>
  <c r="C1185" i="11"/>
  <c r="F1184" i="11"/>
  <c r="C1184" i="11"/>
  <c r="F1183" i="11"/>
  <c r="C1183" i="11"/>
  <c r="F1182" i="11"/>
  <c r="C1182" i="11"/>
  <c r="F1181" i="11"/>
  <c r="C1181" i="11"/>
  <c r="F1180" i="11"/>
  <c r="C1180" i="11"/>
  <c r="F1179" i="11"/>
  <c r="C1179" i="11"/>
  <c r="F1178" i="11"/>
  <c r="C1178" i="11"/>
  <c r="F1177" i="11"/>
  <c r="C1177" i="11"/>
  <c r="F1176" i="11"/>
  <c r="C1176" i="11"/>
  <c r="F1175" i="11"/>
  <c r="C1175" i="11"/>
  <c r="F1174" i="11"/>
  <c r="C1174" i="11"/>
  <c r="F1173" i="11"/>
  <c r="C1173" i="11"/>
  <c r="F1172" i="11"/>
  <c r="C1172" i="11"/>
  <c r="F1171" i="11"/>
  <c r="C1171" i="11"/>
  <c r="F1170" i="11"/>
  <c r="C1170" i="11"/>
  <c r="F1169" i="11"/>
  <c r="C1169" i="11"/>
  <c r="F1168" i="11"/>
  <c r="C1168" i="11"/>
  <c r="F1167" i="11"/>
  <c r="C1167" i="11"/>
  <c r="F1166" i="11"/>
  <c r="C1166" i="11"/>
  <c r="F1165" i="11"/>
  <c r="C1165" i="11"/>
  <c r="F1164" i="11"/>
  <c r="C1164" i="11"/>
  <c r="F1163" i="11"/>
  <c r="C1163" i="11"/>
  <c r="F1162" i="11"/>
  <c r="C1162" i="11"/>
  <c r="F1161" i="11"/>
  <c r="C1161" i="11"/>
  <c r="F1160" i="11"/>
  <c r="C1160" i="11"/>
  <c r="F1159" i="11"/>
  <c r="C1159" i="11"/>
  <c r="F1158" i="11"/>
  <c r="C1158" i="11"/>
  <c r="F1157" i="11"/>
  <c r="C1157" i="11"/>
  <c r="F1156" i="11"/>
  <c r="C1156" i="11"/>
  <c r="F1155" i="11"/>
  <c r="C1155" i="11"/>
  <c r="F1154" i="11"/>
  <c r="C1154" i="11"/>
  <c r="F1153" i="11"/>
  <c r="C1153" i="11"/>
  <c r="F1152" i="11"/>
  <c r="C1152" i="11"/>
  <c r="F1151" i="11"/>
  <c r="C1151" i="11"/>
  <c r="F1150" i="11"/>
  <c r="C1150" i="11"/>
  <c r="F1149" i="11"/>
  <c r="C1149" i="11"/>
  <c r="F1148" i="11"/>
  <c r="C1148" i="11"/>
  <c r="F1147" i="11"/>
  <c r="C1147" i="11"/>
  <c r="F1146" i="11"/>
  <c r="C1146" i="11"/>
  <c r="F1145" i="11"/>
  <c r="C1145" i="11"/>
  <c r="F1144" i="11"/>
  <c r="C1144" i="11"/>
  <c r="F1143" i="11"/>
  <c r="C1143" i="11"/>
  <c r="F1142" i="11"/>
  <c r="C1142" i="11"/>
  <c r="F1141" i="11"/>
  <c r="C1141" i="11"/>
  <c r="F1140" i="11"/>
  <c r="C1140" i="11"/>
  <c r="F1139" i="11"/>
  <c r="C1139" i="11"/>
  <c r="F1138" i="11"/>
  <c r="C1138" i="11"/>
  <c r="F1137" i="11"/>
  <c r="C1137" i="11"/>
  <c r="F1136" i="11"/>
  <c r="C1136" i="11"/>
  <c r="F1135" i="11"/>
  <c r="C1135" i="11"/>
  <c r="F1134" i="11"/>
  <c r="C1134" i="11"/>
  <c r="F1133" i="11"/>
  <c r="C1133" i="11"/>
  <c r="F1132" i="11"/>
  <c r="C1132" i="11"/>
  <c r="F1131" i="11"/>
  <c r="C1131" i="11"/>
  <c r="F1130" i="11"/>
  <c r="C1130" i="11"/>
  <c r="F1129" i="11"/>
  <c r="C1129" i="11"/>
  <c r="F1128" i="11"/>
  <c r="C1128" i="11"/>
  <c r="F1127" i="11"/>
  <c r="C1127" i="11"/>
  <c r="F1126" i="11"/>
  <c r="C1126" i="11"/>
  <c r="F1125" i="11"/>
  <c r="C1125" i="11"/>
  <c r="F1124" i="11"/>
  <c r="C1124" i="11"/>
  <c r="F1123" i="11"/>
  <c r="C1123" i="11"/>
  <c r="F1122" i="11"/>
  <c r="C1122" i="11"/>
  <c r="F1121" i="11"/>
  <c r="C1121" i="11"/>
  <c r="F1120" i="11"/>
  <c r="C1120" i="11"/>
  <c r="F1119" i="11"/>
  <c r="C1119" i="11"/>
  <c r="F1118" i="11"/>
  <c r="C1118" i="11"/>
  <c r="F1117" i="11"/>
  <c r="C1117" i="11"/>
  <c r="F1116" i="11"/>
  <c r="C1116" i="11"/>
  <c r="F1115" i="11"/>
  <c r="C1115" i="11"/>
  <c r="F1114" i="11"/>
  <c r="C1114" i="11"/>
  <c r="F1113" i="11"/>
  <c r="C1113" i="11"/>
  <c r="F1112" i="11"/>
  <c r="C1112" i="11"/>
  <c r="F1111" i="11"/>
  <c r="C1111" i="11"/>
  <c r="F1110" i="11"/>
  <c r="C1110" i="11"/>
  <c r="F1109" i="11"/>
  <c r="C1109" i="11"/>
  <c r="F1108" i="11"/>
  <c r="C1108" i="11"/>
  <c r="F1107" i="11"/>
  <c r="C1107" i="11"/>
  <c r="F1106" i="11"/>
  <c r="C1106" i="11"/>
  <c r="F1105" i="11"/>
  <c r="C1105" i="11"/>
  <c r="F1104" i="11"/>
  <c r="C1104" i="11"/>
  <c r="F1103" i="11"/>
  <c r="C1103" i="11"/>
  <c r="F1102" i="11"/>
  <c r="C1102" i="11"/>
  <c r="F1101" i="11"/>
  <c r="C1101" i="11"/>
  <c r="F1100" i="11"/>
  <c r="C1100" i="11"/>
  <c r="F1099" i="11"/>
  <c r="C1099" i="11"/>
  <c r="F1098" i="11"/>
  <c r="C1098" i="11"/>
  <c r="F1097" i="11"/>
  <c r="C1097" i="11"/>
  <c r="F1096" i="11"/>
  <c r="C1096" i="11"/>
  <c r="F1095" i="11"/>
  <c r="C1095" i="11"/>
  <c r="F1094" i="11"/>
  <c r="C1094" i="11"/>
  <c r="F1093" i="11"/>
  <c r="C1093" i="11"/>
  <c r="F1092" i="11"/>
  <c r="C1092" i="11"/>
  <c r="F1091" i="11"/>
  <c r="C1091" i="11"/>
  <c r="F1090" i="11"/>
  <c r="C1090" i="11"/>
  <c r="F1089" i="11"/>
  <c r="C1089" i="11"/>
  <c r="F1088" i="11"/>
  <c r="C1088" i="11"/>
  <c r="F1087" i="11"/>
  <c r="C1087" i="11"/>
  <c r="F1086" i="11"/>
  <c r="C1086" i="11"/>
  <c r="F1085" i="11"/>
  <c r="C1085" i="11"/>
  <c r="F1084" i="11"/>
  <c r="C1084" i="11"/>
  <c r="F1083" i="11"/>
  <c r="C1083" i="11"/>
  <c r="F1082" i="11"/>
  <c r="C1082" i="11"/>
  <c r="F1081" i="11"/>
  <c r="C1081" i="11"/>
  <c r="F1080" i="11"/>
  <c r="C1080" i="11"/>
  <c r="F1079" i="11"/>
  <c r="C1079" i="11"/>
  <c r="F1078" i="11"/>
  <c r="C1078" i="11"/>
  <c r="F1077" i="11"/>
  <c r="C1077" i="11"/>
  <c r="F1076" i="11"/>
  <c r="C1076" i="11"/>
  <c r="F1075" i="11"/>
  <c r="C1075" i="11"/>
  <c r="F1074" i="11"/>
  <c r="C1074" i="11"/>
  <c r="F1073" i="11"/>
  <c r="C1073" i="11"/>
  <c r="F1072" i="11"/>
  <c r="C1072" i="11"/>
  <c r="F1071" i="11"/>
  <c r="C1071" i="11"/>
  <c r="F1070" i="11"/>
  <c r="C1070" i="11"/>
  <c r="F1069" i="11"/>
  <c r="C1069" i="11"/>
  <c r="F1068" i="11"/>
  <c r="C1068" i="11"/>
  <c r="F1067" i="11"/>
  <c r="C1067" i="11"/>
  <c r="F1066" i="11"/>
  <c r="C1066" i="11"/>
  <c r="F1065" i="11"/>
  <c r="C1065" i="11"/>
  <c r="F1064" i="11"/>
  <c r="C1064" i="11"/>
  <c r="F1063" i="11"/>
  <c r="C1063" i="11"/>
  <c r="F1062" i="11"/>
  <c r="C1062" i="11"/>
  <c r="F1061" i="11"/>
  <c r="C1061" i="11"/>
  <c r="F1060" i="11"/>
  <c r="C1060" i="11"/>
  <c r="F1059" i="11"/>
  <c r="C1059" i="11"/>
  <c r="F1058" i="11"/>
  <c r="C1058" i="11"/>
  <c r="F1057" i="11"/>
  <c r="C1057" i="11"/>
  <c r="F1056" i="11"/>
  <c r="C1056" i="11"/>
  <c r="F1055" i="11"/>
  <c r="C1055" i="11"/>
  <c r="F1054" i="11"/>
  <c r="C1054" i="11"/>
  <c r="F1053" i="11"/>
  <c r="C1053" i="11"/>
  <c r="F1052" i="11"/>
  <c r="C1052" i="11"/>
  <c r="F1051" i="11"/>
  <c r="C1051" i="11"/>
  <c r="F1050" i="11"/>
  <c r="C1050" i="11"/>
  <c r="F1049" i="11"/>
  <c r="C1049" i="11"/>
  <c r="F1048" i="11"/>
  <c r="C1048" i="11"/>
  <c r="F1047" i="11"/>
  <c r="C1047" i="11"/>
  <c r="F1046" i="11"/>
  <c r="C1046" i="11"/>
  <c r="F1045" i="11"/>
  <c r="C1045" i="11"/>
  <c r="F1044" i="11"/>
  <c r="C1044" i="11"/>
  <c r="F1043" i="11"/>
  <c r="C1043" i="11"/>
  <c r="F1042" i="11"/>
  <c r="C1042" i="11"/>
  <c r="F1041" i="11"/>
  <c r="C1041" i="11"/>
  <c r="F1040" i="11"/>
  <c r="C1040" i="11"/>
  <c r="F1039" i="11"/>
  <c r="C1039" i="11"/>
  <c r="F1038" i="11"/>
  <c r="C1038" i="11"/>
  <c r="F1037" i="11"/>
  <c r="C1037" i="11"/>
  <c r="F1036" i="11"/>
  <c r="C1036" i="11"/>
  <c r="F1035" i="11"/>
  <c r="C1035" i="11"/>
  <c r="F1034" i="11"/>
  <c r="C1034" i="11"/>
  <c r="F1033" i="11"/>
  <c r="C1033" i="11"/>
  <c r="F1032" i="11"/>
  <c r="C1032" i="11"/>
  <c r="F1031" i="11"/>
  <c r="C1031" i="11"/>
  <c r="F1030" i="11"/>
  <c r="C1030" i="11"/>
  <c r="F1029" i="11"/>
  <c r="C1029" i="11"/>
  <c r="F1028" i="11"/>
  <c r="C1028" i="11"/>
  <c r="F1027" i="11"/>
  <c r="C1027" i="11"/>
  <c r="F1026" i="11"/>
  <c r="C1026" i="11"/>
  <c r="F1025" i="11"/>
  <c r="C1025" i="11"/>
  <c r="F1024" i="11"/>
  <c r="C1024" i="11"/>
  <c r="F1023" i="11"/>
  <c r="C1023" i="11"/>
  <c r="F1022" i="11"/>
  <c r="C1022" i="11"/>
  <c r="F1021" i="11"/>
  <c r="C1021" i="11"/>
  <c r="F1020" i="11"/>
  <c r="C1020" i="11"/>
  <c r="F1019" i="11"/>
  <c r="C1019" i="11"/>
  <c r="F1018" i="11"/>
  <c r="C1018" i="11"/>
  <c r="F1017" i="11"/>
  <c r="C1017" i="11"/>
  <c r="F1016" i="11"/>
  <c r="C1016" i="11"/>
  <c r="F1015" i="11"/>
  <c r="C1015" i="11"/>
  <c r="F1014" i="11"/>
  <c r="C1014" i="11"/>
  <c r="F1013" i="11"/>
  <c r="C1013" i="11"/>
  <c r="F1012" i="11"/>
  <c r="C1012" i="11"/>
  <c r="F1011" i="11"/>
  <c r="C1011" i="11"/>
  <c r="F1010" i="11"/>
  <c r="C1010" i="11"/>
  <c r="F1009" i="11"/>
  <c r="C1009" i="11"/>
  <c r="F1008" i="11"/>
  <c r="C1008" i="11"/>
  <c r="F1007" i="11"/>
  <c r="C1007" i="11"/>
  <c r="F1006" i="11"/>
  <c r="C1006" i="11"/>
  <c r="F1005" i="11"/>
  <c r="C1005" i="11"/>
  <c r="F1004" i="11"/>
  <c r="C1004" i="11"/>
  <c r="F1003" i="11"/>
  <c r="C1003" i="11"/>
  <c r="F1002" i="11"/>
  <c r="C1002" i="11"/>
  <c r="F1001" i="11"/>
  <c r="C1001" i="11"/>
  <c r="F1000" i="11"/>
  <c r="C1000" i="11"/>
  <c r="F999" i="11"/>
  <c r="C999" i="11"/>
  <c r="F998" i="11"/>
  <c r="C998" i="11"/>
  <c r="F997" i="11"/>
  <c r="C997" i="11"/>
  <c r="F996" i="11"/>
  <c r="C996" i="11"/>
  <c r="F995" i="11"/>
  <c r="C995" i="11"/>
  <c r="F994" i="11"/>
  <c r="C994" i="11"/>
  <c r="F993" i="11"/>
  <c r="C993" i="11"/>
  <c r="F992" i="11"/>
  <c r="C992" i="11"/>
  <c r="F991" i="11"/>
  <c r="C991" i="11"/>
  <c r="F990" i="11"/>
  <c r="C990" i="11"/>
  <c r="F989" i="11"/>
  <c r="C989" i="11"/>
  <c r="F988" i="11"/>
  <c r="C988" i="11"/>
  <c r="F987" i="11"/>
  <c r="C987" i="11"/>
  <c r="F986" i="11"/>
  <c r="C986" i="11"/>
  <c r="F985" i="11"/>
  <c r="C985" i="11"/>
  <c r="F984" i="11"/>
  <c r="C984" i="11"/>
  <c r="F983" i="11"/>
  <c r="C983" i="11"/>
  <c r="F982" i="11"/>
  <c r="C982" i="11"/>
  <c r="F981" i="11"/>
  <c r="C981" i="11"/>
  <c r="F980" i="11"/>
  <c r="C980" i="11"/>
  <c r="F979" i="11"/>
  <c r="C979" i="11"/>
  <c r="F978" i="11"/>
  <c r="C978" i="11"/>
  <c r="F977" i="11"/>
  <c r="C977" i="11"/>
  <c r="F976" i="11"/>
  <c r="C976" i="11"/>
  <c r="F975" i="11"/>
  <c r="C975" i="11"/>
  <c r="F974" i="11"/>
  <c r="C974" i="11"/>
  <c r="F973" i="11"/>
  <c r="C973" i="11"/>
  <c r="F972" i="11"/>
  <c r="C972" i="11"/>
  <c r="F971" i="11"/>
  <c r="C971" i="11"/>
  <c r="F970" i="11"/>
  <c r="C970" i="11"/>
  <c r="F969" i="11"/>
  <c r="C969" i="11"/>
  <c r="F968" i="11"/>
  <c r="C968" i="11"/>
  <c r="F967" i="11"/>
  <c r="C967" i="11"/>
  <c r="F966" i="11"/>
  <c r="C966" i="11"/>
  <c r="F965" i="11"/>
  <c r="C965" i="11"/>
  <c r="F964" i="11"/>
  <c r="C964" i="11"/>
  <c r="F963" i="11"/>
  <c r="C963" i="11"/>
  <c r="F962" i="11"/>
  <c r="C962" i="11"/>
  <c r="F961" i="11"/>
  <c r="C961" i="11"/>
  <c r="F960" i="11"/>
  <c r="C960" i="11"/>
  <c r="F959" i="11"/>
  <c r="C959" i="11"/>
  <c r="F958" i="11"/>
  <c r="C958" i="11"/>
  <c r="F957" i="11"/>
  <c r="C957" i="11"/>
  <c r="F956" i="11"/>
  <c r="C956" i="11"/>
  <c r="F955" i="11"/>
  <c r="C955" i="11"/>
  <c r="F954" i="11"/>
  <c r="C954" i="11"/>
  <c r="F953" i="11"/>
  <c r="C953" i="11"/>
  <c r="F952" i="11"/>
  <c r="C952" i="11"/>
  <c r="F951" i="11"/>
  <c r="C951" i="11"/>
  <c r="F950" i="11"/>
  <c r="C950" i="11"/>
  <c r="F949" i="11"/>
  <c r="C949" i="11"/>
  <c r="F948" i="11"/>
  <c r="C948" i="11"/>
  <c r="F947" i="11"/>
  <c r="C947" i="11"/>
  <c r="F946" i="11"/>
  <c r="C946" i="11"/>
  <c r="F945" i="11"/>
  <c r="C945" i="11"/>
  <c r="F944" i="11"/>
  <c r="C944" i="11"/>
  <c r="F943" i="11"/>
  <c r="C943" i="11"/>
  <c r="F942" i="11"/>
  <c r="C942" i="11"/>
  <c r="F941" i="11"/>
  <c r="C941" i="11"/>
  <c r="F940" i="11"/>
  <c r="C940" i="11"/>
  <c r="F939" i="11"/>
  <c r="C939" i="11"/>
  <c r="F938" i="11"/>
  <c r="C938" i="11"/>
  <c r="F937" i="11"/>
  <c r="C937" i="11"/>
  <c r="F936" i="11"/>
  <c r="C936" i="11"/>
  <c r="F935" i="11"/>
  <c r="C935" i="11"/>
  <c r="F934" i="11"/>
  <c r="C934" i="11"/>
  <c r="F933" i="11"/>
  <c r="C933" i="11"/>
  <c r="F932" i="11"/>
  <c r="C932" i="11"/>
  <c r="F931" i="11"/>
  <c r="C931" i="11"/>
  <c r="F930" i="11"/>
  <c r="C930" i="11"/>
  <c r="F929" i="11"/>
  <c r="C929" i="11"/>
  <c r="F928" i="11"/>
  <c r="C928" i="11"/>
  <c r="F927" i="11"/>
  <c r="C927" i="11"/>
  <c r="F926" i="11"/>
  <c r="C926" i="11"/>
  <c r="F925" i="11"/>
  <c r="C925" i="11"/>
  <c r="F924" i="11"/>
  <c r="C924" i="11"/>
  <c r="F923" i="11"/>
  <c r="C923" i="11"/>
  <c r="F922" i="11"/>
  <c r="C922" i="11"/>
  <c r="F921" i="11"/>
  <c r="C921" i="11"/>
  <c r="F920" i="11"/>
  <c r="C920" i="11"/>
  <c r="F919" i="11"/>
  <c r="C919" i="11"/>
  <c r="F918" i="11"/>
  <c r="C918" i="11"/>
  <c r="F917" i="11"/>
  <c r="C917" i="11"/>
  <c r="F916" i="11"/>
  <c r="C916" i="11"/>
  <c r="F915" i="11"/>
  <c r="C915" i="11"/>
  <c r="F914" i="11"/>
  <c r="C914" i="11"/>
  <c r="F913" i="11"/>
  <c r="C913" i="11"/>
  <c r="F912" i="11"/>
  <c r="C912" i="11"/>
  <c r="F911" i="11"/>
  <c r="C911" i="11"/>
  <c r="F910" i="11"/>
  <c r="C910" i="11"/>
  <c r="F909" i="11"/>
  <c r="C909" i="11"/>
  <c r="F908" i="11"/>
  <c r="C908" i="11"/>
  <c r="F907" i="11"/>
  <c r="C907" i="11"/>
  <c r="F906" i="11"/>
  <c r="C906" i="11"/>
  <c r="F905" i="11"/>
  <c r="C905" i="11"/>
  <c r="F904" i="11"/>
  <c r="C904" i="11"/>
  <c r="F903" i="11"/>
  <c r="C903" i="11"/>
  <c r="F902" i="11"/>
  <c r="C902" i="11"/>
  <c r="F901" i="11"/>
  <c r="C901" i="11"/>
  <c r="F900" i="11"/>
  <c r="C900" i="11"/>
  <c r="F899" i="11"/>
  <c r="C899" i="11"/>
  <c r="F898" i="11"/>
  <c r="C898" i="11"/>
  <c r="F897" i="11"/>
  <c r="C897" i="11"/>
  <c r="F896" i="11"/>
  <c r="C896" i="11"/>
  <c r="F895" i="11"/>
  <c r="C895" i="11"/>
  <c r="F894" i="11"/>
  <c r="C894" i="11"/>
  <c r="F893" i="11"/>
  <c r="C893" i="11"/>
  <c r="F892" i="11"/>
  <c r="C892" i="11"/>
  <c r="F891" i="11"/>
  <c r="C891" i="11"/>
  <c r="F890" i="11"/>
  <c r="C890" i="11"/>
  <c r="F889" i="11"/>
  <c r="C889" i="11"/>
  <c r="F888" i="11"/>
  <c r="C888" i="11"/>
  <c r="F887" i="11"/>
  <c r="C887" i="11"/>
  <c r="F886" i="11"/>
  <c r="C886" i="11"/>
  <c r="F885" i="11"/>
  <c r="C885" i="11"/>
  <c r="F884" i="11"/>
  <c r="C884" i="11"/>
  <c r="F883" i="11"/>
  <c r="C883" i="11"/>
  <c r="F882" i="11"/>
  <c r="C882" i="11"/>
  <c r="F881" i="11"/>
  <c r="C881" i="11"/>
  <c r="F880" i="11"/>
  <c r="C880" i="11"/>
  <c r="F879" i="11"/>
  <c r="C879" i="11"/>
  <c r="F878" i="11"/>
  <c r="C878" i="11"/>
  <c r="F877" i="11"/>
  <c r="C877" i="11"/>
  <c r="F876" i="11"/>
  <c r="C876" i="11"/>
  <c r="F875" i="11"/>
  <c r="C875" i="11"/>
  <c r="F874" i="11"/>
  <c r="C874" i="11"/>
  <c r="F873" i="11"/>
  <c r="C873" i="11"/>
  <c r="F872" i="11"/>
  <c r="C872" i="11"/>
  <c r="F871" i="11"/>
  <c r="C871" i="11"/>
  <c r="F870" i="11"/>
  <c r="C870" i="11"/>
  <c r="F869" i="11"/>
  <c r="C869" i="11"/>
  <c r="F868" i="11"/>
  <c r="C868" i="11"/>
  <c r="F867" i="11"/>
  <c r="C867" i="11"/>
  <c r="F866" i="11"/>
  <c r="C866" i="11"/>
  <c r="F865" i="11"/>
  <c r="C865" i="11"/>
  <c r="F864" i="11"/>
  <c r="C864" i="11"/>
  <c r="F863" i="11"/>
  <c r="C863" i="11"/>
  <c r="F862" i="11"/>
  <c r="C862" i="11"/>
  <c r="F861" i="11"/>
  <c r="C861" i="11"/>
  <c r="F860" i="11"/>
  <c r="C860" i="11"/>
  <c r="F859" i="11"/>
  <c r="C859" i="11"/>
  <c r="F858" i="11"/>
  <c r="C858" i="11"/>
  <c r="F857" i="11"/>
  <c r="C857" i="11"/>
  <c r="F856" i="11"/>
  <c r="C856" i="11"/>
  <c r="F855" i="11"/>
  <c r="C855" i="11"/>
  <c r="F854" i="11"/>
  <c r="C854" i="11"/>
  <c r="F853" i="11"/>
  <c r="C853" i="11"/>
  <c r="F852" i="11"/>
  <c r="C852" i="11"/>
  <c r="F851" i="11"/>
  <c r="C851" i="11"/>
  <c r="F850" i="11"/>
  <c r="C850" i="11"/>
  <c r="F849" i="11"/>
  <c r="C849" i="11"/>
  <c r="F848" i="11"/>
  <c r="C848" i="11"/>
  <c r="F847" i="11"/>
  <c r="C847" i="11"/>
  <c r="F846" i="11"/>
  <c r="C846" i="11"/>
  <c r="F845" i="11"/>
  <c r="C845" i="11"/>
  <c r="F844" i="11"/>
  <c r="C844" i="11"/>
  <c r="F843" i="11"/>
  <c r="C843" i="11"/>
  <c r="F842" i="11"/>
  <c r="C842" i="11"/>
  <c r="F841" i="11"/>
  <c r="C841" i="11"/>
  <c r="F840" i="11"/>
  <c r="C840" i="11"/>
  <c r="F839" i="11"/>
  <c r="C839" i="11"/>
  <c r="F838" i="11"/>
  <c r="C838" i="11"/>
  <c r="F837" i="11"/>
  <c r="C837" i="11"/>
  <c r="F836" i="11"/>
  <c r="C836" i="11"/>
  <c r="F835" i="11"/>
  <c r="C835" i="11"/>
  <c r="F834" i="11"/>
  <c r="C834" i="11"/>
  <c r="F833" i="11"/>
  <c r="C833" i="11"/>
  <c r="F832" i="11"/>
  <c r="C832" i="11"/>
  <c r="F831" i="11"/>
  <c r="C831" i="11"/>
  <c r="F830" i="11"/>
  <c r="C830" i="11"/>
  <c r="F829" i="11"/>
  <c r="C829" i="11"/>
  <c r="F828" i="11"/>
  <c r="C828" i="11"/>
  <c r="F827" i="11"/>
  <c r="C827" i="11"/>
  <c r="F826" i="11"/>
  <c r="C826" i="11"/>
  <c r="F825" i="11"/>
  <c r="C825" i="11"/>
  <c r="F824" i="11"/>
  <c r="C824" i="11"/>
  <c r="F823" i="11"/>
  <c r="C823" i="11"/>
  <c r="F822" i="11"/>
  <c r="C822" i="11"/>
  <c r="F821" i="11"/>
  <c r="C821" i="11"/>
  <c r="F820" i="11"/>
  <c r="C820" i="11"/>
  <c r="F819" i="11"/>
  <c r="C819" i="11"/>
  <c r="F818" i="11"/>
  <c r="C818" i="11"/>
  <c r="F817" i="11"/>
  <c r="C817" i="11"/>
  <c r="F816" i="11"/>
  <c r="C816" i="11"/>
  <c r="F815" i="11"/>
  <c r="C815" i="11"/>
  <c r="F814" i="11"/>
  <c r="C814" i="11"/>
  <c r="F813" i="11"/>
  <c r="C813" i="11"/>
  <c r="F812" i="11"/>
  <c r="C812" i="11"/>
  <c r="F811" i="11"/>
  <c r="C811" i="11"/>
  <c r="F810" i="11"/>
  <c r="C810" i="11"/>
  <c r="F809" i="11"/>
  <c r="C809" i="11"/>
  <c r="F808" i="11"/>
  <c r="C808" i="11"/>
  <c r="F807" i="11"/>
  <c r="C807" i="11"/>
  <c r="F806" i="11"/>
  <c r="C806" i="11"/>
  <c r="F805" i="11"/>
  <c r="C805" i="11"/>
  <c r="F804" i="11"/>
  <c r="C804" i="11"/>
  <c r="F803" i="11"/>
  <c r="C803" i="11"/>
  <c r="F802" i="11"/>
  <c r="C802" i="11"/>
  <c r="F801" i="11"/>
  <c r="C801" i="11"/>
  <c r="F800" i="11"/>
  <c r="C800" i="11"/>
  <c r="F799" i="11"/>
  <c r="C799" i="11"/>
  <c r="F798" i="11"/>
  <c r="C798" i="11"/>
  <c r="F797" i="11"/>
  <c r="C797" i="11"/>
  <c r="F796" i="11"/>
  <c r="C796" i="11"/>
  <c r="F795" i="11"/>
  <c r="C795" i="11"/>
  <c r="F794" i="11"/>
  <c r="C794" i="11"/>
  <c r="F793" i="11"/>
  <c r="C793" i="11"/>
  <c r="F792" i="11"/>
  <c r="C792" i="11"/>
  <c r="F791" i="11"/>
  <c r="C791" i="11"/>
  <c r="F790" i="11"/>
  <c r="C790" i="11"/>
  <c r="F789" i="11"/>
  <c r="C789" i="11"/>
  <c r="F788" i="11"/>
  <c r="C788" i="11"/>
  <c r="F787" i="11"/>
  <c r="C787" i="11"/>
  <c r="F786" i="11"/>
  <c r="C786" i="11"/>
  <c r="F785" i="11"/>
  <c r="C785" i="11"/>
  <c r="F784" i="11"/>
  <c r="C784" i="11"/>
  <c r="F783" i="11"/>
  <c r="C783" i="11"/>
  <c r="F782" i="11"/>
  <c r="C782" i="11"/>
  <c r="F781" i="11"/>
  <c r="C781" i="11"/>
  <c r="F780" i="11"/>
  <c r="C780" i="11"/>
  <c r="F779" i="11"/>
  <c r="C779" i="11"/>
  <c r="F778" i="11"/>
  <c r="C778" i="11"/>
  <c r="F777" i="11"/>
  <c r="C777" i="11"/>
  <c r="F776" i="11"/>
  <c r="C776" i="11"/>
  <c r="F775" i="11"/>
  <c r="C775" i="11"/>
  <c r="F774" i="11"/>
  <c r="C774" i="11"/>
  <c r="F773" i="11"/>
  <c r="C773" i="11"/>
  <c r="F772" i="11"/>
  <c r="C772" i="11"/>
  <c r="F771" i="11"/>
  <c r="C771" i="11"/>
  <c r="F770" i="11"/>
  <c r="C770" i="11"/>
  <c r="F769" i="11"/>
  <c r="C769" i="11"/>
  <c r="F768" i="11"/>
  <c r="C768" i="11"/>
  <c r="F767" i="11"/>
  <c r="C767" i="11"/>
  <c r="F766" i="11"/>
  <c r="C766" i="11"/>
  <c r="F765" i="11"/>
  <c r="C765" i="11"/>
  <c r="F764" i="11"/>
  <c r="C764" i="11"/>
  <c r="F763" i="11"/>
  <c r="C763" i="11"/>
  <c r="F762" i="11"/>
  <c r="C762" i="11"/>
  <c r="F761" i="11"/>
  <c r="C761" i="11"/>
  <c r="F760" i="11"/>
  <c r="C760" i="11"/>
  <c r="F759" i="11"/>
  <c r="C759" i="11"/>
  <c r="F758" i="11"/>
  <c r="C758" i="11"/>
  <c r="F757" i="11"/>
  <c r="C757" i="11"/>
  <c r="F756" i="11"/>
  <c r="C756" i="11"/>
  <c r="F755" i="11"/>
  <c r="C755" i="11"/>
  <c r="F754" i="11"/>
  <c r="C754" i="11"/>
  <c r="F753" i="11"/>
  <c r="C753" i="11"/>
  <c r="F752" i="11"/>
  <c r="C752" i="11"/>
  <c r="F751" i="11"/>
  <c r="C751" i="11"/>
  <c r="F750" i="11"/>
  <c r="C750" i="11"/>
  <c r="F749" i="11"/>
  <c r="C749" i="11"/>
  <c r="F748" i="11"/>
  <c r="C748" i="11"/>
  <c r="F747" i="11"/>
  <c r="C747" i="11"/>
  <c r="F746" i="11"/>
  <c r="C746" i="11"/>
  <c r="F745" i="11"/>
  <c r="C745" i="11"/>
  <c r="F744" i="11"/>
  <c r="C744" i="11"/>
  <c r="F743" i="11"/>
  <c r="C743" i="11"/>
  <c r="F742" i="11"/>
  <c r="C742" i="11"/>
  <c r="F741" i="11"/>
  <c r="C741" i="11"/>
  <c r="F740" i="11"/>
  <c r="C740" i="11"/>
  <c r="F739" i="11"/>
  <c r="C739" i="11"/>
  <c r="F738" i="11"/>
  <c r="C738" i="11"/>
  <c r="F737" i="11"/>
  <c r="C737" i="11"/>
  <c r="F736" i="11"/>
  <c r="C736" i="11"/>
  <c r="F735" i="11"/>
  <c r="C735" i="11"/>
  <c r="F734" i="11"/>
  <c r="C734" i="11"/>
  <c r="F733" i="11"/>
  <c r="C733" i="11"/>
  <c r="F732" i="11"/>
  <c r="C732" i="11"/>
  <c r="F731" i="11"/>
  <c r="C731" i="11"/>
  <c r="F730" i="11"/>
  <c r="C730" i="11"/>
  <c r="F729" i="11"/>
  <c r="C729" i="11"/>
  <c r="F728" i="11"/>
  <c r="C728" i="11"/>
  <c r="F727" i="11"/>
  <c r="C727" i="11"/>
  <c r="F726" i="11"/>
  <c r="C726" i="11"/>
  <c r="F725" i="11"/>
  <c r="C725" i="11"/>
  <c r="F724" i="11"/>
  <c r="C724" i="11"/>
  <c r="F723" i="11"/>
  <c r="C723" i="11"/>
  <c r="F722" i="11"/>
  <c r="C722" i="11"/>
  <c r="F721" i="11"/>
  <c r="C721" i="11"/>
  <c r="F720" i="11"/>
  <c r="C720" i="11"/>
  <c r="F719" i="11"/>
  <c r="C719" i="11"/>
  <c r="F718" i="11"/>
  <c r="C718" i="11"/>
  <c r="F717" i="11"/>
  <c r="C717" i="11"/>
  <c r="F716" i="11"/>
  <c r="C716" i="11"/>
  <c r="F715" i="11"/>
  <c r="C715" i="11"/>
  <c r="F714" i="11"/>
  <c r="C714" i="11"/>
  <c r="F713" i="11"/>
  <c r="C713" i="11"/>
  <c r="F712" i="11"/>
  <c r="C712" i="11"/>
  <c r="F711" i="11"/>
  <c r="C711" i="11"/>
  <c r="F710" i="11"/>
  <c r="C710" i="11"/>
  <c r="F709" i="11"/>
  <c r="C709" i="11"/>
  <c r="F708" i="11"/>
  <c r="C708" i="11"/>
  <c r="F707" i="11"/>
  <c r="C707" i="11"/>
  <c r="F706" i="11"/>
  <c r="C706" i="11"/>
  <c r="F705" i="11"/>
  <c r="C705" i="11"/>
  <c r="F704" i="11"/>
  <c r="C704" i="11"/>
  <c r="F703" i="11"/>
  <c r="C703" i="11"/>
  <c r="F702" i="11"/>
  <c r="C702" i="11"/>
  <c r="F701" i="11"/>
  <c r="C701" i="11"/>
  <c r="F700" i="11"/>
  <c r="C700" i="11"/>
  <c r="F699" i="11"/>
  <c r="C699" i="11"/>
  <c r="F698" i="11"/>
  <c r="C698" i="11"/>
  <c r="F697" i="11"/>
  <c r="C697" i="11"/>
  <c r="F696" i="11"/>
  <c r="C696" i="11"/>
  <c r="F695" i="11"/>
  <c r="C695" i="11"/>
  <c r="F694" i="11"/>
  <c r="C694" i="11"/>
  <c r="F693" i="11"/>
  <c r="C693" i="11"/>
  <c r="F692" i="11"/>
  <c r="C692" i="11"/>
  <c r="F691" i="11"/>
  <c r="C691" i="11"/>
  <c r="F690" i="11"/>
  <c r="C690" i="11"/>
  <c r="F689" i="11"/>
  <c r="C689" i="11"/>
  <c r="F688" i="11"/>
  <c r="C688" i="11"/>
  <c r="F687" i="11"/>
  <c r="C687" i="11"/>
  <c r="F686" i="11"/>
  <c r="C686" i="11"/>
  <c r="F685" i="11"/>
  <c r="C685" i="11"/>
  <c r="F684" i="11"/>
  <c r="C684" i="11"/>
  <c r="F683" i="11"/>
  <c r="C683" i="11"/>
  <c r="F682" i="11"/>
  <c r="C682" i="11"/>
  <c r="F681" i="11"/>
  <c r="C681" i="11"/>
  <c r="F680" i="11"/>
  <c r="C680" i="11"/>
  <c r="F679" i="11"/>
  <c r="C679" i="11"/>
  <c r="F678" i="11"/>
  <c r="C678" i="11"/>
  <c r="F677" i="11"/>
  <c r="C677" i="11"/>
  <c r="F676" i="11"/>
  <c r="C676" i="11"/>
  <c r="F675" i="11"/>
  <c r="C675" i="11"/>
  <c r="F674" i="11"/>
  <c r="C674" i="11"/>
  <c r="F673" i="11"/>
  <c r="C673" i="11"/>
  <c r="F672" i="11"/>
  <c r="C672" i="11"/>
  <c r="F671" i="11"/>
  <c r="C671" i="11"/>
  <c r="F670" i="11"/>
  <c r="C670" i="11"/>
  <c r="F669" i="11"/>
  <c r="C669" i="11"/>
  <c r="F668" i="11"/>
  <c r="C668" i="11"/>
  <c r="F667" i="11"/>
  <c r="C667" i="11"/>
  <c r="F666" i="11"/>
  <c r="C666" i="11"/>
  <c r="F665" i="11"/>
  <c r="C665" i="11"/>
  <c r="F664" i="11"/>
  <c r="C664" i="11"/>
  <c r="F663" i="11"/>
  <c r="C663" i="11"/>
  <c r="F662" i="11"/>
  <c r="C662" i="11"/>
  <c r="F661" i="11"/>
  <c r="C661" i="11"/>
  <c r="F660" i="11"/>
  <c r="C660" i="11"/>
  <c r="F659" i="11"/>
  <c r="C659" i="11"/>
  <c r="F658" i="11"/>
  <c r="C658" i="11"/>
  <c r="F657" i="11"/>
  <c r="C657" i="11"/>
  <c r="F656" i="11"/>
  <c r="C656" i="11"/>
  <c r="F655" i="11"/>
  <c r="C655" i="11"/>
  <c r="F654" i="11"/>
  <c r="C654" i="11"/>
  <c r="F653" i="11"/>
  <c r="C653" i="11"/>
  <c r="F652" i="11"/>
  <c r="C652" i="11"/>
  <c r="F651" i="11"/>
  <c r="C651" i="11"/>
  <c r="F650" i="11"/>
  <c r="C650" i="11"/>
  <c r="F649" i="11"/>
  <c r="C649" i="11"/>
  <c r="F648" i="11"/>
  <c r="C648" i="11"/>
  <c r="F647" i="11"/>
  <c r="C647" i="11"/>
  <c r="F646" i="11"/>
  <c r="C646" i="11"/>
  <c r="F645" i="11"/>
  <c r="C645" i="11"/>
  <c r="F644" i="11"/>
  <c r="C644" i="11"/>
  <c r="F643" i="11"/>
  <c r="C643" i="11"/>
  <c r="F642" i="11"/>
  <c r="C642" i="11"/>
  <c r="F641" i="11"/>
  <c r="C641" i="11"/>
  <c r="F640" i="11"/>
  <c r="C640" i="11"/>
  <c r="F639" i="11"/>
  <c r="C639" i="11"/>
  <c r="F638" i="11"/>
  <c r="C638" i="11"/>
  <c r="F637" i="11"/>
  <c r="C637" i="11"/>
  <c r="F636" i="11"/>
  <c r="C636" i="11"/>
  <c r="F635" i="11"/>
  <c r="C635" i="11"/>
  <c r="F634" i="11"/>
  <c r="C634" i="11"/>
  <c r="F633" i="11"/>
  <c r="C633" i="11"/>
  <c r="F632" i="11"/>
  <c r="C632" i="11"/>
  <c r="F631" i="11"/>
  <c r="C631" i="11"/>
  <c r="F630" i="11"/>
  <c r="C630" i="11"/>
  <c r="F629" i="11"/>
  <c r="C629" i="11"/>
  <c r="F628" i="11"/>
  <c r="C628" i="11"/>
  <c r="F627" i="11"/>
  <c r="C627" i="11"/>
  <c r="F626" i="11"/>
  <c r="C626" i="11"/>
  <c r="F625" i="11"/>
  <c r="C625" i="11"/>
  <c r="F624" i="11"/>
  <c r="C624" i="11"/>
  <c r="F623" i="11"/>
  <c r="C623" i="11"/>
  <c r="F622" i="11"/>
  <c r="C622" i="11"/>
  <c r="F621" i="11"/>
  <c r="C621" i="11"/>
  <c r="F620" i="11"/>
  <c r="C620" i="11"/>
  <c r="F619" i="11"/>
  <c r="C619" i="11"/>
  <c r="F618" i="11"/>
  <c r="C618" i="11"/>
  <c r="F617" i="11"/>
  <c r="C617" i="11"/>
  <c r="F616" i="11"/>
  <c r="C616" i="11"/>
  <c r="F615" i="11"/>
  <c r="C615" i="11"/>
  <c r="F614" i="11"/>
  <c r="C614" i="11"/>
  <c r="F613" i="11"/>
  <c r="C613" i="11"/>
  <c r="F612" i="11"/>
  <c r="C612" i="11"/>
  <c r="F611" i="11"/>
  <c r="C611" i="11"/>
  <c r="F610" i="11"/>
  <c r="C610" i="11"/>
  <c r="F609" i="11"/>
  <c r="C609" i="11"/>
  <c r="F608" i="11"/>
  <c r="C608" i="11"/>
  <c r="F607" i="11"/>
  <c r="C607" i="11"/>
  <c r="F606" i="11"/>
  <c r="C606" i="11"/>
  <c r="F605" i="11"/>
  <c r="C605" i="11"/>
  <c r="F604" i="11"/>
  <c r="C604" i="11"/>
  <c r="F603" i="11"/>
  <c r="C603" i="11"/>
  <c r="F602" i="11"/>
  <c r="C602" i="11"/>
  <c r="F601" i="11"/>
  <c r="C601" i="11"/>
  <c r="F600" i="11"/>
  <c r="C600" i="11"/>
  <c r="F599" i="11"/>
  <c r="C599" i="11"/>
  <c r="F598" i="11"/>
  <c r="C598" i="11"/>
  <c r="F597" i="11"/>
  <c r="C597" i="11"/>
  <c r="F596" i="11"/>
  <c r="C596" i="11"/>
  <c r="F595" i="11"/>
  <c r="C595" i="11"/>
  <c r="F594" i="11"/>
  <c r="C594" i="11"/>
  <c r="F593" i="11"/>
  <c r="C593" i="11"/>
  <c r="F592" i="11"/>
  <c r="C592" i="11"/>
  <c r="F591" i="11"/>
  <c r="C591" i="11"/>
  <c r="F590" i="11"/>
  <c r="C590" i="11"/>
  <c r="F589" i="11"/>
  <c r="C589" i="11"/>
  <c r="F588" i="11"/>
  <c r="C588" i="11"/>
  <c r="F587" i="11"/>
  <c r="C587" i="11"/>
  <c r="F586" i="11"/>
  <c r="C586" i="11"/>
  <c r="F585" i="11"/>
  <c r="C585" i="11"/>
  <c r="F584" i="11"/>
  <c r="C584" i="11"/>
  <c r="F583" i="11"/>
  <c r="C583" i="11"/>
  <c r="F582" i="11"/>
  <c r="C582" i="11"/>
  <c r="F581" i="11"/>
  <c r="C581" i="11"/>
  <c r="F580" i="11"/>
  <c r="C580" i="11"/>
  <c r="F579" i="11"/>
  <c r="C579" i="11"/>
  <c r="F578" i="11"/>
  <c r="C578" i="11"/>
  <c r="F577" i="11"/>
  <c r="C577" i="11"/>
  <c r="F576" i="11"/>
  <c r="C576" i="11"/>
  <c r="F575" i="11"/>
  <c r="C575" i="11"/>
  <c r="F574" i="11"/>
  <c r="C574" i="11"/>
  <c r="F573" i="11"/>
  <c r="C573" i="11"/>
  <c r="F572" i="11"/>
  <c r="C572" i="11"/>
  <c r="F571" i="11"/>
  <c r="C571" i="11"/>
  <c r="F570" i="11"/>
  <c r="C570" i="11"/>
  <c r="F569" i="11"/>
  <c r="C569" i="11"/>
  <c r="F568" i="11"/>
  <c r="C568" i="11"/>
  <c r="F567" i="11"/>
  <c r="C567" i="11"/>
  <c r="F566" i="11"/>
  <c r="C566" i="11"/>
  <c r="F565" i="11"/>
  <c r="C565" i="11"/>
  <c r="F564" i="11"/>
  <c r="C564" i="11"/>
  <c r="F563" i="11"/>
  <c r="C563" i="11"/>
  <c r="F562" i="11"/>
  <c r="C562" i="11"/>
  <c r="F561" i="11"/>
  <c r="C561" i="11"/>
  <c r="F560" i="11"/>
  <c r="C560" i="11"/>
  <c r="F559" i="11"/>
  <c r="C559" i="11"/>
  <c r="F558" i="11"/>
  <c r="C558" i="11"/>
  <c r="F557" i="11"/>
  <c r="C557" i="11"/>
  <c r="F556" i="11"/>
  <c r="C556" i="11"/>
  <c r="F555" i="11"/>
  <c r="C555" i="11"/>
  <c r="F554" i="11"/>
  <c r="C554" i="11"/>
  <c r="F553" i="11"/>
  <c r="C553" i="11"/>
  <c r="F552" i="11"/>
  <c r="C552" i="11"/>
  <c r="F551" i="11"/>
  <c r="C551" i="11"/>
  <c r="F550" i="11"/>
  <c r="C550" i="11"/>
  <c r="F549" i="11"/>
  <c r="C549" i="11"/>
  <c r="F548" i="11"/>
  <c r="C548" i="11"/>
  <c r="F547" i="11"/>
  <c r="C547" i="11"/>
  <c r="F546" i="11"/>
  <c r="C546" i="11"/>
  <c r="F545" i="11"/>
  <c r="C545" i="11"/>
  <c r="F544" i="11"/>
  <c r="C544" i="11"/>
  <c r="F543" i="11"/>
  <c r="C543" i="11"/>
  <c r="F542" i="11"/>
  <c r="C542" i="11"/>
  <c r="F541" i="11"/>
  <c r="C541" i="11"/>
  <c r="F540" i="11"/>
  <c r="C540" i="11"/>
  <c r="F539" i="11"/>
  <c r="C539" i="11"/>
  <c r="F538" i="11"/>
  <c r="C538" i="11"/>
  <c r="F537" i="11"/>
  <c r="C537" i="11"/>
  <c r="F536" i="11"/>
  <c r="C536" i="11"/>
  <c r="F535" i="11"/>
  <c r="C535" i="11"/>
  <c r="F534" i="11"/>
  <c r="C534" i="11"/>
  <c r="F533" i="11"/>
  <c r="C533" i="11"/>
  <c r="F532" i="11"/>
  <c r="C532" i="11"/>
  <c r="F531" i="11"/>
  <c r="C531" i="11"/>
  <c r="F530" i="11"/>
  <c r="C530" i="11"/>
  <c r="F529" i="11"/>
  <c r="C529" i="11"/>
  <c r="F528" i="11"/>
  <c r="C528" i="11"/>
  <c r="F527" i="11"/>
  <c r="C527" i="11"/>
  <c r="F526" i="11"/>
  <c r="C526" i="11"/>
  <c r="F525" i="11"/>
  <c r="C525" i="11"/>
  <c r="F524" i="11"/>
  <c r="C524" i="11"/>
  <c r="F523" i="11"/>
  <c r="C523" i="11"/>
  <c r="F522" i="11"/>
  <c r="C522" i="11"/>
  <c r="F521" i="11"/>
  <c r="C521" i="11"/>
  <c r="F520" i="11"/>
  <c r="C520" i="11"/>
  <c r="F519" i="11"/>
  <c r="C519" i="11"/>
  <c r="F518" i="11"/>
  <c r="C518" i="11"/>
  <c r="F517" i="11"/>
  <c r="C517" i="11"/>
  <c r="F516" i="11"/>
  <c r="C516" i="11"/>
  <c r="F515" i="11"/>
  <c r="C515" i="11"/>
  <c r="F514" i="11"/>
  <c r="C514" i="11"/>
  <c r="F513" i="11"/>
  <c r="C513" i="11"/>
  <c r="F512" i="11"/>
  <c r="C512" i="11"/>
  <c r="F511" i="11"/>
  <c r="C511" i="11"/>
  <c r="F510" i="11"/>
  <c r="C510" i="11"/>
  <c r="F509" i="11"/>
  <c r="C509" i="11"/>
  <c r="F508" i="11"/>
  <c r="C508" i="11"/>
  <c r="F507" i="11"/>
  <c r="C507" i="11"/>
  <c r="F506" i="11"/>
  <c r="C506" i="11"/>
  <c r="F505" i="11"/>
  <c r="C505" i="11"/>
  <c r="F504" i="11"/>
  <c r="C504" i="11"/>
  <c r="F503" i="11"/>
  <c r="C503" i="11"/>
  <c r="F502" i="11"/>
  <c r="C502" i="11"/>
  <c r="F501" i="11"/>
  <c r="C501" i="11"/>
  <c r="F500" i="11"/>
  <c r="C500" i="11"/>
  <c r="F499" i="11"/>
  <c r="C499" i="11"/>
  <c r="F498" i="11"/>
  <c r="C498" i="11"/>
  <c r="F497" i="11"/>
  <c r="C497" i="11"/>
  <c r="F496" i="11"/>
  <c r="C496" i="11"/>
  <c r="F495" i="11"/>
  <c r="C495" i="11"/>
  <c r="F494" i="11"/>
  <c r="C494" i="11"/>
  <c r="F493" i="11"/>
  <c r="C493" i="11"/>
  <c r="F492" i="11"/>
  <c r="C492" i="11"/>
  <c r="F491" i="11"/>
  <c r="C491" i="11"/>
  <c r="F490" i="11"/>
  <c r="C490" i="11"/>
  <c r="F489" i="11"/>
  <c r="C489" i="11"/>
  <c r="F488" i="11"/>
  <c r="C488" i="11"/>
  <c r="F487" i="11"/>
  <c r="C487" i="11"/>
  <c r="F486" i="11"/>
  <c r="C486" i="11"/>
  <c r="F485" i="11"/>
  <c r="C485" i="11"/>
  <c r="F484" i="11"/>
  <c r="C484" i="11"/>
  <c r="F483" i="11"/>
  <c r="C483" i="11"/>
  <c r="F482" i="11"/>
  <c r="C482" i="11"/>
  <c r="F481" i="11"/>
  <c r="C481" i="11"/>
  <c r="F480" i="11"/>
  <c r="C480" i="11"/>
  <c r="F479" i="11"/>
  <c r="C479" i="11"/>
  <c r="F478" i="11"/>
  <c r="C478" i="11"/>
  <c r="F477" i="11"/>
  <c r="C477" i="11"/>
  <c r="F476" i="11"/>
  <c r="C476" i="11"/>
  <c r="F475" i="11"/>
  <c r="C475" i="11"/>
  <c r="F474" i="11"/>
  <c r="C474" i="11"/>
  <c r="F473" i="11"/>
  <c r="C473" i="11"/>
  <c r="F472" i="11"/>
  <c r="C472" i="11"/>
  <c r="F471" i="11"/>
  <c r="C471" i="11"/>
  <c r="F470" i="11"/>
  <c r="C470" i="11"/>
  <c r="F469" i="11"/>
  <c r="C469" i="11"/>
  <c r="F468" i="11"/>
  <c r="C468" i="11"/>
  <c r="F467" i="11"/>
  <c r="C467" i="11"/>
  <c r="F466" i="11"/>
  <c r="C466" i="11"/>
  <c r="F465" i="11"/>
  <c r="C465" i="11"/>
  <c r="F464" i="11"/>
  <c r="C464" i="11"/>
  <c r="F463" i="11"/>
  <c r="C463" i="11"/>
  <c r="F462" i="11"/>
  <c r="C462" i="11"/>
  <c r="F461" i="11"/>
  <c r="C461" i="11"/>
  <c r="F460" i="11"/>
  <c r="C460" i="11"/>
  <c r="F459" i="11"/>
  <c r="C459" i="11"/>
  <c r="F458" i="11"/>
  <c r="C458" i="11"/>
  <c r="F457" i="11"/>
  <c r="C457" i="11"/>
  <c r="F456" i="11"/>
  <c r="C456" i="11"/>
  <c r="F455" i="11"/>
  <c r="C455" i="11"/>
  <c r="F454" i="11"/>
  <c r="C454" i="11"/>
  <c r="F453" i="11"/>
  <c r="C453" i="11"/>
  <c r="F452" i="11"/>
  <c r="C452" i="11"/>
  <c r="F451" i="11"/>
  <c r="C451" i="11"/>
  <c r="F450" i="11"/>
  <c r="C450" i="11"/>
  <c r="F449" i="11"/>
  <c r="C449" i="11"/>
  <c r="F448" i="11"/>
  <c r="C448" i="11"/>
  <c r="F447" i="11"/>
  <c r="C447" i="11"/>
  <c r="F446" i="11"/>
  <c r="C446" i="11"/>
  <c r="F445" i="11"/>
  <c r="C445" i="11"/>
  <c r="F444" i="11"/>
  <c r="C444" i="11"/>
  <c r="F443" i="11"/>
  <c r="C443" i="11"/>
  <c r="F442" i="11"/>
  <c r="C442" i="11"/>
  <c r="F441" i="11"/>
  <c r="C441" i="11"/>
  <c r="F440" i="11"/>
  <c r="C440" i="11"/>
  <c r="F439" i="11"/>
  <c r="C439" i="11"/>
  <c r="F438" i="11"/>
  <c r="C438" i="11"/>
  <c r="F437" i="11"/>
  <c r="C437" i="11"/>
  <c r="F436" i="11"/>
  <c r="C436" i="11"/>
  <c r="F435" i="11"/>
  <c r="C435" i="11"/>
  <c r="F434" i="11"/>
  <c r="C434" i="11"/>
  <c r="F433" i="11"/>
  <c r="C433" i="11"/>
  <c r="F432" i="11"/>
  <c r="C432" i="11"/>
  <c r="F431" i="11"/>
  <c r="C431" i="11"/>
  <c r="F430" i="11"/>
  <c r="C430" i="11"/>
  <c r="F429" i="11"/>
  <c r="C429" i="11"/>
  <c r="F428" i="11"/>
  <c r="C428" i="11"/>
  <c r="F427" i="11"/>
  <c r="C427" i="11"/>
  <c r="F426" i="11"/>
  <c r="C426" i="11"/>
  <c r="F425" i="11"/>
  <c r="C425" i="11"/>
  <c r="F424" i="11"/>
  <c r="C424" i="11"/>
  <c r="F423" i="11"/>
  <c r="C423" i="11"/>
  <c r="F422" i="11"/>
  <c r="C422" i="11"/>
  <c r="F421" i="11"/>
  <c r="C421" i="11"/>
  <c r="F420" i="11"/>
  <c r="C420" i="11"/>
  <c r="F419" i="11"/>
  <c r="C419" i="11"/>
  <c r="F418" i="11"/>
  <c r="C418" i="11"/>
  <c r="F417" i="11"/>
  <c r="C417" i="11"/>
  <c r="F416" i="11"/>
  <c r="C416" i="11"/>
  <c r="F415" i="11"/>
  <c r="C415" i="11"/>
  <c r="F414" i="11"/>
  <c r="C414" i="11"/>
  <c r="F413" i="11"/>
  <c r="C413" i="11"/>
  <c r="F412" i="11"/>
  <c r="C412" i="11"/>
  <c r="F411" i="11"/>
  <c r="C411" i="11"/>
  <c r="F410" i="11"/>
  <c r="C410" i="11"/>
  <c r="F409" i="11"/>
  <c r="C409" i="11"/>
  <c r="F408" i="11"/>
  <c r="C408" i="11"/>
  <c r="F407" i="11"/>
  <c r="C407" i="11"/>
  <c r="F406" i="11"/>
  <c r="C406" i="11"/>
  <c r="F405" i="11"/>
  <c r="C405" i="11"/>
  <c r="F404" i="11"/>
  <c r="C404" i="11"/>
  <c r="F403" i="11"/>
  <c r="C403" i="11"/>
  <c r="F402" i="11"/>
  <c r="C402" i="11"/>
  <c r="F401" i="11"/>
  <c r="C401" i="11"/>
  <c r="F400" i="11"/>
  <c r="C400" i="11"/>
  <c r="F399" i="11"/>
  <c r="C399" i="11"/>
  <c r="F398" i="11"/>
  <c r="C398" i="11"/>
  <c r="F397" i="11"/>
  <c r="C397" i="11"/>
  <c r="F396" i="11"/>
  <c r="C396" i="11"/>
  <c r="F395" i="11"/>
  <c r="C395" i="11"/>
  <c r="F394" i="11"/>
  <c r="C394" i="11"/>
  <c r="F393" i="11"/>
  <c r="C393" i="11"/>
  <c r="F392" i="11"/>
  <c r="C392" i="11"/>
  <c r="F391" i="11"/>
  <c r="C391" i="11"/>
  <c r="F390" i="11"/>
  <c r="C390" i="11"/>
  <c r="F389" i="11"/>
  <c r="C389" i="11"/>
  <c r="F388" i="11"/>
  <c r="C388" i="11"/>
  <c r="F387" i="11"/>
  <c r="C387" i="11"/>
  <c r="F386" i="11"/>
  <c r="C386" i="11"/>
  <c r="F385" i="11"/>
  <c r="C385" i="11"/>
  <c r="F384" i="11"/>
  <c r="C384" i="11"/>
  <c r="F383" i="11"/>
  <c r="C383" i="11"/>
  <c r="F382" i="11"/>
  <c r="C382" i="11"/>
  <c r="F381" i="11"/>
  <c r="C381" i="11"/>
  <c r="F380" i="11"/>
  <c r="C380" i="11"/>
  <c r="F379" i="11"/>
  <c r="C379" i="11"/>
  <c r="F378" i="11"/>
  <c r="C378" i="11"/>
  <c r="F377" i="11"/>
  <c r="C377" i="11"/>
  <c r="F376" i="11"/>
  <c r="C376" i="11"/>
  <c r="F375" i="11"/>
  <c r="C375" i="11"/>
  <c r="F374" i="11"/>
  <c r="C374" i="11"/>
  <c r="F373" i="11"/>
  <c r="C373" i="11"/>
  <c r="F372" i="11"/>
  <c r="C372" i="11"/>
  <c r="F371" i="11"/>
  <c r="C371" i="11"/>
  <c r="F370" i="11"/>
  <c r="C370" i="11"/>
  <c r="F369" i="11"/>
  <c r="C369" i="11"/>
  <c r="F368" i="11"/>
  <c r="C368" i="11"/>
  <c r="F367" i="11"/>
  <c r="C367" i="11"/>
  <c r="F366" i="11"/>
  <c r="C366" i="11"/>
  <c r="F365" i="11"/>
  <c r="C365" i="11"/>
  <c r="F364" i="11"/>
  <c r="C364" i="11"/>
  <c r="F363" i="11"/>
  <c r="C363" i="11"/>
  <c r="F362" i="11"/>
  <c r="C362" i="11"/>
  <c r="F361" i="11"/>
  <c r="C361" i="11"/>
  <c r="F360" i="11"/>
  <c r="C360" i="11"/>
  <c r="F359" i="11"/>
  <c r="C359" i="11"/>
  <c r="F358" i="11"/>
  <c r="C358" i="11"/>
  <c r="F357" i="11"/>
  <c r="C357" i="11"/>
  <c r="F356" i="11"/>
  <c r="C356" i="11"/>
  <c r="F355" i="11"/>
  <c r="C355" i="11"/>
  <c r="F354" i="11"/>
  <c r="C354" i="11"/>
  <c r="F353" i="11"/>
  <c r="C353" i="11"/>
  <c r="F352" i="11"/>
  <c r="C352" i="11"/>
  <c r="F351" i="11"/>
  <c r="C351" i="11"/>
  <c r="F350" i="11"/>
  <c r="C350" i="11"/>
  <c r="F349" i="11"/>
  <c r="C349" i="11"/>
  <c r="F348" i="11"/>
  <c r="C348" i="11"/>
  <c r="F347" i="11"/>
  <c r="C347" i="11"/>
  <c r="F346" i="11"/>
  <c r="C346" i="11"/>
  <c r="F345" i="11"/>
  <c r="C345" i="11"/>
  <c r="F344" i="11"/>
  <c r="C344" i="11"/>
  <c r="F343" i="11"/>
  <c r="C343" i="11"/>
  <c r="F342" i="11"/>
  <c r="C342" i="11"/>
  <c r="F341" i="11"/>
  <c r="C341" i="11"/>
  <c r="F340" i="11"/>
  <c r="C340" i="11"/>
  <c r="F339" i="11"/>
  <c r="C339" i="11"/>
  <c r="F338" i="11"/>
  <c r="C338" i="11"/>
  <c r="F337" i="11"/>
  <c r="C337" i="11"/>
  <c r="F336" i="11"/>
  <c r="C336" i="11"/>
  <c r="F335" i="11"/>
  <c r="C335" i="11"/>
  <c r="F334" i="11"/>
  <c r="C334" i="11"/>
  <c r="F333" i="11"/>
  <c r="C333" i="11"/>
  <c r="F332" i="11"/>
  <c r="C332" i="11"/>
  <c r="F331" i="11"/>
  <c r="C331" i="11"/>
  <c r="F330" i="11"/>
  <c r="C330" i="11"/>
  <c r="F329" i="11"/>
  <c r="C329" i="11"/>
  <c r="F328" i="11"/>
  <c r="C328" i="11"/>
  <c r="F327" i="11"/>
  <c r="C327" i="11"/>
  <c r="F326" i="11"/>
  <c r="C326" i="11"/>
  <c r="F325" i="11"/>
  <c r="C325" i="11"/>
  <c r="F324" i="11"/>
  <c r="C324" i="11"/>
  <c r="F323" i="11"/>
  <c r="C323" i="11"/>
  <c r="F322" i="11"/>
  <c r="C322" i="11"/>
  <c r="F321" i="11"/>
  <c r="C321" i="11"/>
  <c r="F320" i="11"/>
  <c r="C320" i="11"/>
  <c r="F319" i="11"/>
  <c r="C319" i="11"/>
  <c r="F318" i="11"/>
  <c r="C318" i="11"/>
  <c r="F317" i="11"/>
  <c r="C317" i="11"/>
  <c r="F316" i="11"/>
  <c r="C316" i="11"/>
  <c r="F315" i="11"/>
  <c r="C315" i="11"/>
  <c r="F314" i="11"/>
  <c r="C314" i="11"/>
  <c r="F313" i="11"/>
  <c r="C313" i="11"/>
  <c r="F312" i="11"/>
  <c r="C312" i="11"/>
  <c r="F311" i="11"/>
  <c r="C311" i="11"/>
  <c r="F310" i="11"/>
  <c r="C310" i="11"/>
  <c r="F309" i="11"/>
  <c r="C309" i="11"/>
  <c r="F308" i="11"/>
  <c r="C308" i="11"/>
  <c r="F307" i="11"/>
  <c r="C307" i="11"/>
  <c r="F306" i="11"/>
  <c r="C306" i="11"/>
  <c r="F305" i="11"/>
  <c r="C305" i="11"/>
  <c r="F304" i="11"/>
  <c r="C304" i="11"/>
  <c r="F303" i="11"/>
  <c r="C303" i="11"/>
  <c r="F302" i="11"/>
  <c r="C302" i="11"/>
  <c r="F301" i="11"/>
  <c r="C301" i="11"/>
  <c r="F300" i="11"/>
  <c r="C300" i="11"/>
  <c r="F299" i="11"/>
  <c r="C299" i="11"/>
  <c r="F298" i="11"/>
  <c r="C298" i="11"/>
  <c r="F297" i="11"/>
  <c r="C297" i="11"/>
  <c r="F296" i="11"/>
  <c r="C296" i="11"/>
  <c r="F295" i="11"/>
  <c r="C295" i="11"/>
  <c r="F294" i="11"/>
  <c r="C294" i="11"/>
  <c r="F293" i="11"/>
  <c r="C293" i="11"/>
  <c r="F292" i="11"/>
  <c r="C292" i="11"/>
  <c r="F291" i="11"/>
  <c r="C291" i="11"/>
  <c r="F290" i="11"/>
  <c r="C290" i="11"/>
  <c r="F289" i="11"/>
  <c r="C289" i="11"/>
  <c r="F288" i="11"/>
  <c r="C288" i="11"/>
  <c r="F287" i="11"/>
  <c r="C287" i="11"/>
  <c r="F286" i="11"/>
  <c r="C286" i="11"/>
  <c r="F285" i="11"/>
  <c r="C285" i="11"/>
  <c r="F284" i="11"/>
  <c r="C284" i="11"/>
  <c r="F283" i="11"/>
  <c r="C283" i="11"/>
  <c r="F282" i="11"/>
  <c r="C282" i="11"/>
  <c r="F281" i="11"/>
  <c r="C281" i="11"/>
  <c r="F280" i="11"/>
  <c r="C280" i="11"/>
  <c r="F279" i="11"/>
  <c r="C279" i="11"/>
  <c r="F278" i="11"/>
  <c r="C278" i="11"/>
  <c r="F277" i="11"/>
  <c r="C277" i="11"/>
  <c r="F276" i="11"/>
  <c r="C276" i="11"/>
  <c r="F275" i="11"/>
  <c r="C275" i="11"/>
  <c r="F274" i="11"/>
  <c r="C274" i="11"/>
  <c r="F273" i="11"/>
  <c r="C273" i="11"/>
  <c r="F272" i="11"/>
  <c r="C272" i="11"/>
  <c r="F271" i="11"/>
  <c r="C271" i="11"/>
  <c r="F270" i="11"/>
  <c r="C270" i="11"/>
  <c r="F269" i="11"/>
  <c r="C269" i="11"/>
  <c r="F268" i="11"/>
  <c r="C268" i="11"/>
  <c r="F267" i="11"/>
  <c r="C267" i="11"/>
  <c r="F266" i="11"/>
  <c r="C266" i="11"/>
  <c r="F265" i="11"/>
  <c r="C265" i="11"/>
  <c r="F264" i="11"/>
  <c r="C264" i="11"/>
  <c r="F263" i="11"/>
  <c r="C263" i="11"/>
  <c r="F262" i="11"/>
  <c r="C262" i="11"/>
  <c r="F261" i="11"/>
  <c r="C261" i="11"/>
  <c r="F260" i="11"/>
  <c r="C260" i="11"/>
  <c r="F259" i="11"/>
  <c r="C259" i="11"/>
  <c r="F258" i="11"/>
  <c r="C258" i="11"/>
  <c r="F257" i="11"/>
  <c r="C257" i="11"/>
  <c r="F256" i="11"/>
  <c r="C256" i="11"/>
  <c r="F255" i="11"/>
  <c r="C255" i="11"/>
  <c r="F254" i="11"/>
  <c r="C254" i="11"/>
  <c r="F253" i="11"/>
  <c r="C253" i="11"/>
  <c r="F252" i="11"/>
  <c r="C252" i="11"/>
  <c r="F251" i="11"/>
  <c r="C251" i="11"/>
  <c r="F250" i="11"/>
  <c r="C250" i="11"/>
  <c r="F249" i="11"/>
  <c r="C249" i="11"/>
  <c r="F248" i="11"/>
  <c r="C248" i="11"/>
  <c r="F247" i="11"/>
  <c r="C247" i="11"/>
  <c r="F246" i="11"/>
  <c r="C246" i="11"/>
  <c r="F245" i="11"/>
  <c r="C245" i="11"/>
  <c r="F244" i="11"/>
  <c r="C244" i="11"/>
  <c r="F243" i="11"/>
  <c r="C243" i="11"/>
  <c r="F242" i="11"/>
  <c r="C242" i="11"/>
  <c r="F241" i="11"/>
  <c r="C241" i="11"/>
  <c r="F240" i="11"/>
  <c r="C240" i="11"/>
  <c r="F239" i="11"/>
  <c r="C239" i="11"/>
  <c r="F238" i="11"/>
  <c r="C238" i="11"/>
  <c r="F237" i="11"/>
  <c r="C237" i="11"/>
  <c r="F236" i="11"/>
  <c r="C236" i="11"/>
  <c r="F235" i="11"/>
  <c r="C235" i="11"/>
  <c r="F234" i="11"/>
  <c r="C234" i="11"/>
  <c r="F233" i="11"/>
  <c r="C233" i="11"/>
  <c r="F232" i="11"/>
  <c r="C232" i="11"/>
  <c r="F231" i="11"/>
  <c r="C231" i="11"/>
  <c r="F230" i="11"/>
  <c r="C230" i="11"/>
  <c r="F229" i="11"/>
  <c r="C229" i="11"/>
  <c r="F228" i="11"/>
  <c r="C228" i="11"/>
  <c r="F227" i="11"/>
  <c r="C227" i="11"/>
  <c r="F226" i="11"/>
  <c r="C226" i="11"/>
  <c r="F225" i="11"/>
  <c r="C225" i="11"/>
  <c r="F224" i="11"/>
  <c r="C224" i="11"/>
  <c r="F223" i="11"/>
  <c r="C223" i="11"/>
  <c r="F222" i="11"/>
  <c r="C222" i="11"/>
  <c r="F221" i="11"/>
  <c r="C221" i="11"/>
  <c r="F220" i="11"/>
  <c r="C220" i="11"/>
  <c r="F219" i="11"/>
  <c r="C219" i="11"/>
  <c r="F218" i="11"/>
  <c r="C218" i="11"/>
  <c r="F217" i="11"/>
  <c r="C217" i="11"/>
  <c r="F216" i="11"/>
  <c r="C216" i="11"/>
  <c r="F215" i="11"/>
  <c r="C215" i="11"/>
  <c r="F214" i="11"/>
  <c r="C214" i="11"/>
  <c r="F213" i="11"/>
  <c r="C213" i="11"/>
  <c r="F212" i="11"/>
  <c r="C212" i="11"/>
  <c r="F211" i="11"/>
  <c r="C211" i="11"/>
  <c r="F210" i="11"/>
  <c r="C210" i="11"/>
  <c r="F209" i="11"/>
  <c r="C209" i="11"/>
  <c r="F208" i="11"/>
  <c r="C208" i="11"/>
  <c r="F207" i="11"/>
  <c r="C207" i="11"/>
  <c r="F206" i="11"/>
  <c r="C206" i="11"/>
  <c r="F205" i="11"/>
  <c r="C205" i="11"/>
  <c r="F204" i="11"/>
  <c r="C204" i="11"/>
  <c r="F203" i="11"/>
  <c r="C203" i="11"/>
  <c r="F202" i="11"/>
  <c r="C202" i="11"/>
  <c r="F201" i="11"/>
  <c r="C201" i="11"/>
  <c r="F200" i="11"/>
  <c r="C200" i="11"/>
  <c r="F199" i="11"/>
  <c r="C199" i="11"/>
  <c r="F198" i="11"/>
  <c r="C198" i="11"/>
  <c r="F197" i="11"/>
  <c r="C197" i="11"/>
  <c r="F196" i="11"/>
  <c r="C196" i="11"/>
  <c r="F195" i="11"/>
  <c r="C195" i="11"/>
  <c r="F194" i="11"/>
  <c r="C194" i="11"/>
  <c r="F193" i="11"/>
  <c r="C193" i="11"/>
  <c r="F192" i="11"/>
  <c r="C192" i="11"/>
  <c r="F191" i="11"/>
  <c r="C191" i="11"/>
  <c r="F190" i="11"/>
  <c r="C190" i="11"/>
  <c r="F189" i="11"/>
  <c r="C189" i="11"/>
  <c r="F188" i="11"/>
  <c r="C188" i="11"/>
  <c r="F187" i="11"/>
  <c r="C187" i="11"/>
  <c r="F186" i="11"/>
  <c r="C186" i="11"/>
  <c r="F185" i="11"/>
  <c r="C185" i="11"/>
  <c r="F184" i="11"/>
  <c r="C184" i="11"/>
  <c r="F183" i="11"/>
  <c r="C183" i="11"/>
  <c r="F182" i="11"/>
  <c r="C182" i="11"/>
  <c r="F181" i="11"/>
  <c r="C181" i="11"/>
  <c r="F180" i="11"/>
  <c r="C180" i="11"/>
  <c r="F179" i="11"/>
  <c r="C179" i="11"/>
  <c r="F178" i="11"/>
  <c r="C178" i="11"/>
  <c r="F177" i="11"/>
  <c r="C177" i="11"/>
  <c r="F176" i="11"/>
  <c r="C176" i="11"/>
  <c r="F175" i="11"/>
  <c r="C175" i="11"/>
  <c r="F174" i="11"/>
  <c r="C174" i="11"/>
  <c r="F173" i="11"/>
  <c r="C173" i="11"/>
  <c r="F172" i="11"/>
  <c r="C172" i="11"/>
  <c r="F171" i="11"/>
  <c r="C171" i="11"/>
  <c r="F170" i="11"/>
  <c r="C170" i="11"/>
  <c r="F169" i="11"/>
  <c r="C169" i="11"/>
  <c r="F168" i="11"/>
  <c r="C168" i="11"/>
  <c r="F167" i="11"/>
  <c r="C167" i="11"/>
  <c r="F166" i="11"/>
  <c r="C166" i="11"/>
  <c r="F165" i="11"/>
  <c r="C165" i="11"/>
  <c r="F164" i="11"/>
  <c r="C164" i="11"/>
  <c r="F163" i="11"/>
  <c r="C163" i="11"/>
  <c r="F162" i="11"/>
  <c r="C162" i="11"/>
  <c r="F161" i="11"/>
  <c r="C161" i="11"/>
  <c r="F160" i="11"/>
  <c r="C160" i="11"/>
  <c r="F159" i="11"/>
  <c r="C159" i="11"/>
  <c r="F158" i="11"/>
  <c r="C158" i="11"/>
  <c r="F157" i="11"/>
  <c r="C157" i="11"/>
  <c r="F156" i="11"/>
  <c r="C156" i="11"/>
  <c r="F155" i="11"/>
  <c r="C155" i="11"/>
  <c r="F154" i="11"/>
  <c r="C154" i="11"/>
  <c r="F153" i="11"/>
  <c r="C153" i="11"/>
  <c r="F152" i="11"/>
  <c r="C152" i="11"/>
  <c r="F151" i="11"/>
  <c r="C151" i="11"/>
  <c r="F150" i="11"/>
  <c r="C150" i="11"/>
  <c r="F149" i="11"/>
  <c r="C149" i="11"/>
  <c r="F148" i="11"/>
  <c r="C148" i="11"/>
  <c r="F147" i="11"/>
  <c r="C147" i="11"/>
  <c r="F146" i="11"/>
  <c r="C146" i="11"/>
  <c r="F145" i="11"/>
  <c r="C145" i="11"/>
  <c r="F144" i="11"/>
  <c r="C144" i="11"/>
  <c r="F143" i="11"/>
  <c r="C143" i="11"/>
  <c r="F142" i="11"/>
  <c r="C142" i="11"/>
  <c r="F141" i="11"/>
  <c r="C141" i="11"/>
  <c r="F140" i="11"/>
  <c r="C140" i="11"/>
  <c r="F139" i="11"/>
  <c r="C139" i="11"/>
  <c r="F138" i="11"/>
  <c r="C138" i="11"/>
  <c r="F137" i="11"/>
  <c r="C137" i="11"/>
  <c r="F136" i="11"/>
  <c r="C136" i="11"/>
  <c r="F135" i="11"/>
  <c r="C135" i="11"/>
  <c r="F134" i="11"/>
  <c r="C134" i="11"/>
  <c r="F133" i="11"/>
  <c r="C133" i="11"/>
  <c r="F132" i="11"/>
  <c r="C132" i="11"/>
  <c r="F131" i="11"/>
  <c r="C131" i="11"/>
  <c r="F130" i="11"/>
  <c r="C130" i="11"/>
  <c r="F129" i="11"/>
  <c r="C129" i="11"/>
  <c r="F128" i="11"/>
  <c r="C128" i="11"/>
  <c r="F127" i="11"/>
  <c r="C127" i="11"/>
  <c r="F126" i="11"/>
  <c r="C126" i="11"/>
  <c r="F125" i="11"/>
  <c r="C125" i="11"/>
  <c r="F124" i="11"/>
  <c r="C124" i="11"/>
  <c r="F123" i="11"/>
  <c r="C123" i="11"/>
  <c r="F122" i="11"/>
  <c r="C122" i="11"/>
  <c r="F121" i="11"/>
  <c r="C121" i="11"/>
  <c r="F120" i="11"/>
  <c r="C120" i="11"/>
  <c r="F119" i="11"/>
  <c r="C119" i="11"/>
  <c r="F118" i="11"/>
  <c r="C118" i="11"/>
  <c r="F117" i="11"/>
  <c r="C117" i="11"/>
  <c r="F116" i="11"/>
  <c r="C116" i="11"/>
  <c r="F115" i="11"/>
  <c r="C115" i="11"/>
  <c r="F114" i="11"/>
  <c r="C114" i="11"/>
  <c r="F113" i="11"/>
  <c r="C113" i="11"/>
  <c r="F112" i="11"/>
  <c r="C112" i="11"/>
  <c r="F111" i="11"/>
  <c r="C111" i="11"/>
  <c r="F110" i="11"/>
  <c r="C110" i="11"/>
  <c r="F109" i="11"/>
  <c r="C109" i="11"/>
  <c r="F108" i="11"/>
  <c r="C108" i="11"/>
  <c r="F107" i="11"/>
  <c r="C107" i="11"/>
  <c r="F106" i="11"/>
  <c r="C106" i="11"/>
  <c r="F105" i="11"/>
  <c r="C105" i="11"/>
  <c r="F104" i="11"/>
  <c r="C104" i="11"/>
  <c r="F103" i="11"/>
  <c r="C103" i="11"/>
  <c r="F102" i="11"/>
  <c r="C102" i="11"/>
  <c r="F101" i="11"/>
  <c r="C101" i="11"/>
  <c r="F100" i="11"/>
  <c r="C100" i="11"/>
  <c r="F99" i="11"/>
  <c r="C99" i="11"/>
  <c r="F98" i="11"/>
  <c r="C98" i="11"/>
  <c r="F97" i="11"/>
  <c r="C97" i="11"/>
  <c r="F96" i="11"/>
  <c r="C96" i="11"/>
  <c r="F95" i="11"/>
  <c r="C95" i="11"/>
  <c r="F94" i="11"/>
  <c r="C94" i="11"/>
  <c r="F93" i="11"/>
  <c r="C93" i="11"/>
  <c r="F92" i="11"/>
  <c r="C92" i="11"/>
  <c r="F91" i="11"/>
  <c r="C91" i="11"/>
  <c r="F90" i="11"/>
  <c r="C90" i="11"/>
  <c r="F89" i="11"/>
  <c r="C89" i="11"/>
  <c r="F88" i="11"/>
  <c r="C88" i="11"/>
  <c r="F87" i="11"/>
  <c r="C87" i="11"/>
  <c r="F86" i="11"/>
  <c r="C86" i="11"/>
  <c r="F85" i="11"/>
  <c r="C85" i="11"/>
  <c r="F84" i="11"/>
  <c r="C84" i="11"/>
  <c r="F83" i="11"/>
  <c r="C83" i="11"/>
  <c r="F82" i="11"/>
  <c r="C82" i="11"/>
  <c r="F81" i="11"/>
  <c r="F80" i="11"/>
  <c r="F79" i="11"/>
  <c r="C15" i="11"/>
  <c r="C13" i="11"/>
  <c r="C12" i="11"/>
  <c r="H2006" i="9"/>
  <c r="H2005" i="9"/>
  <c r="H2004" i="9"/>
  <c r="H2003" i="9"/>
  <c r="H2002" i="9"/>
  <c r="H2001" i="9"/>
  <c r="H2000" i="9"/>
  <c r="H1999" i="9"/>
  <c r="H1998" i="9"/>
  <c r="H1997" i="9"/>
  <c r="H1996" i="9"/>
  <c r="H1995" i="9"/>
  <c r="H1994" i="9"/>
  <c r="H1993" i="9"/>
  <c r="H1992" i="9"/>
  <c r="H1991" i="9"/>
  <c r="H1990" i="9"/>
  <c r="H1989" i="9"/>
  <c r="H1988" i="9"/>
  <c r="H1987" i="9"/>
  <c r="H1986" i="9"/>
  <c r="H1985" i="9"/>
  <c r="H1984" i="9"/>
  <c r="H1983" i="9"/>
  <c r="H1982" i="9"/>
  <c r="H1981" i="9"/>
  <c r="H1980" i="9"/>
  <c r="H1979" i="9"/>
  <c r="H1978" i="9"/>
  <c r="H1977" i="9"/>
  <c r="H1976" i="9"/>
  <c r="H1975" i="9"/>
  <c r="H1974" i="9"/>
  <c r="H1973" i="9"/>
  <c r="H1972" i="9"/>
  <c r="H1971" i="9"/>
  <c r="H1970" i="9"/>
  <c r="H1969" i="9"/>
  <c r="H1968" i="9"/>
  <c r="H1967" i="9"/>
  <c r="H1966" i="9"/>
  <c r="H1965" i="9"/>
  <c r="H1964" i="9"/>
  <c r="H1963" i="9"/>
  <c r="H1962" i="9"/>
  <c r="H1961" i="9"/>
  <c r="H1960" i="9"/>
  <c r="H1959" i="9"/>
  <c r="H1958" i="9"/>
  <c r="H1957" i="9"/>
  <c r="H1956" i="9"/>
  <c r="H1955" i="9"/>
  <c r="H1954" i="9"/>
  <c r="H1953" i="9"/>
  <c r="H1952" i="9"/>
  <c r="H1951" i="9"/>
  <c r="H1950" i="9"/>
  <c r="H1949" i="9"/>
  <c r="H1948" i="9"/>
  <c r="H1947" i="9"/>
  <c r="H1946" i="9"/>
  <c r="H1945" i="9"/>
  <c r="H1944" i="9"/>
  <c r="H1943" i="9"/>
  <c r="H1942" i="9"/>
  <c r="H1941" i="9"/>
  <c r="H1940" i="9"/>
  <c r="H1939" i="9"/>
  <c r="H1938" i="9"/>
  <c r="H1937" i="9"/>
  <c r="H1936" i="9"/>
  <c r="H1935" i="9"/>
  <c r="H1934" i="9"/>
  <c r="H1933" i="9"/>
  <c r="H1932" i="9"/>
  <c r="H1931" i="9"/>
  <c r="H1930" i="9"/>
  <c r="H1929" i="9"/>
  <c r="H1928" i="9"/>
  <c r="H1927" i="9"/>
  <c r="H1926" i="9"/>
  <c r="H1925" i="9"/>
  <c r="H1924" i="9"/>
  <c r="H1923" i="9"/>
  <c r="H1922" i="9"/>
  <c r="H1921" i="9"/>
  <c r="H1920" i="9"/>
  <c r="H1919" i="9"/>
  <c r="H1918" i="9"/>
  <c r="H1917" i="9"/>
  <c r="H1916" i="9"/>
  <c r="H1915" i="9"/>
  <c r="H1914" i="9"/>
  <c r="H1913" i="9"/>
  <c r="H1912" i="9"/>
  <c r="H1911" i="9"/>
  <c r="H1910" i="9"/>
  <c r="H1909" i="9"/>
  <c r="H1908" i="9"/>
  <c r="H1907" i="9"/>
  <c r="H1906" i="9"/>
  <c r="H1905" i="9"/>
  <c r="H1904" i="9"/>
  <c r="H1903" i="9"/>
  <c r="H1902" i="9"/>
  <c r="H1901" i="9"/>
  <c r="H1900" i="9"/>
  <c r="H1899" i="9"/>
  <c r="H1898" i="9"/>
  <c r="H1897" i="9"/>
  <c r="H1896" i="9"/>
  <c r="H1895" i="9"/>
  <c r="H1894" i="9"/>
  <c r="H1893" i="9"/>
  <c r="H1892" i="9"/>
  <c r="H1891" i="9"/>
  <c r="H1890" i="9"/>
  <c r="H1889" i="9"/>
  <c r="H1888" i="9"/>
  <c r="H1887" i="9"/>
  <c r="H1886" i="9"/>
  <c r="H1885" i="9"/>
  <c r="H1884" i="9"/>
  <c r="H1883" i="9"/>
  <c r="H1882" i="9"/>
  <c r="H1881" i="9"/>
  <c r="H1880" i="9"/>
  <c r="H1879" i="9"/>
  <c r="H1878" i="9"/>
  <c r="H1877" i="9"/>
  <c r="H1876" i="9"/>
  <c r="H1875" i="9"/>
  <c r="H1874" i="9"/>
  <c r="H1873" i="9"/>
  <c r="H1872" i="9"/>
  <c r="H1871" i="9"/>
  <c r="H1870" i="9"/>
  <c r="H1869" i="9"/>
  <c r="H1868" i="9"/>
  <c r="H1867" i="9"/>
  <c r="H1866" i="9"/>
  <c r="H1865" i="9"/>
  <c r="H1864" i="9"/>
  <c r="H1863" i="9"/>
  <c r="H1862" i="9"/>
  <c r="H1861" i="9"/>
  <c r="H1860" i="9"/>
  <c r="H1859" i="9"/>
  <c r="H1858" i="9"/>
  <c r="H1857" i="9"/>
  <c r="H1856" i="9"/>
  <c r="H1855" i="9"/>
  <c r="H1854" i="9"/>
  <c r="H1853" i="9"/>
  <c r="H1852" i="9"/>
  <c r="H1851" i="9"/>
  <c r="H1850" i="9"/>
  <c r="H1849" i="9"/>
  <c r="H1848" i="9"/>
  <c r="H1847" i="9"/>
  <c r="H1846" i="9"/>
  <c r="H1845" i="9"/>
  <c r="H1844" i="9"/>
  <c r="H1843" i="9"/>
  <c r="H1842" i="9"/>
  <c r="H1841" i="9"/>
  <c r="H1840" i="9"/>
  <c r="H1839" i="9"/>
  <c r="H1838" i="9"/>
  <c r="H1837" i="9"/>
  <c r="H1836" i="9"/>
  <c r="H1835" i="9"/>
  <c r="H1834" i="9"/>
  <c r="H1833" i="9"/>
  <c r="H1832" i="9"/>
  <c r="H1831" i="9"/>
  <c r="H1830" i="9"/>
  <c r="H1829" i="9"/>
  <c r="H1828" i="9"/>
  <c r="H1827" i="9"/>
  <c r="H1826" i="9"/>
  <c r="H1825" i="9"/>
  <c r="H1824" i="9"/>
  <c r="H1823" i="9"/>
  <c r="H1822" i="9"/>
  <c r="H1821" i="9"/>
  <c r="H1820" i="9"/>
  <c r="H1819" i="9"/>
  <c r="H1818" i="9"/>
  <c r="H1817" i="9"/>
  <c r="H1816" i="9"/>
  <c r="H1815" i="9"/>
  <c r="H1814" i="9"/>
  <c r="H1813" i="9"/>
  <c r="H1812" i="9"/>
  <c r="H1811" i="9"/>
  <c r="H1810" i="9"/>
  <c r="H1809" i="9"/>
  <c r="H1808" i="9"/>
  <c r="H1807" i="9"/>
  <c r="H1806" i="9"/>
  <c r="H1805" i="9"/>
  <c r="H1804" i="9"/>
  <c r="H1803" i="9"/>
  <c r="H1802" i="9"/>
  <c r="H1801" i="9"/>
  <c r="H1800" i="9"/>
  <c r="H1799" i="9"/>
  <c r="H1798" i="9"/>
  <c r="H1797" i="9"/>
  <c r="H1796" i="9"/>
  <c r="H1795" i="9"/>
  <c r="H1794" i="9"/>
  <c r="H1793" i="9"/>
  <c r="H1792" i="9"/>
  <c r="H1791" i="9"/>
  <c r="H1790" i="9"/>
  <c r="H1789" i="9"/>
  <c r="H1788" i="9"/>
  <c r="H1787" i="9"/>
  <c r="H1786" i="9"/>
  <c r="H1785" i="9"/>
  <c r="H1784" i="9"/>
  <c r="H1783" i="9"/>
  <c r="H1782" i="9"/>
  <c r="H1781" i="9"/>
  <c r="H1780" i="9"/>
  <c r="H1779" i="9"/>
  <c r="H1778" i="9"/>
  <c r="H1777" i="9"/>
  <c r="H1776" i="9"/>
  <c r="H1775" i="9"/>
  <c r="H1774" i="9"/>
  <c r="H1773" i="9"/>
  <c r="H1772" i="9"/>
  <c r="H1771" i="9"/>
  <c r="H1770" i="9"/>
  <c r="H1769" i="9"/>
  <c r="H1768" i="9"/>
  <c r="H1767" i="9"/>
  <c r="H1766" i="9"/>
  <c r="H1765" i="9"/>
  <c r="H1764" i="9"/>
  <c r="H1763" i="9"/>
  <c r="H1762" i="9"/>
  <c r="H1761" i="9"/>
  <c r="H1760" i="9"/>
  <c r="H1759" i="9"/>
  <c r="H1758" i="9"/>
  <c r="H1757" i="9"/>
  <c r="H1756" i="9"/>
  <c r="H1755" i="9"/>
  <c r="H1754" i="9"/>
  <c r="H1753" i="9"/>
  <c r="H1752" i="9"/>
  <c r="H1751" i="9"/>
  <c r="H1750" i="9"/>
  <c r="H1749" i="9"/>
  <c r="H1748" i="9"/>
  <c r="H1747" i="9"/>
  <c r="H1746" i="9"/>
  <c r="H1745" i="9"/>
  <c r="H1744" i="9"/>
  <c r="H1743" i="9"/>
  <c r="H1742" i="9"/>
  <c r="H1741" i="9"/>
  <c r="H1740" i="9"/>
  <c r="H1739" i="9"/>
  <c r="H1738" i="9"/>
  <c r="H1737" i="9"/>
  <c r="H1736" i="9"/>
  <c r="H1735" i="9"/>
  <c r="H1734" i="9"/>
  <c r="H1733" i="9"/>
  <c r="H1732" i="9"/>
  <c r="H1731" i="9"/>
  <c r="H1730" i="9"/>
  <c r="H1729" i="9"/>
  <c r="H1728" i="9"/>
  <c r="H1727" i="9"/>
  <c r="H1726" i="9"/>
  <c r="H1725" i="9"/>
  <c r="H1724" i="9"/>
  <c r="H1723" i="9"/>
  <c r="H1722" i="9"/>
  <c r="H1721" i="9"/>
  <c r="H1720" i="9"/>
  <c r="H1719" i="9"/>
  <c r="H1718" i="9"/>
  <c r="H1717" i="9"/>
  <c r="H1716" i="9"/>
  <c r="H1715" i="9"/>
  <c r="H1714" i="9"/>
  <c r="H1713" i="9"/>
  <c r="H1712" i="9"/>
  <c r="H1711" i="9"/>
  <c r="H1710" i="9"/>
  <c r="H1709" i="9"/>
  <c r="H1708" i="9"/>
  <c r="H1707" i="9"/>
  <c r="H1706" i="9"/>
  <c r="H1705" i="9"/>
  <c r="H1704" i="9"/>
  <c r="H1703" i="9"/>
  <c r="H1702" i="9"/>
  <c r="H1701" i="9"/>
  <c r="H1700" i="9"/>
  <c r="H1699" i="9"/>
  <c r="H1698" i="9"/>
  <c r="H1697" i="9"/>
  <c r="H1696" i="9"/>
  <c r="H1695" i="9"/>
  <c r="H1694" i="9"/>
  <c r="H1693" i="9"/>
  <c r="H1692" i="9"/>
  <c r="H1691" i="9"/>
  <c r="H1690" i="9"/>
  <c r="H1689" i="9"/>
  <c r="H1688" i="9"/>
  <c r="H1687" i="9"/>
  <c r="H1686" i="9"/>
  <c r="H1685" i="9"/>
  <c r="H1684" i="9"/>
  <c r="H1683" i="9"/>
  <c r="H1682" i="9"/>
  <c r="H1681" i="9"/>
  <c r="H1680" i="9"/>
  <c r="H1679" i="9"/>
  <c r="H1678" i="9"/>
  <c r="H1677" i="9"/>
  <c r="H1676" i="9"/>
  <c r="H1675" i="9"/>
  <c r="H1674" i="9"/>
  <c r="H1673" i="9"/>
  <c r="H1672" i="9"/>
  <c r="H1671" i="9"/>
  <c r="H1670" i="9"/>
  <c r="H1669" i="9"/>
  <c r="H1668" i="9"/>
  <c r="H1667" i="9"/>
  <c r="H1666" i="9"/>
  <c r="H1665" i="9"/>
  <c r="H1664" i="9"/>
  <c r="H1663" i="9"/>
  <c r="H1662" i="9"/>
  <c r="H1661" i="9"/>
  <c r="H1660" i="9"/>
  <c r="H1659" i="9"/>
  <c r="H1658" i="9"/>
  <c r="H1657" i="9"/>
  <c r="H1656" i="9"/>
  <c r="H1655" i="9"/>
  <c r="H1654" i="9"/>
  <c r="H1653" i="9"/>
  <c r="H1652" i="9"/>
  <c r="H1651" i="9"/>
  <c r="H1650" i="9"/>
  <c r="H1649" i="9"/>
  <c r="H1648" i="9"/>
  <c r="H1647" i="9"/>
  <c r="H1646" i="9"/>
  <c r="H1645" i="9"/>
  <c r="H1644" i="9"/>
  <c r="H1643" i="9"/>
  <c r="H1642" i="9"/>
  <c r="H1641" i="9"/>
  <c r="H1640" i="9"/>
  <c r="H1639" i="9"/>
  <c r="H1638" i="9"/>
  <c r="H1637" i="9"/>
  <c r="H1636" i="9"/>
  <c r="H1635" i="9"/>
  <c r="H1634" i="9"/>
  <c r="H1633" i="9"/>
  <c r="H1632" i="9"/>
  <c r="H1631" i="9"/>
  <c r="H1630" i="9"/>
  <c r="H1629" i="9"/>
  <c r="H1628" i="9"/>
  <c r="H1627" i="9"/>
  <c r="H1626" i="9"/>
  <c r="H1625" i="9"/>
  <c r="H1624" i="9"/>
  <c r="H1623" i="9"/>
  <c r="H1622" i="9"/>
  <c r="H1621" i="9"/>
  <c r="H1620" i="9"/>
  <c r="H1619" i="9"/>
  <c r="H1618" i="9"/>
  <c r="H1617" i="9"/>
  <c r="H1616" i="9"/>
  <c r="H1615" i="9"/>
  <c r="H1614" i="9"/>
  <c r="H1613" i="9"/>
  <c r="H1612" i="9"/>
  <c r="H1611" i="9"/>
  <c r="H1610" i="9"/>
  <c r="H1609" i="9"/>
  <c r="H1608" i="9"/>
  <c r="H1607" i="9"/>
  <c r="H1606" i="9"/>
  <c r="H1605" i="9"/>
  <c r="H1604" i="9"/>
  <c r="H1603" i="9"/>
  <c r="H1602" i="9"/>
  <c r="H1601" i="9"/>
  <c r="H1600" i="9"/>
  <c r="H1599" i="9"/>
  <c r="H1598" i="9"/>
  <c r="H1597" i="9"/>
  <c r="H1596" i="9"/>
  <c r="H1595" i="9"/>
  <c r="H1594" i="9"/>
  <c r="H1593" i="9"/>
  <c r="H1592" i="9"/>
  <c r="H1591" i="9"/>
  <c r="H1590" i="9"/>
  <c r="H1589" i="9"/>
  <c r="H1588" i="9"/>
  <c r="H1587" i="9"/>
  <c r="H1586" i="9"/>
  <c r="H1585" i="9"/>
  <c r="H1584" i="9"/>
  <c r="H1583" i="9"/>
  <c r="H1582" i="9"/>
  <c r="H1581" i="9"/>
  <c r="H1580" i="9"/>
  <c r="H1579" i="9"/>
  <c r="H1578" i="9"/>
  <c r="H1577" i="9"/>
  <c r="H1576" i="9"/>
  <c r="H1575" i="9"/>
  <c r="H1574" i="9"/>
  <c r="H1573" i="9"/>
  <c r="H1572" i="9"/>
  <c r="H1571" i="9"/>
  <c r="H1570" i="9"/>
  <c r="H1569" i="9"/>
  <c r="H1568" i="9"/>
  <c r="H1567" i="9"/>
  <c r="H1566" i="9"/>
  <c r="H1565" i="9"/>
  <c r="H1564" i="9"/>
  <c r="H1563" i="9"/>
  <c r="H1562" i="9"/>
  <c r="H1561" i="9"/>
  <c r="H1560" i="9"/>
  <c r="H1559" i="9"/>
  <c r="H1558" i="9"/>
  <c r="H1557" i="9"/>
  <c r="H1556" i="9"/>
  <c r="H1555" i="9"/>
  <c r="H1554" i="9"/>
  <c r="H1553" i="9"/>
  <c r="H1552" i="9"/>
  <c r="H1551" i="9"/>
  <c r="H1550" i="9"/>
  <c r="H1549" i="9"/>
  <c r="H1548" i="9"/>
  <c r="H1547" i="9"/>
  <c r="H1546" i="9"/>
  <c r="H1545" i="9"/>
  <c r="H1544" i="9"/>
  <c r="H1543" i="9"/>
  <c r="H1542" i="9"/>
  <c r="H1541" i="9"/>
  <c r="H1540" i="9"/>
  <c r="H1539" i="9"/>
  <c r="H1538" i="9"/>
  <c r="H1537" i="9"/>
  <c r="H1536" i="9"/>
  <c r="H1535" i="9"/>
  <c r="H1534" i="9"/>
  <c r="H1533" i="9"/>
  <c r="H1532" i="9"/>
  <c r="H1531" i="9"/>
  <c r="H1530" i="9"/>
  <c r="H1529" i="9"/>
  <c r="H1528" i="9"/>
  <c r="H1527" i="9"/>
  <c r="H1526" i="9"/>
  <c r="H1525" i="9"/>
  <c r="H1524" i="9"/>
  <c r="H1523" i="9"/>
  <c r="H1522" i="9"/>
  <c r="H1521" i="9"/>
  <c r="H1520" i="9"/>
  <c r="H1519" i="9"/>
  <c r="H1518" i="9"/>
  <c r="H1517" i="9"/>
  <c r="H1516" i="9"/>
  <c r="H1515" i="9"/>
  <c r="H1514" i="9"/>
  <c r="H1513" i="9"/>
  <c r="H1512" i="9"/>
  <c r="H1511" i="9"/>
  <c r="H1510" i="9"/>
  <c r="H1509" i="9"/>
  <c r="H1508" i="9"/>
  <c r="H1507" i="9"/>
  <c r="H1506" i="9"/>
  <c r="H1505" i="9"/>
  <c r="H1504" i="9"/>
  <c r="H1503" i="9"/>
  <c r="H1502" i="9"/>
  <c r="H1501" i="9"/>
  <c r="H1500" i="9"/>
  <c r="H1499" i="9"/>
  <c r="H1498" i="9"/>
  <c r="H1497" i="9"/>
  <c r="H1496" i="9"/>
  <c r="H1495" i="9"/>
  <c r="H1494" i="9"/>
  <c r="H1493" i="9"/>
  <c r="H1492" i="9"/>
  <c r="H1491" i="9"/>
  <c r="H1490" i="9"/>
  <c r="H1489" i="9"/>
  <c r="H1488" i="9"/>
  <c r="H1487" i="9"/>
  <c r="H1486" i="9"/>
  <c r="H1485" i="9"/>
  <c r="H1484" i="9"/>
  <c r="H1483" i="9"/>
  <c r="H1482" i="9"/>
  <c r="H1481" i="9"/>
  <c r="H1480" i="9"/>
  <c r="H1479" i="9"/>
  <c r="H1478" i="9"/>
  <c r="H1477" i="9"/>
  <c r="H1476" i="9"/>
  <c r="H1475" i="9"/>
  <c r="H1474" i="9"/>
  <c r="H1473" i="9"/>
  <c r="H1472" i="9"/>
  <c r="H1471" i="9"/>
  <c r="H1470" i="9"/>
  <c r="H1469" i="9"/>
  <c r="H1468" i="9"/>
  <c r="H1467" i="9"/>
  <c r="H1466" i="9"/>
  <c r="H1465" i="9"/>
  <c r="H1464" i="9"/>
  <c r="H1463" i="9"/>
  <c r="H1462" i="9"/>
  <c r="H1461" i="9"/>
  <c r="H1460" i="9"/>
  <c r="H1459" i="9"/>
  <c r="H1458" i="9"/>
  <c r="H1457" i="9"/>
  <c r="H1456" i="9"/>
  <c r="H1455" i="9"/>
  <c r="H1454" i="9"/>
  <c r="H1453" i="9"/>
  <c r="H1452" i="9"/>
  <c r="H1451" i="9"/>
  <c r="H1450" i="9"/>
  <c r="H1449" i="9"/>
  <c r="H1448" i="9"/>
  <c r="H1447" i="9"/>
  <c r="H1446" i="9"/>
  <c r="H1445" i="9"/>
  <c r="H1444" i="9"/>
  <c r="H1443" i="9"/>
  <c r="H1442" i="9"/>
  <c r="H1441" i="9"/>
  <c r="H1440" i="9"/>
  <c r="H1439" i="9"/>
  <c r="H1438" i="9"/>
  <c r="H1437" i="9"/>
  <c r="H1436" i="9"/>
  <c r="H1435" i="9"/>
  <c r="H1434" i="9"/>
  <c r="H1433" i="9"/>
  <c r="H1432" i="9"/>
  <c r="H1431" i="9"/>
  <c r="H1430" i="9"/>
  <c r="H1429" i="9"/>
  <c r="H1428" i="9"/>
  <c r="H1427" i="9"/>
  <c r="H1426" i="9"/>
  <c r="H1425" i="9"/>
  <c r="H1424" i="9"/>
  <c r="H1423" i="9"/>
  <c r="H1422" i="9"/>
  <c r="H1421" i="9"/>
  <c r="H1420" i="9"/>
  <c r="H1419" i="9"/>
  <c r="H1418" i="9"/>
  <c r="H1417" i="9"/>
  <c r="H1416" i="9"/>
  <c r="H1415" i="9"/>
  <c r="H1414" i="9"/>
  <c r="H1413" i="9"/>
  <c r="H1412" i="9"/>
  <c r="H1411" i="9"/>
  <c r="H1410" i="9"/>
  <c r="H1409" i="9"/>
  <c r="H1408" i="9"/>
  <c r="H1407" i="9"/>
  <c r="H1406" i="9"/>
  <c r="H1405" i="9"/>
  <c r="H1404" i="9"/>
  <c r="H1403" i="9"/>
  <c r="H1402" i="9"/>
  <c r="H1401" i="9"/>
  <c r="H1400" i="9"/>
  <c r="H1399" i="9"/>
  <c r="H1398" i="9"/>
  <c r="H1397" i="9"/>
  <c r="H1396" i="9"/>
  <c r="H1395" i="9"/>
  <c r="H1394" i="9"/>
  <c r="H1393" i="9"/>
  <c r="H1392" i="9"/>
  <c r="H1391" i="9"/>
  <c r="H1390" i="9"/>
  <c r="H1389" i="9"/>
  <c r="H1388" i="9"/>
  <c r="H1387" i="9"/>
  <c r="H1386" i="9"/>
  <c r="H1385" i="9"/>
  <c r="H1384" i="9"/>
  <c r="H1383" i="9"/>
  <c r="H1382" i="9"/>
  <c r="H1381" i="9"/>
  <c r="H1380" i="9"/>
  <c r="H1379" i="9"/>
  <c r="H1378" i="9"/>
  <c r="H1377" i="9"/>
  <c r="H1376" i="9"/>
  <c r="H1375" i="9"/>
  <c r="H1374" i="9"/>
  <c r="H1373" i="9"/>
  <c r="H1372" i="9"/>
  <c r="H1371" i="9"/>
  <c r="H1370" i="9"/>
  <c r="H1369" i="9"/>
  <c r="H1368" i="9"/>
  <c r="H1367" i="9"/>
  <c r="H1366" i="9"/>
  <c r="H1365" i="9"/>
  <c r="H1364" i="9"/>
  <c r="H1363" i="9"/>
  <c r="H1362" i="9"/>
  <c r="H1361" i="9"/>
  <c r="H1360" i="9"/>
  <c r="H1359" i="9"/>
  <c r="H1358" i="9"/>
  <c r="H1357" i="9"/>
  <c r="H1356" i="9"/>
  <c r="H1355" i="9"/>
  <c r="H1354" i="9"/>
  <c r="H1353" i="9"/>
  <c r="H1352" i="9"/>
  <c r="H1351" i="9"/>
  <c r="H1350" i="9"/>
  <c r="H1349" i="9"/>
  <c r="H1348" i="9"/>
  <c r="H1347" i="9"/>
  <c r="H1346" i="9"/>
  <c r="H1345" i="9"/>
  <c r="H1344" i="9"/>
  <c r="H1343" i="9"/>
  <c r="H1342" i="9"/>
  <c r="H1341" i="9"/>
  <c r="H1340" i="9"/>
  <c r="H1339" i="9"/>
  <c r="H1338" i="9"/>
  <c r="H1337" i="9"/>
  <c r="H1336" i="9"/>
  <c r="H1335" i="9"/>
  <c r="H1334" i="9"/>
  <c r="H1333" i="9"/>
  <c r="H1332" i="9"/>
  <c r="H1331" i="9"/>
  <c r="H1330" i="9"/>
  <c r="H1329" i="9"/>
  <c r="H1328" i="9"/>
  <c r="H1327" i="9"/>
  <c r="H1326" i="9"/>
  <c r="H1325" i="9"/>
  <c r="H1324" i="9"/>
  <c r="H1323" i="9"/>
  <c r="H1322" i="9"/>
  <c r="H1321" i="9"/>
  <c r="H1320" i="9"/>
  <c r="H1319" i="9"/>
  <c r="H1318" i="9"/>
  <c r="H1317" i="9"/>
  <c r="H1316" i="9"/>
  <c r="H1315" i="9"/>
  <c r="H1314" i="9"/>
  <c r="H1313" i="9"/>
  <c r="H1312" i="9"/>
  <c r="H1311" i="9"/>
  <c r="H1310" i="9"/>
  <c r="H1309" i="9"/>
  <c r="H1308" i="9"/>
  <c r="H1307" i="9"/>
  <c r="H1306" i="9"/>
  <c r="H1305" i="9"/>
  <c r="H1304" i="9"/>
  <c r="H1303" i="9"/>
  <c r="H1302" i="9"/>
  <c r="H1301" i="9"/>
  <c r="H1300" i="9"/>
  <c r="H1299" i="9"/>
  <c r="H1298" i="9"/>
  <c r="H1297" i="9"/>
  <c r="H1296" i="9"/>
  <c r="H1295" i="9"/>
  <c r="H1294" i="9"/>
  <c r="H1293" i="9"/>
  <c r="H1292" i="9"/>
  <c r="H1291" i="9"/>
  <c r="H1290" i="9"/>
  <c r="H1289" i="9"/>
  <c r="H1288" i="9"/>
  <c r="H1287" i="9"/>
  <c r="H1286" i="9"/>
  <c r="H1285" i="9"/>
  <c r="H1284" i="9"/>
  <c r="H1283" i="9"/>
  <c r="H1282" i="9"/>
  <c r="H1281" i="9"/>
  <c r="H1280" i="9"/>
  <c r="H1279" i="9"/>
  <c r="H1278" i="9"/>
  <c r="H1277" i="9"/>
  <c r="H1276" i="9"/>
  <c r="H1275" i="9"/>
  <c r="H1274" i="9"/>
  <c r="H1273" i="9"/>
  <c r="H1272" i="9"/>
  <c r="H1271" i="9"/>
  <c r="H1270" i="9"/>
  <c r="H1269" i="9"/>
  <c r="H1268" i="9"/>
  <c r="H1267" i="9"/>
  <c r="H1266" i="9"/>
  <c r="H1265" i="9"/>
  <c r="H1264" i="9"/>
  <c r="H1263" i="9"/>
  <c r="H1262" i="9"/>
  <c r="H1261" i="9"/>
  <c r="H1260" i="9"/>
  <c r="H1259" i="9"/>
  <c r="H1258" i="9"/>
  <c r="H1257" i="9"/>
  <c r="H1256" i="9"/>
  <c r="H1255" i="9"/>
  <c r="H1254" i="9"/>
  <c r="H1253" i="9"/>
  <c r="H1252" i="9"/>
  <c r="H1251" i="9"/>
  <c r="H1250" i="9"/>
  <c r="H1249" i="9"/>
  <c r="H1248" i="9"/>
  <c r="H1247" i="9"/>
  <c r="H1246" i="9"/>
  <c r="H1245" i="9"/>
  <c r="H1244" i="9"/>
  <c r="H1243" i="9"/>
  <c r="H1242" i="9"/>
  <c r="H1241" i="9"/>
  <c r="H1240" i="9"/>
  <c r="H1239" i="9"/>
  <c r="H1238" i="9"/>
  <c r="H1237" i="9"/>
  <c r="H1236" i="9"/>
  <c r="H1235" i="9"/>
  <c r="H1234" i="9"/>
  <c r="H1233" i="9"/>
  <c r="H1232" i="9"/>
  <c r="H1231" i="9"/>
  <c r="H1230" i="9"/>
  <c r="H1229" i="9"/>
  <c r="H1228" i="9"/>
  <c r="H1227" i="9"/>
  <c r="H1226" i="9"/>
  <c r="H1225" i="9"/>
  <c r="H1224" i="9"/>
  <c r="H1223" i="9"/>
  <c r="H1222" i="9"/>
  <c r="H1221" i="9"/>
  <c r="H1220" i="9"/>
  <c r="H1219" i="9"/>
  <c r="H1218" i="9"/>
  <c r="H1217" i="9"/>
  <c r="H1216" i="9"/>
  <c r="H1215" i="9"/>
  <c r="H1214" i="9"/>
  <c r="H1213" i="9"/>
  <c r="H1212" i="9"/>
  <c r="H1211" i="9"/>
  <c r="H1210" i="9"/>
  <c r="H1209" i="9"/>
  <c r="H1208" i="9"/>
  <c r="H1207" i="9"/>
  <c r="H1206" i="9"/>
  <c r="H1205" i="9"/>
  <c r="H1204" i="9"/>
  <c r="H1203" i="9"/>
  <c r="H1202" i="9"/>
  <c r="H1201" i="9"/>
  <c r="H1200" i="9"/>
  <c r="H1199" i="9"/>
  <c r="H1198" i="9"/>
  <c r="H1197" i="9"/>
  <c r="H1196" i="9"/>
  <c r="H1195" i="9"/>
  <c r="H1194" i="9"/>
  <c r="H1193" i="9"/>
  <c r="H1192" i="9"/>
  <c r="H1191" i="9"/>
  <c r="H1190" i="9"/>
  <c r="H1189" i="9"/>
  <c r="H1188" i="9"/>
  <c r="H1187" i="9"/>
  <c r="H1186" i="9"/>
  <c r="H1185" i="9"/>
  <c r="H1184" i="9"/>
  <c r="H1183" i="9"/>
  <c r="H1182" i="9"/>
  <c r="H1181" i="9"/>
  <c r="H1180" i="9"/>
  <c r="H1179" i="9"/>
  <c r="H1178" i="9"/>
  <c r="H1177" i="9"/>
  <c r="H1176" i="9"/>
  <c r="H1175" i="9"/>
  <c r="H1174" i="9"/>
  <c r="H1173" i="9"/>
  <c r="H1172" i="9"/>
  <c r="H1171" i="9"/>
  <c r="H1170" i="9"/>
  <c r="H1169" i="9"/>
  <c r="H1168" i="9"/>
  <c r="H1167" i="9"/>
  <c r="H1166" i="9"/>
  <c r="H1165" i="9"/>
  <c r="H1164" i="9"/>
  <c r="H1163" i="9"/>
  <c r="H1162" i="9"/>
  <c r="H1161" i="9"/>
  <c r="H1160" i="9"/>
  <c r="H1159" i="9"/>
  <c r="H1158" i="9"/>
  <c r="H1157" i="9"/>
  <c r="H1156" i="9"/>
  <c r="H1155" i="9"/>
  <c r="H1154" i="9"/>
  <c r="H1153" i="9"/>
  <c r="H1152" i="9"/>
  <c r="H1151" i="9"/>
  <c r="H1150" i="9"/>
  <c r="H1149" i="9"/>
  <c r="H1148" i="9"/>
  <c r="H1147" i="9"/>
  <c r="H1146" i="9"/>
  <c r="H1145" i="9"/>
  <c r="H1144" i="9"/>
  <c r="H1143" i="9"/>
  <c r="H1142" i="9"/>
  <c r="H1141" i="9"/>
  <c r="H1140" i="9"/>
  <c r="H1139" i="9"/>
  <c r="H1138" i="9"/>
  <c r="H1137" i="9"/>
  <c r="H1136" i="9"/>
  <c r="H1135" i="9"/>
  <c r="H1134" i="9"/>
  <c r="H1133" i="9"/>
  <c r="H1132" i="9"/>
  <c r="H1131" i="9"/>
  <c r="H1130" i="9"/>
  <c r="H1129" i="9"/>
  <c r="H1128" i="9"/>
  <c r="H1127" i="9"/>
  <c r="H1126" i="9"/>
  <c r="H1125" i="9"/>
  <c r="H1124" i="9"/>
  <c r="H1123" i="9"/>
  <c r="H1122" i="9"/>
  <c r="H1121" i="9"/>
  <c r="H1120" i="9"/>
  <c r="H1119" i="9"/>
  <c r="H1118" i="9"/>
  <c r="H1117" i="9"/>
  <c r="H1116" i="9"/>
  <c r="H1115" i="9"/>
  <c r="H1114" i="9"/>
  <c r="H1113" i="9"/>
  <c r="H1112" i="9"/>
  <c r="H1111" i="9"/>
  <c r="H1110" i="9"/>
  <c r="H1109" i="9"/>
  <c r="H1108" i="9"/>
  <c r="H1107" i="9"/>
  <c r="H1106" i="9"/>
  <c r="H1105" i="9"/>
  <c r="H1104" i="9"/>
  <c r="H1103" i="9"/>
  <c r="H1102" i="9"/>
  <c r="H1101" i="9"/>
  <c r="H1100" i="9"/>
  <c r="H1099" i="9"/>
  <c r="H1098" i="9"/>
  <c r="H1097" i="9"/>
  <c r="H1096" i="9"/>
  <c r="H1095" i="9"/>
  <c r="H1094" i="9"/>
  <c r="H1093" i="9"/>
  <c r="H1092" i="9"/>
  <c r="H1091" i="9"/>
  <c r="H1090" i="9"/>
  <c r="H1089" i="9"/>
  <c r="H1088" i="9"/>
  <c r="H1087" i="9"/>
  <c r="H1086" i="9"/>
  <c r="H1085" i="9"/>
  <c r="H1084" i="9"/>
  <c r="H1083" i="9"/>
  <c r="H1082" i="9"/>
  <c r="H1081" i="9"/>
  <c r="H1080" i="9"/>
  <c r="H1079" i="9"/>
  <c r="H1078" i="9"/>
  <c r="H1077" i="9"/>
  <c r="H1076" i="9"/>
  <c r="H1075" i="9"/>
  <c r="H1074" i="9"/>
  <c r="H1073" i="9"/>
  <c r="H1072" i="9"/>
  <c r="H1071" i="9"/>
  <c r="H1070" i="9"/>
  <c r="H1069" i="9"/>
  <c r="H1068" i="9"/>
  <c r="H1067" i="9"/>
  <c r="H1066" i="9"/>
  <c r="H1065" i="9"/>
  <c r="H1064" i="9"/>
  <c r="H1063" i="9"/>
  <c r="H1062" i="9"/>
  <c r="H1061" i="9"/>
  <c r="H1060" i="9"/>
  <c r="H1059" i="9"/>
  <c r="H1058" i="9"/>
  <c r="H1057" i="9"/>
  <c r="H1056" i="9"/>
  <c r="H1055" i="9"/>
  <c r="H1054" i="9"/>
  <c r="H1053" i="9"/>
  <c r="H1052" i="9"/>
  <c r="H1051" i="9"/>
  <c r="H1050" i="9"/>
  <c r="H1049" i="9"/>
  <c r="H1048" i="9"/>
  <c r="H1047" i="9"/>
  <c r="H1046" i="9"/>
  <c r="H1045" i="9"/>
  <c r="H1044" i="9"/>
  <c r="H1043" i="9"/>
  <c r="H1042" i="9"/>
  <c r="H1041" i="9"/>
  <c r="H1040" i="9"/>
  <c r="H1039" i="9"/>
  <c r="H1038" i="9"/>
  <c r="H1037" i="9"/>
  <c r="H1036" i="9"/>
  <c r="H1035" i="9"/>
  <c r="H1034" i="9"/>
  <c r="H1033" i="9"/>
  <c r="H1032" i="9"/>
  <c r="H1031" i="9"/>
  <c r="H1030" i="9"/>
  <c r="H1029" i="9"/>
  <c r="H1028" i="9"/>
  <c r="H1027" i="9"/>
  <c r="H1026" i="9"/>
  <c r="H1025" i="9"/>
  <c r="H1024" i="9"/>
  <c r="H1023" i="9"/>
  <c r="H1022" i="9"/>
  <c r="H1021" i="9"/>
  <c r="H1020" i="9"/>
  <c r="H1019" i="9"/>
  <c r="H1018" i="9"/>
  <c r="H1017" i="9"/>
  <c r="H1016" i="9"/>
  <c r="H1015" i="9"/>
  <c r="H1014" i="9"/>
  <c r="H1013" i="9"/>
  <c r="H1012" i="9"/>
  <c r="H1011" i="9"/>
  <c r="H1010" i="9"/>
  <c r="H1009" i="9"/>
  <c r="H1008" i="9"/>
  <c r="H1007" i="9"/>
  <c r="H1006" i="9"/>
  <c r="H1005" i="9"/>
  <c r="H1004" i="9"/>
  <c r="H1003" i="9"/>
  <c r="H1002" i="9"/>
  <c r="H1001" i="9"/>
  <c r="H1000" i="9"/>
  <c r="H999" i="9"/>
  <c r="H998" i="9"/>
  <c r="H997" i="9"/>
  <c r="H996" i="9"/>
  <c r="H995" i="9"/>
  <c r="H994" i="9"/>
  <c r="H993" i="9"/>
  <c r="H992" i="9"/>
  <c r="H991" i="9"/>
  <c r="H990" i="9"/>
  <c r="H989" i="9"/>
  <c r="H988" i="9"/>
  <c r="H987" i="9"/>
  <c r="H986" i="9"/>
  <c r="H985" i="9"/>
  <c r="H984" i="9"/>
  <c r="H983" i="9"/>
  <c r="H982" i="9"/>
  <c r="H981" i="9"/>
  <c r="H980" i="9"/>
  <c r="H979" i="9"/>
  <c r="H978" i="9"/>
  <c r="H977" i="9"/>
  <c r="H976" i="9"/>
  <c r="H975" i="9"/>
  <c r="H974" i="9"/>
  <c r="H973" i="9"/>
  <c r="H972" i="9"/>
  <c r="H971" i="9"/>
  <c r="H970" i="9"/>
  <c r="H969" i="9"/>
  <c r="H968" i="9"/>
  <c r="H967" i="9"/>
  <c r="H966" i="9"/>
  <c r="H965" i="9"/>
  <c r="H964" i="9"/>
  <c r="H963" i="9"/>
  <c r="H962" i="9"/>
  <c r="H961" i="9"/>
  <c r="H960" i="9"/>
  <c r="H959" i="9"/>
  <c r="H958" i="9"/>
  <c r="H957" i="9"/>
  <c r="H956" i="9"/>
  <c r="H955" i="9"/>
  <c r="H954" i="9"/>
  <c r="H953" i="9"/>
  <c r="H952" i="9"/>
  <c r="H951" i="9"/>
  <c r="H950" i="9"/>
  <c r="H949" i="9"/>
  <c r="H948" i="9"/>
  <c r="H947" i="9"/>
  <c r="H946" i="9"/>
  <c r="H945" i="9"/>
  <c r="H944" i="9"/>
  <c r="H943" i="9"/>
  <c r="H942" i="9"/>
  <c r="H941" i="9"/>
  <c r="H940" i="9"/>
  <c r="H939" i="9"/>
  <c r="H938" i="9"/>
  <c r="H937" i="9"/>
  <c r="H936" i="9"/>
  <c r="H935" i="9"/>
  <c r="H934" i="9"/>
  <c r="H933" i="9"/>
  <c r="H932" i="9"/>
  <c r="H931" i="9"/>
  <c r="H930" i="9"/>
  <c r="H929" i="9"/>
  <c r="H928" i="9"/>
  <c r="H927" i="9"/>
  <c r="H926" i="9"/>
  <c r="H925" i="9"/>
  <c r="H924" i="9"/>
  <c r="H923" i="9"/>
  <c r="H922" i="9"/>
  <c r="H921" i="9"/>
  <c r="H920" i="9"/>
  <c r="H919" i="9"/>
  <c r="H918" i="9"/>
  <c r="H917" i="9"/>
  <c r="H916" i="9"/>
  <c r="H915" i="9"/>
  <c r="H914" i="9"/>
  <c r="H913" i="9"/>
  <c r="H912" i="9"/>
  <c r="H911" i="9"/>
  <c r="E911" i="9"/>
  <c r="H910" i="9"/>
  <c r="E910" i="9"/>
  <c r="H909" i="9"/>
  <c r="E909" i="9"/>
  <c r="H908" i="9"/>
  <c r="E908" i="9"/>
  <c r="H907" i="9"/>
  <c r="E907" i="9"/>
  <c r="H906" i="9"/>
  <c r="E906" i="9"/>
  <c r="H905" i="9"/>
  <c r="E905" i="9"/>
  <c r="H904" i="9"/>
  <c r="E904" i="9"/>
  <c r="H903" i="9"/>
  <c r="E903" i="9"/>
  <c r="H902" i="9"/>
  <c r="E902" i="9"/>
  <c r="H901" i="9"/>
  <c r="E901" i="9"/>
  <c r="H900" i="9"/>
  <c r="E900" i="9"/>
  <c r="H899" i="9"/>
  <c r="E899" i="9"/>
  <c r="H898" i="9"/>
  <c r="E898" i="9"/>
  <c r="H897" i="9"/>
  <c r="E897" i="9"/>
  <c r="H896" i="9"/>
  <c r="E896" i="9"/>
  <c r="H895" i="9"/>
  <c r="E895" i="9"/>
  <c r="H894" i="9"/>
  <c r="E894" i="9"/>
  <c r="H893" i="9"/>
  <c r="E893" i="9"/>
  <c r="H892" i="9"/>
  <c r="E892" i="9"/>
  <c r="H891" i="9"/>
  <c r="E891" i="9"/>
  <c r="H890" i="9"/>
  <c r="E890" i="9"/>
  <c r="H889" i="9"/>
  <c r="E889" i="9"/>
  <c r="H888" i="9"/>
  <c r="E888" i="9"/>
  <c r="H887" i="9"/>
  <c r="E887" i="9"/>
  <c r="H886" i="9"/>
  <c r="E886" i="9"/>
  <c r="H885" i="9"/>
  <c r="E885" i="9"/>
  <c r="H884" i="9"/>
  <c r="E884" i="9"/>
  <c r="H883" i="9"/>
  <c r="E883" i="9"/>
  <c r="H882" i="9"/>
  <c r="E882" i="9"/>
  <c r="H881" i="9"/>
  <c r="E881" i="9"/>
  <c r="H880" i="9"/>
  <c r="E880" i="9"/>
  <c r="H879" i="9"/>
  <c r="E879" i="9"/>
  <c r="H878" i="9"/>
  <c r="E878" i="9"/>
  <c r="H877" i="9"/>
  <c r="E877" i="9"/>
  <c r="H876" i="9"/>
  <c r="E876" i="9"/>
  <c r="H875" i="9"/>
  <c r="E875" i="9"/>
  <c r="H874" i="9"/>
  <c r="E874" i="9"/>
  <c r="H873" i="9"/>
  <c r="E873" i="9"/>
  <c r="H872" i="9"/>
  <c r="E872" i="9"/>
  <c r="H871" i="9"/>
  <c r="E871" i="9"/>
  <c r="H870" i="9"/>
  <c r="E870" i="9"/>
  <c r="H869" i="9"/>
  <c r="E869" i="9"/>
  <c r="H868" i="9"/>
  <c r="E868" i="9"/>
  <c r="H867" i="9"/>
  <c r="E867" i="9"/>
  <c r="H866" i="9"/>
  <c r="E866" i="9"/>
  <c r="H865" i="9"/>
  <c r="E865" i="9"/>
  <c r="H864" i="9"/>
  <c r="E864" i="9"/>
  <c r="H863" i="9"/>
  <c r="E863" i="9"/>
  <c r="H862" i="9"/>
  <c r="E862" i="9"/>
  <c r="H861" i="9"/>
  <c r="E861" i="9"/>
  <c r="H860" i="9"/>
  <c r="E860" i="9"/>
  <c r="H859" i="9"/>
  <c r="E859" i="9"/>
  <c r="H858" i="9"/>
  <c r="E858" i="9"/>
  <c r="H857" i="9"/>
  <c r="E857" i="9"/>
  <c r="H856" i="9"/>
  <c r="E856" i="9"/>
  <c r="H855" i="9"/>
  <c r="E855" i="9"/>
  <c r="H854" i="9"/>
  <c r="E854" i="9"/>
  <c r="H853" i="9"/>
  <c r="E853" i="9"/>
  <c r="H852" i="9"/>
  <c r="E852" i="9"/>
  <c r="H851" i="9"/>
  <c r="E851" i="9"/>
  <c r="H850" i="9"/>
  <c r="E850" i="9"/>
  <c r="H849" i="9"/>
  <c r="E849" i="9"/>
  <c r="H848" i="9"/>
  <c r="E848" i="9"/>
  <c r="H847" i="9"/>
  <c r="E847" i="9"/>
  <c r="H846" i="9"/>
  <c r="E846" i="9"/>
  <c r="H845" i="9"/>
  <c r="E845" i="9"/>
  <c r="H844" i="9"/>
  <c r="E844" i="9"/>
  <c r="H843" i="9"/>
  <c r="E843" i="9"/>
  <c r="H842" i="9"/>
  <c r="E842" i="9"/>
  <c r="H841" i="9"/>
  <c r="E841" i="9"/>
  <c r="H840" i="9"/>
  <c r="E840" i="9"/>
  <c r="H839" i="9"/>
  <c r="E839" i="9"/>
  <c r="H838" i="9"/>
  <c r="E838" i="9"/>
  <c r="H837" i="9"/>
  <c r="E837" i="9"/>
  <c r="H836" i="9"/>
  <c r="E836" i="9"/>
  <c r="H835" i="9"/>
  <c r="E835" i="9"/>
  <c r="H834" i="9"/>
  <c r="E834" i="9"/>
  <c r="H833" i="9"/>
  <c r="E833" i="9"/>
  <c r="H832" i="9"/>
  <c r="E832" i="9"/>
  <c r="H831" i="9"/>
  <c r="E831" i="9"/>
  <c r="H830" i="9"/>
  <c r="E830" i="9"/>
  <c r="H829" i="9"/>
  <c r="E829" i="9"/>
  <c r="H828" i="9"/>
  <c r="E828" i="9"/>
  <c r="H827" i="9"/>
  <c r="E827" i="9"/>
  <c r="H826" i="9"/>
  <c r="E826" i="9"/>
  <c r="H825" i="9"/>
  <c r="E825" i="9"/>
  <c r="H824" i="9"/>
  <c r="E824" i="9"/>
  <c r="H823" i="9"/>
  <c r="E823" i="9"/>
  <c r="H822" i="9"/>
  <c r="E822" i="9"/>
  <c r="H821" i="9"/>
  <c r="E821" i="9"/>
  <c r="H820" i="9"/>
  <c r="E820" i="9"/>
  <c r="H819" i="9"/>
  <c r="E819" i="9"/>
  <c r="H818" i="9"/>
  <c r="E818" i="9"/>
  <c r="H817" i="9"/>
  <c r="E817" i="9"/>
  <c r="H816" i="9"/>
  <c r="E816" i="9"/>
  <c r="H815" i="9"/>
  <c r="E815" i="9"/>
  <c r="H814" i="9"/>
  <c r="E814" i="9"/>
  <c r="H813" i="9"/>
  <c r="E813" i="9"/>
  <c r="H812" i="9"/>
  <c r="E812" i="9"/>
  <c r="H811" i="9"/>
  <c r="E811" i="9"/>
  <c r="H810" i="9"/>
  <c r="E810" i="9"/>
  <c r="H809" i="9"/>
  <c r="E809" i="9"/>
  <c r="H808" i="9"/>
  <c r="E808" i="9"/>
  <c r="H807" i="9"/>
  <c r="E807" i="9"/>
  <c r="H806" i="9"/>
  <c r="E806" i="9"/>
  <c r="H805" i="9"/>
  <c r="E805" i="9"/>
  <c r="H804" i="9"/>
  <c r="E804" i="9"/>
  <c r="H803" i="9"/>
  <c r="E803" i="9"/>
  <c r="H802" i="9"/>
  <c r="E802" i="9"/>
  <c r="H801" i="9"/>
  <c r="E801" i="9"/>
  <c r="H800" i="9"/>
  <c r="E800" i="9"/>
  <c r="H799" i="9"/>
  <c r="E799" i="9"/>
  <c r="H798" i="9"/>
  <c r="E798" i="9"/>
  <c r="H797" i="9"/>
  <c r="E797" i="9"/>
  <c r="H796" i="9"/>
  <c r="E796" i="9"/>
  <c r="H795" i="9"/>
  <c r="E795" i="9"/>
  <c r="H794" i="9"/>
  <c r="E794" i="9"/>
  <c r="H793" i="9"/>
  <c r="E793" i="9"/>
  <c r="H792" i="9"/>
  <c r="E792" i="9"/>
  <c r="H791" i="9"/>
  <c r="E791" i="9"/>
  <c r="H790" i="9"/>
  <c r="E790" i="9"/>
  <c r="H789" i="9"/>
  <c r="E789" i="9"/>
  <c r="H788" i="9"/>
  <c r="E788" i="9"/>
  <c r="H787" i="9"/>
  <c r="E787" i="9"/>
  <c r="H786" i="9"/>
  <c r="E786" i="9"/>
  <c r="H785" i="9"/>
  <c r="E785" i="9"/>
  <c r="H784" i="9"/>
  <c r="E784" i="9"/>
  <c r="H783" i="9"/>
  <c r="E783" i="9"/>
  <c r="H782" i="9"/>
  <c r="E782" i="9"/>
  <c r="H781" i="9"/>
  <c r="E781" i="9"/>
  <c r="H780" i="9"/>
  <c r="E780" i="9"/>
  <c r="H779" i="9"/>
  <c r="E779" i="9"/>
  <c r="H778" i="9"/>
  <c r="E778" i="9"/>
  <c r="H777" i="9"/>
  <c r="E777" i="9"/>
  <c r="H776" i="9"/>
  <c r="E776" i="9"/>
  <c r="H775" i="9"/>
  <c r="E775" i="9"/>
  <c r="H774" i="9"/>
  <c r="E774" i="9"/>
  <c r="H773" i="9"/>
  <c r="E773" i="9"/>
  <c r="H772" i="9"/>
  <c r="E772" i="9"/>
  <c r="H771" i="9"/>
  <c r="E771" i="9"/>
  <c r="H770" i="9"/>
  <c r="E770" i="9"/>
  <c r="H769" i="9"/>
  <c r="E769" i="9"/>
  <c r="H768" i="9"/>
  <c r="E768" i="9"/>
  <c r="H767" i="9"/>
  <c r="E767" i="9"/>
  <c r="H766" i="9"/>
  <c r="E766" i="9"/>
  <c r="H765" i="9"/>
  <c r="E765" i="9"/>
  <c r="H764" i="9"/>
  <c r="E764" i="9"/>
  <c r="H763" i="9"/>
  <c r="E763" i="9"/>
  <c r="H762" i="9"/>
  <c r="E762" i="9"/>
  <c r="H761" i="9"/>
  <c r="E761" i="9"/>
  <c r="H760" i="9"/>
  <c r="E760" i="9"/>
  <c r="H759" i="9"/>
  <c r="E759" i="9"/>
  <c r="H758" i="9"/>
  <c r="E758" i="9"/>
  <c r="H757" i="9"/>
  <c r="E757" i="9"/>
  <c r="H756" i="9"/>
  <c r="E756" i="9"/>
  <c r="H755" i="9"/>
  <c r="E755" i="9"/>
  <c r="H754" i="9"/>
  <c r="E754" i="9"/>
  <c r="H753" i="9"/>
  <c r="E753" i="9"/>
  <c r="H752" i="9"/>
  <c r="E752" i="9"/>
  <c r="H751" i="9"/>
  <c r="E751" i="9"/>
  <c r="H750" i="9"/>
  <c r="E750" i="9"/>
  <c r="H749" i="9"/>
  <c r="E749" i="9"/>
  <c r="H748" i="9"/>
  <c r="E748" i="9"/>
  <c r="H747" i="9"/>
  <c r="E747" i="9"/>
  <c r="H746" i="9"/>
  <c r="E746" i="9"/>
  <c r="H745" i="9"/>
  <c r="E745" i="9"/>
  <c r="H744" i="9"/>
  <c r="E744" i="9"/>
  <c r="H743" i="9"/>
  <c r="E743" i="9"/>
  <c r="H742" i="9"/>
  <c r="E742" i="9"/>
  <c r="H741" i="9"/>
  <c r="E741" i="9"/>
  <c r="H740" i="9"/>
  <c r="E740" i="9"/>
  <c r="H739" i="9"/>
  <c r="E739" i="9"/>
  <c r="H738" i="9"/>
  <c r="E738" i="9"/>
  <c r="H737" i="9"/>
  <c r="E737" i="9"/>
  <c r="H736" i="9"/>
  <c r="E736" i="9"/>
  <c r="H735" i="9"/>
  <c r="E735" i="9"/>
  <c r="H734" i="9"/>
  <c r="E734" i="9"/>
  <c r="H733" i="9"/>
  <c r="E733" i="9"/>
  <c r="H732" i="9"/>
  <c r="E732" i="9"/>
  <c r="H731" i="9"/>
  <c r="E731" i="9"/>
  <c r="H730" i="9"/>
  <c r="E730" i="9"/>
  <c r="H729" i="9"/>
  <c r="E729" i="9"/>
  <c r="H728" i="9"/>
  <c r="E728" i="9"/>
  <c r="H727" i="9"/>
  <c r="E727" i="9"/>
  <c r="H726" i="9"/>
  <c r="E726" i="9"/>
  <c r="H725" i="9"/>
  <c r="E725" i="9"/>
  <c r="H724" i="9"/>
  <c r="E724" i="9"/>
  <c r="H723" i="9"/>
  <c r="E723" i="9"/>
  <c r="H722" i="9"/>
  <c r="E722" i="9"/>
  <c r="H721" i="9"/>
  <c r="E721" i="9"/>
  <c r="H720" i="9"/>
  <c r="E720" i="9"/>
  <c r="H719" i="9"/>
  <c r="E719" i="9"/>
  <c r="H718" i="9"/>
  <c r="E718" i="9"/>
  <c r="H717" i="9"/>
  <c r="E717" i="9"/>
  <c r="H716" i="9"/>
  <c r="E716" i="9"/>
  <c r="H715" i="9"/>
  <c r="E715" i="9"/>
  <c r="H714" i="9"/>
  <c r="E714" i="9"/>
  <c r="H713" i="9"/>
  <c r="E713" i="9"/>
  <c r="H712" i="9"/>
  <c r="E712" i="9"/>
  <c r="H711" i="9"/>
  <c r="E711" i="9"/>
  <c r="H710" i="9"/>
  <c r="E710" i="9"/>
  <c r="H709" i="9"/>
  <c r="E709" i="9"/>
  <c r="H708" i="9"/>
  <c r="E708" i="9"/>
  <c r="H707" i="9"/>
  <c r="E707" i="9"/>
  <c r="H706" i="9"/>
  <c r="E706" i="9"/>
  <c r="H705" i="9"/>
  <c r="E705" i="9"/>
  <c r="H704" i="9"/>
  <c r="E704" i="9"/>
  <c r="H703" i="9"/>
  <c r="E703" i="9"/>
  <c r="H702" i="9"/>
  <c r="E702" i="9"/>
  <c r="H701" i="9"/>
  <c r="E701" i="9"/>
  <c r="H700" i="9"/>
  <c r="E700" i="9"/>
  <c r="H699" i="9"/>
  <c r="E699" i="9"/>
  <c r="H698" i="9"/>
  <c r="E698" i="9"/>
  <c r="H697" i="9"/>
  <c r="E697" i="9"/>
  <c r="H696" i="9"/>
  <c r="E696" i="9"/>
  <c r="H695" i="9"/>
  <c r="E695" i="9"/>
  <c r="H694" i="9"/>
  <c r="E694" i="9"/>
  <c r="H693" i="9"/>
  <c r="E693" i="9"/>
  <c r="H692" i="9"/>
  <c r="E692" i="9"/>
  <c r="H691" i="9"/>
  <c r="E691" i="9"/>
  <c r="H690" i="9"/>
  <c r="E690" i="9"/>
  <c r="H689" i="9"/>
  <c r="E689" i="9"/>
  <c r="H688" i="9"/>
  <c r="E688" i="9"/>
  <c r="H687" i="9"/>
  <c r="E687" i="9"/>
  <c r="H686" i="9"/>
  <c r="E686" i="9"/>
  <c r="H685" i="9"/>
  <c r="E685" i="9"/>
  <c r="H684" i="9"/>
  <c r="E684" i="9"/>
  <c r="H683" i="9"/>
  <c r="E683" i="9"/>
  <c r="H682" i="9"/>
  <c r="E682" i="9"/>
  <c r="H681" i="9"/>
  <c r="E681" i="9"/>
  <c r="H680" i="9"/>
  <c r="E680" i="9"/>
  <c r="H679" i="9"/>
  <c r="E679" i="9"/>
  <c r="H678" i="9"/>
  <c r="E678" i="9"/>
  <c r="H677" i="9"/>
  <c r="E677" i="9"/>
  <c r="H676" i="9"/>
  <c r="E676" i="9"/>
  <c r="H675" i="9"/>
  <c r="E675" i="9"/>
  <c r="H674" i="9"/>
  <c r="E674" i="9"/>
  <c r="H673" i="9"/>
  <c r="E673" i="9"/>
  <c r="H672" i="9"/>
  <c r="E672" i="9"/>
  <c r="H671" i="9"/>
  <c r="E671" i="9"/>
  <c r="H670" i="9"/>
  <c r="E670" i="9"/>
  <c r="H669" i="9"/>
  <c r="E669" i="9"/>
  <c r="H668" i="9"/>
  <c r="E668" i="9"/>
  <c r="H667" i="9"/>
  <c r="E667" i="9"/>
  <c r="H666" i="9"/>
  <c r="E666" i="9"/>
  <c r="H665" i="9"/>
  <c r="E665" i="9"/>
  <c r="H664" i="9"/>
  <c r="E664" i="9"/>
  <c r="H663" i="9"/>
  <c r="E663" i="9"/>
  <c r="H662" i="9"/>
  <c r="E662" i="9"/>
  <c r="H661" i="9"/>
  <c r="E661" i="9"/>
  <c r="H660" i="9"/>
  <c r="E660" i="9"/>
  <c r="H659" i="9"/>
  <c r="E659" i="9"/>
  <c r="H658" i="9"/>
  <c r="E658" i="9"/>
  <c r="H657" i="9"/>
  <c r="E657" i="9"/>
  <c r="H656" i="9"/>
  <c r="E656" i="9"/>
  <c r="H655" i="9"/>
  <c r="E655" i="9"/>
  <c r="H654" i="9"/>
  <c r="E654" i="9"/>
  <c r="H653" i="9"/>
  <c r="E653" i="9"/>
  <c r="H652" i="9"/>
  <c r="E652" i="9"/>
  <c r="H651" i="9"/>
  <c r="E651" i="9"/>
  <c r="H650" i="9"/>
  <c r="E650" i="9"/>
  <c r="H649" i="9"/>
  <c r="E649" i="9"/>
  <c r="H648" i="9"/>
  <c r="E648" i="9"/>
  <c r="H647" i="9"/>
  <c r="E647" i="9"/>
  <c r="H646" i="9"/>
  <c r="E646" i="9"/>
  <c r="H645" i="9"/>
  <c r="E645" i="9"/>
  <c r="H644" i="9"/>
  <c r="E644" i="9"/>
  <c r="H643" i="9"/>
  <c r="E643" i="9"/>
  <c r="H642" i="9"/>
  <c r="E642" i="9"/>
  <c r="H641" i="9"/>
  <c r="E641" i="9"/>
  <c r="H640" i="9"/>
  <c r="E640" i="9"/>
  <c r="H639" i="9"/>
  <c r="E639" i="9"/>
  <c r="H638" i="9"/>
  <c r="E638" i="9"/>
  <c r="H637" i="9"/>
  <c r="E637" i="9"/>
  <c r="H636" i="9"/>
  <c r="E636" i="9"/>
  <c r="H635" i="9"/>
  <c r="E635" i="9"/>
  <c r="H634" i="9"/>
  <c r="E634" i="9"/>
  <c r="H633" i="9"/>
  <c r="E633" i="9"/>
  <c r="H632" i="9"/>
  <c r="E632" i="9"/>
  <c r="H631" i="9"/>
  <c r="E631" i="9"/>
  <c r="H630" i="9"/>
  <c r="E630" i="9"/>
  <c r="H629" i="9"/>
  <c r="E629" i="9"/>
  <c r="H628" i="9"/>
  <c r="E628" i="9"/>
  <c r="H627" i="9"/>
  <c r="E627" i="9"/>
  <c r="H626" i="9"/>
  <c r="E626" i="9"/>
  <c r="H625" i="9"/>
  <c r="E625" i="9"/>
  <c r="H624" i="9"/>
  <c r="E624" i="9"/>
  <c r="H623" i="9"/>
  <c r="E623" i="9"/>
  <c r="H622" i="9"/>
  <c r="E622" i="9"/>
  <c r="H621" i="9"/>
  <c r="E621" i="9"/>
  <c r="H620" i="9"/>
  <c r="E620" i="9"/>
  <c r="H619" i="9"/>
  <c r="E619" i="9"/>
  <c r="H618" i="9"/>
  <c r="E618" i="9"/>
  <c r="H617" i="9"/>
  <c r="E617" i="9"/>
  <c r="H616" i="9"/>
  <c r="E616" i="9"/>
  <c r="H615" i="9"/>
  <c r="E615" i="9"/>
  <c r="H614" i="9"/>
  <c r="E614" i="9"/>
  <c r="H613" i="9"/>
  <c r="E613" i="9"/>
  <c r="H612" i="9"/>
  <c r="E612" i="9"/>
  <c r="H611" i="9"/>
  <c r="E611" i="9"/>
  <c r="H610" i="9"/>
  <c r="E610" i="9"/>
  <c r="H609" i="9"/>
  <c r="E609" i="9"/>
  <c r="H608" i="9"/>
  <c r="E608" i="9"/>
  <c r="H607" i="9"/>
  <c r="E607" i="9"/>
  <c r="H606" i="9"/>
  <c r="E606" i="9"/>
  <c r="H605" i="9"/>
  <c r="E605" i="9"/>
  <c r="H604" i="9"/>
  <c r="E604" i="9"/>
  <c r="H603" i="9"/>
  <c r="E603" i="9"/>
  <c r="H602" i="9"/>
  <c r="E602" i="9"/>
  <c r="H601" i="9"/>
  <c r="E601" i="9"/>
  <c r="H600" i="9"/>
  <c r="E600" i="9"/>
  <c r="H599" i="9"/>
  <c r="E599" i="9"/>
  <c r="H598" i="9"/>
  <c r="E598" i="9"/>
  <c r="H597" i="9"/>
  <c r="E597" i="9"/>
  <c r="H596" i="9"/>
  <c r="E596" i="9"/>
  <c r="H595" i="9"/>
  <c r="E595" i="9"/>
  <c r="H594" i="9"/>
  <c r="E594" i="9"/>
  <c r="H593" i="9"/>
  <c r="E593" i="9"/>
  <c r="H592" i="9"/>
  <c r="E592" i="9"/>
  <c r="H591" i="9"/>
  <c r="E591" i="9"/>
  <c r="H590" i="9"/>
  <c r="E590" i="9"/>
  <c r="H589" i="9"/>
  <c r="E589" i="9"/>
  <c r="H588" i="9"/>
  <c r="E588" i="9"/>
  <c r="H587" i="9"/>
  <c r="E587" i="9"/>
  <c r="H586" i="9"/>
  <c r="E586" i="9"/>
  <c r="H585" i="9"/>
  <c r="E585" i="9"/>
  <c r="H584" i="9"/>
  <c r="E584" i="9"/>
  <c r="H583" i="9"/>
  <c r="E583" i="9"/>
  <c r="H582" i="9"/>
  <c r="E582" i="9"/>
  <c r="H581" i="9"/>
  <c r="E581" i="9"/>
  <c r="H580" i="9"/>
  <c r="E580" i="9"/>
  <c r="H579" i="9"/>
  <c r="E579" i="9"/>
  <c r="H578" i="9"/>
  <c r="E578" i="9"/>
  <c r="H577" i="9"/>
  <c r="E577" i="9"/>
  <c r="H576" i="9"/>
  <c r="E576" i="9"/>
  <c r="H575" i="9"/>
  <c r="E575" i="9"/>
  <c r="H574" i="9"/>
  <c r="E574" i="9"/>
  <c r="H573" i="9"/>
  <c r="E573" i="9"/>
  <c r="H572" i="9"/>
  <c r="E572" i="9"/>
  <c r="H571" i="9"/>
  <c r="E571" i="9"/>
  <c r="H570" i="9"/>
  <c r="E570" i="9"/>
  <c r="H569" i="9"/>
  <c r="E569" i="9"/>
  <c r="H568" i="9"/>
  <c r="E568" i="9"/>
  <c r="H567" i="9"/>
  <c r="E567" i="9"/>
  <c r="H566" i="9"/>
  <c r="E566" i="9"/>
  <c r="H565" i="9"/>
  <c r="E565" i="9"/>
  <c r="H564" i="9"/>
  <c r="E564" i="9"/>
  <c r="H563" i="9"/>
  <c r="E563" i="9"/>
  <c r="H562" i="9"/>
  <c r="E562" i="9"/>
  <c r="H561" i="9"/>
  <c r="E561" i="9"/>
  <c r="H560" i="9"/>
  <c r="E560" i="9"/>
  <c r="H559" i="9"/>
  <c r="E559" i="9"/>
  <c r="H558" i="9"/>
  <c r="E558" i="9"/>
  <c r="H557" i="9"/>
  <c r="E557" i="9"/>
  <c r="H556" i="9"/>
  <c r="E556" i="9"/>
  <c r="H555" i="9"/>
  <c r="E555" i="9"/>
  <c r="H554" i="9"/>
  <c r="E554" i="9"/>
  <c r="H553" i="9"/>
  <c r="E553" i="9"/>
  <c r="H552" i="9"/>
  <c r="E552" i="9"/>
  <c r="H551" i="9"/>
  <c r="E551" i="9"/>
  <c r="H550" i="9"/>
  <c r="E550" i="9"/>
  <c r="H549" i="9"/>
  <c r="E549" i="9"/>
  <c r="H548" i="9"/>
  <c r="E548" i="9"/>
  <c r="H547" i="9"/>
  <c r="E547" i="9"/>
  <c r="H546" i="9"/>
  <c r="E546" i="9"/>
  <c r="H545" i="9"/>
  <c r="E545" i="9"/>
  <c r="H544" i="9"/>
  <c r="E544" i="9"/>
  <c r="H543" i="9"/>
  <c r="E543" i="9"/>
  <c r="H542" i="9"/>
  <c r="E542" i="9"/>
  <c r="H541" i="9"/>
  <c r="E541" i="9"/>
  <c r="H540" i="9"/>
  <c r="E540" i="9"/>
  <c r="H539" i="9"/>
  <c r="E539" i="9"/>
  <c r="H538" i="9"/>
  <c r="E538" i="9"/>
  <c r="H537" i="9"/>
  <c r="E537" i="9"/>
  <c r="H536" i="9"/>
  <c r="E536" i="9"/>
  <c r="H535" i="9"/>
  <c r="E535" i="9"/>
  <c r="H534" i="9"/>
  <c r="E534" i="9"/>
  <c r="H533" i="9"/>
  <c r="E533" i="9"/>
  <c r="H532" i="9"/>
  <c r="E532" i="9"/>
  <c r="H531" i="9"/>
  <c r="E531" i="9"/>
  <c r="H530" i="9"/>
  <c r="E530" i="9"/>
  <c r="H529" i="9"/>
  <c r="E529" i="9"/>
  <c r="H528" i="9"/>
  <c r="E528" i="9"/>
  <c r="H527" i="9"/>
  <c r="E527" i="9"/>
  <c r="H526" i="9"/>
  <c r="E526" i="9"/>
  <c r="H525" i="9"/>
  <c r="E525" i="9"/>
  <c r="H524" i="9"/>
  <c r="E524" i="9"/>
  <c r="H523" i="9"/>
  <c r="E523" i="9"/>
  <c r="H522" i="9"/>
  <c r="E522" i="9"/>
  <c r="H521" i="9"/>
  <c r="E521" i="9"/>
  <c r="H520" i="9"/>
  <c r="E520" i="9"/>
  <c r="H519" i="9"/>
  <c r="E519" i="9"/>
  <c r="H518" i="9"/>
  <c r="E518" i="9"/>
  <c r="H517" i="9"/>
  <c r="E517" i="9"/>
  <c r="H516" i="9"/>
  <c r="E516" i="9"/>
  <c r="H515" i="9"/>
  <c r="E515" i="9"/>
  <c r="H514" i="9"/>
  <c r="E514" i="9"/>
  <c r="H513" i="9"/>
  <c r="E513" i="9"/>
  <c r="H512" i="9"/>
  <c r="E512" i="9"/>
  <c r="H511" i="9"/>
  <c r="E511" i="9"/>
  <c r="H510" i="9"/>
  <c r="E510" i="9"/>
  <c r="H509" i="9"/>
  <c r="E509" i="9"/>
  <c r="H508" i="9"/>
  <c r="E508" i="9"/>
  <c r="H507" i="9"/>
  <c r="E507" i="9"/>
  <c r="H506" i="9"/>
  <c r="E506" i="9"/>
  <c r="H505" i="9"/>
  <c r="E505" i="9"/>
  <c r="H504" i="9"/>
  <c r="E504" i="9"/>
  <c r="H503" i="9"/>
  <c r="E503" i="9"/>
  <c r="H502" i="9"/>
  <c r="E502" i="9"/>
  <c r="H501" i="9"/>
  <c r="E501" i="9"/>
  <c r="H500" i="9"/>
  <c r="E500" i="9"/>
  <c r="H499" i="9"/>
  <c r="E499" i="9"/>
  <c r="H498" i="9"/>
  <c r="E498" i="9"/>
  <c r="H497" i="9"/>
  <c r="E497" i="9"/>
  <c r="H496" i="9"/>
  <c r="E496" i="9"/>
  <c r="H495" i="9"/>
  <c r="E495" i="9"/>
  <c r="H494" i="9"/>
  <c r="E494" i="9"/>
  <c r="H493" i="9"/>
  <c r="E493" i="9"/>
  <c r="H492" i="9"/>
  <c r="E492" i="9"/>
  <c r="H491" i="9"/>
  <c r="E491" i="9"/>
  <c r="H490" i="9"/>
  <c r="E490" i="9"/>
  <c r="H489" i="9"/>
  <c r="E489" i="9"/>
  <c r="H488" i="9"/>
  <c r="E488" i="9"/>
  <c r="H487" i="9"/>
  <c r="E487" i="9"/>
  <c r="H486" i="9"/>
  <c r="E486" i="9"/>
  <c r="H485" i="9"/>
  <c r="E485" i="9"/>
  <c r="H484" i="9"/>
  <c r="E484" i="9"/>
  <c r="H483" i="9"/>
  <c r="E483" i="9"/>
  <c r="H482" i="9"/>
  <c r="E482" i="9"/>
  <c r="H481" i="9"/>
  <c r="E481" i="9"/>
  <c r="H480" i="9"/>
  <c r="E480" i="9"/>
  <c r="H479" i="9"/>
  <c r="E479" i="9"/>
  <c r="H478" i="9"/>
  <c r="E478" i="9"/>
  <c r="H477" i="9"/>
  <c r="E477" i="9"/>
  <c r="H476" i="9"/>
  <c r="E476" i="9"/>
  <c r="H475" i="9"/>
  <c r="E475" i="9"/>
  <c r="H474" i="9"/>
  <c r="E474" i="9"/>
  <c r="H473" i="9"/>
  <c r="E473" i="9"/>
  <c r="H472" i="9"/>
  <c r="E472" i="9"/>
  <c r="H471" i="9"/>
  <c r="E471" i="9"/>
  <c r="H470" i="9"/>
  <c r="E470" i="9"/>
  <c r="H469" i="9"/>
  <c r="E469" i="9"/>
  <c r="H468" i="9"/>
  <c r="E468" i="9"/>
  <c r="H467" i="9"/>
  <c r="E467" i="9"/>
  <c r="H466" i="9"/>
  <c r="E466" i="9"/>
  <c r="H465" i="9"/>
  <c r="E465" i="9"/>
  <c r="H464" i="9"/>
  <c r="E464" i="9"/>
  <c r="H463" i="9"/>
  <c r="E463" i="9"/>
  <c r="H462" i="9"/>
  <c r="E462" i="9"/>
  <c r="H461" i="9"/>
  <c r="E461" i="9"/>
  <c r="H460" i="9"/>
  <c r="E460" i="9"/>
  <c r="H459" i="9"/>
  <c r="E459" i="9"/>
  <c r="H458" i="9"/>
  <c r="E458" i="9"/>
  <c r="H457" i="9"/>
  <c r="E457" i="9"/>
  <c r="H456" i="9"/>
  <c r="E456" i="9"/>
  <c r="H455" i="9"/>
  <c r="E455" i="9"/>
  <c r="H454" i="9"/>
  <c r="E454" i="9"/>
  <c r="H453" i="9"/>
  <c r="E453" i="9"/>
  <c r="H452" i="9"/>
  <c r="E452" i="9"/>
  <c r="H451" i="9"/>
  <c r="E451" i="9"/>
  <c r="H450" i="9"/>
  <c r="E450" i="9"/>
  <c r="H449" i="9"/>
  <c r="E449" i="9"/>
  <c r="H448" i="9"/>
  <c r="E448" i="9"/>
  <c r="H447" i="9"/>
  <c r="E447" i="9"/>
  <c r="H446" i="9"/>
  <c r="E446" i="9"/>
  <c r="H445" i="9"/>
  <c r="E445" i="9"/>
  <c r="H444" i="9"/>
  <c r="E444" i="9"/>
  <c r="H443" i="9"/>
  <c r="E443" i="9"/>
  <c r="H442" i="9"/>
  <c r="E442" i="9"/>
  <c r="H441" i="9"/>
  <c r="E441" i="9"/>
  <c r="H440" i="9"/>
  <c r="E440" i="9"/>
  <c r="H439" i="9"/>
  <c r="E439" i="9"/>
  <c r="H438" i="9"/>
  <c r="E438" i="9"/>
  <c r="H437" i="9"/>
  <c r="E437" i="9"/>
  <c r="H436" i="9"/>
  <c r="E436" i="9"/>
  <c r="H435" i="9"/>
  <c r="E435" i="9"/>
  <c r="H434" i="9"/>
  <c r="E434" i="9"/>
  <c r="H433" i="9"/>
  <c r="E433" i="9"/>
  <c r="H432" i="9"/>
  <c r="E432" i="9"/>
  <c r="H431" i="9"/>
  <c r="E431" i="9"/>
  <c r="H430" i="9"/>
  <c r="E430" i="9"/>
  <c r="H429" i="9"/>
  <c r="E429" i="9"/>
  <c r="H428" i="9"/>
  <c r="E428" i="9"/>
  <c r="H427" i="9"/>
  <c r="E427" i="9"/>
  <c r="H426" i="9"/>
  <c r="E426" i="9"/>
  <c r="H425" i="9"/>
  <c r="E425" i="9"/>
  <c r="H424" i="9"/>
  <c r="E424" i="9"/>
  <c r="H423" i="9"/>
  <c r="E423" i="9"/>
  <c r="H422" i="9"/>
  <c r="E422" i="9"/>
  <c r="H421" i="9"/>
  <c r="E421" i="9"/>
  <c r="H420" i="9"/>
  <c r="E420" i="9"/>
  <c r="H419" i="9"/>
  <c r="E419" i="9"/>
  <c r="H418" i="9"/>
  <c r="E418" i="9"/>
  <c r="H417" i="9"/>
  <c r="E417" i="9"/>
  <c r="H416" i="9"/>
  <c r="E416" i="9"/>
  <c r="H415" i="9"/>
  <c r="E415" i="9"/>
  <c r="H414" i="9"/>
  <c r="E414" i="9"/>
  <c r="H413" i="9"/>
  <c r="E413" i="9"/>
  <c r="H412" i="9"/>
  <c r="E412" i="9"/>
  <c r="H411" i="9"/>
  <c r="E411" i="9"/>
  <c r="H410" i="9"/>
  <c r="E410" i="9"/>
  <c r="H409" i="9"/>
  <c r="E409" i="9"/>
  <c r="H408" i="9"/>
  <c r="E408" i="9"/>
  <c r="H407" i="9"/>
  <c r="E407" i="9"/>
  <c r="H406" i="9"/>
  <c r="E406" i="9"/>
  <c r="H405" i="9"/>
  <c r="E405" i="9"/>
  <c r="H404" i="9"/>
  <c r="E404" i="9"/>
  <c r="H403" i="9"/>
  <c r="E403" i="9"/>
  <c r="H402" i="9"/>
  <c r="E402" i="9"/>
  <c r="H401" i="9"/>
  <c r="E401" i="9"/>
  <c r="H400" i="9"/>
  <c r="E400" i="9"/>
  <c r="H399" i="9"/>
  <c r="E399" i="9"/>
  <c r="H398" i="9"/>
  <c r="E398" i="9"/>
  <c r="H397" i="9"/>
  <c r="E397" i="9"/>
  <c r="H396" i="9"/>
  <c r="E396" i="9"/>
  <c r="H395" i="9"/>
  <c r="E395" i="9"/>
  <c r="H394" i="9"/>
  <c r="E394" i="9"/>
  <c r="H393" i="9"/>
  <c r="E393" i="9"/>
  <c r="H392" i="9"/>
  <c r="E392" i="9"/>
  <c r="H391" i="9"/>
  <c r="E391" i="9"/>
  <c r="H390" i="9"/>
  <c r="E390" i="9"/>
  <c r="H389" i="9"/>
  <c r="E389" i="9"/>
  <c r="H388" i="9"/>
  <c r="E388" i="9"/>
  <c r="H387" i="9"/>
  <c r="E387" i="9"/>
  <c r="H386" i="9"/>
  <c r="E386" i="9"/>
  <c r="H385" i="9"/>
  <c r="E385" i="9"/>
  <c r="H384" i="9"/>
  <c r="E384" i="9"/>
  <c r="H383" i="9"/>
  <c r="E383" i="9"/>
  <c r="H382" i="9"/>
  <c r="E382" i="9"/>
  <c r="H381" i="9"/>
  <c r="E381" i="9"/>
  <c r="H380" i="9"/>
  <c r="E380" i="9"/>
  <c r="H379" i="9"/>
  <c r="E379" i="9"/>
  <c r="H378" i="9"/>
  <c r="E378" i="9"/>
  <c r="H377" i="9"/>
  <c r="E377" i="9"/>
  <c r="H376" i="9"/>
  <c r="E376" i="9"/>
  <c r="H375" i="9"/>
  <c r="E375" i="9"/>
  <c r="H374" i="9"/>
  <c r="E374" i="9"/>
  <c r="H373" i="9"/>
  <c r="E373" i="9"/>
  <c r="H372" i="9"/>
  <c r="E372" i="9"/>
  <c r="H371" i="9"/>
  <c r="E371" i="9"/>
  <c r="H370" i="9"/>
  <c r="E370" i="9"/>
  <c r="H369" i="9"/>
  <c r="E369" i="9"/>
  <c r="H368" i="9"/>
  <c r="E368" i="9"/>
  <c r="H367" i="9"/>
  <c r="E367" i="9"/>
  <c r="H366" i="9"/>
  <c r="E366" i="9"/>
  <c r="H365" i="9"/>
  <c r="E365" i="9"/>
  <c r="H364" i="9"/>
  <c r="E364" i="9"/>
  <c r="H363" i="9"/>
  <c r="E363" i="9"/>
  <c r="H362" i="9"/>
  <c r="E362" i="9"/>
  <c r="H361" i="9"/>
  <c r="E361" i="9"/>
  <c r="H360" i="9"/>
  <c r="E360" i="9"/>
  <c r="H359" i="9"/>
  <c r="E359" i="9"/>
  <c r="H358" i="9"/>
  <c r="E358" i="9"/>
  <c r="H357" i="9"/>
  <c r="E357" i="9"/>
  <c r="H356" i="9"/>
  <c r="E356" i="9"/>
  <c r="H355" i="9"/>
  <c r="E355" i="9"/>
  <c r="H354" i="9"/>
  <c r="E354" i="9"/>
  <c r="H353" i="9"/>
  <c r="E353" i="9"/>
  <c r="H352" i="9"/>
  <c r="E352" i="9"/>
  <c r="H351" i="9"/>
  <c r="E351" i="9"/>
  <c r="H350" i="9"/>
  <c r="E350" i="9"/>
  <c r="H349" i="9"/>
  <c r="E349" i="9"/>
  <c r="H348" i="9"/>
  <c r="E348" i="9"/>
  <c r="H347" i="9"/>
  <c r="E347" i="9"/>
  <c r="H346" i="9"/>
  <c r="E346" i="9"/>
  <c r="H345" i="9"/>
  <c r="E345" i="9"/>
  <c r="H344" i="9"/>
  <c r="E344" i="9"/>
  <c r="H343" i="9"/>
  <c r="E343" i="9"/>
  <c r="H342" i="9"/>
  <c r="E342" i="9"/>
  <c r="H341" i="9"/>
  <c r="E341" i="9"/>
  <c r="H340" i="9"/>
  <c r="E340" i="9"/>
  <c r="H339" i="9"/>
  <c r="E339" i="9"/>
  <c r="H338" i="9"/>
  <c r="E338" i="9"/>
  <c r="H337" i="9"/>
  <c r="E337" i="9"/>
  <c r="H336" i="9"/>
  <c r="E336" i="9"/>
  <c r="H335" i="9"/>
  <c r="E335" i="9"/>
  <c r="H334" i="9"/>
  <c r="E334" i="9"/>
  <c r="H333" i="9"/>
  <c r="E333" i="9"/>
  <c r="H332" i="9"/>
  <c r="E332" i="9"/>
  <c r="H331" i="9"/>
  <c r="E331" i="9"/>
  <c r="H330" i="9"/>
  <c r="E330" i="9"/>
  <c r="H329" i="9"/>
  <c r="E329" i="9"/>
  <c r="H328" i="9"/>
  <c r="E328" i="9"/>
  <c r="H327" i="9"/>
  <c r="E327" i="9"/>
  <c r="H326" i="9"/>
  <c r="E326" i="9"/>
  <c r="H325" i="9"/>
  <c r="E325" i="9"/>
  <c r="H324" i="9"/>
  <c r="E324" i="9"/>
  <c r="H323" i="9"/>
  <c r="E323" i="9"/>
  <c r="H322" i="9"/>
  <c r="E322" i="9"/>
  <c r="H321" i="9"/>
  <c r="E321" i="9"/>
  <c r="H320" i="9"/>
  <c r="E320" i="9"/>
  <c r="H319" i="9"/>
  <c r="E319" i="9"/>
  <c r="H318" i="9"/>
  <c r="E318" i="9"/>
  <c r="H317" i="9"/>
  <c r="E317" i="9"/>
  <c r="H316" i="9"/>
  <c r="E316" i="9"/>
  <c r="H315" i="9"/>
  <c r="E315" i="9"/>
  <c r="H314" i="9"/>
  <c r="E314" i="9"/>
  <c r="H313" i="9"/>
  <c r="E313" i="9"/>
  <c r="H312" i="9"/>
  <c r="E312" i="9"/>
  <c r="H311" i="9"/>
  <c r="E311" i="9"/>
  <c r="H310" i="9"/>
  <c r="E310" i="9"/>
  <c r="H309" i="9"/>
  <c r="E309" i="9"/>
  <c r="H308" i="9"/>
  <c r="E308" i="9"/>
  <c r="H307" i="9"/>
  <c r="E307" i="9"/>
  <c r="H306" i="9"/>
  <c r="E306" i="9"/>
  <c r="H305" i="9"/>
  <c r="E305" i="9"/>
  <c r="H304" i="9"/>
  <c r="E304" i="9"/>
  <c r="H303" i="9"/>
  <c r="E303" i="9"/>
  <c r="H302" i="9"/>
  <c r="E302" i="9"/>
  <c r="H301" i="9"/>
  <c r="E301" i="9"/>
  <c r="H300" i="9"/>
  <c r="E300" i="9"/>
  <c r="H299" i="9"/>
  <c r="E299" i="9"/>
  <c r="H298" i="9"/>
  <c r="E298" i="9"/>
  <c r="H297" i="9"/>
  <c r="E297" i="9"/>
  <c r="H296" i="9"/>
  <c r="E296" i="9"/>
  <c r="H295" i="9"/>
  <c r="E295" i="9"/>
  <c r="H294" i="9"/>
  <c r="E294" i="9"/>
  <c r="H293" i="9"/>
  <c r="E293" i="9"/>
  <c r="H292" i="9"/>
  <c r="E292" i="9"/>
  <c r="H291" i="9"/>
  <c r="E291" i="9"/>
  <c r="H290" i="9"/>
  <c r="E290" i="9"/>
  <c r="H289" i="9"/>
  <c r="E289" i="9"/>
  <c r="H288" i="9"/>
  <c r="E288" i="9"/>
  <c r="H287" i="9"/>
  <c r="E287" i="9"/>
  <c r="H286" i="9"/>
  <c r="E286" i="9"/>
  <c r="H285" i="9"/>
  <c r="E285" i="9"/>
  <c r="H284" i="9"/>
  <c r="E284" i="9"/>
  <c r="H283" i="9"/>
  <c r="E283" i="9"/>
  <c r="H282" i="9"/>
  <c r="E282" i="9"/>
  <c r="H281" i="9"/>
  <c r="E281" i="9"/>
  <c r="H280" i="9"/>
  <c r="E280" i="9"/>
  <c r="H279" i="9"/>
  <c r="E279" i="9"/>
  <c r="H278" i="9"/>
  <c r="E278" i="9"/>
  <c r="H277" i="9"/>
  <c r="E277" i="9"/>
  <c r="H276" i="9"/>
  <c r="E276" i="9"/>
  <c r="H275" i="9"/>
  <c r="E275" i="9"/>
  <c r="H274" i="9"/>
  <c r="E274" i="9"/>
  <c r="H273" i="9"/>
  <c r="E273" i="9"/>
  <c r="H272" i="9"/>
  <c r="E272" i="9"/>
  <c r="H271" i="9"/>
  <c r="E271" i="9"/>
  <c r="H270" i="9"/>
  <c r="E270" i="9"/>
  <c r="H269" i="9"/>
  <c r="E269" i="9"/>
  <c r="H268" i="9"/>
  <c r="E268" i="9"/>
  <c r="H267" i="9"/>
  <c r="E267" i="9"/>
  <c r="H266" i="9"/>
  <c r="E266" i="9"/>
  <c r="H265" i="9"/>
  <c r="E265" i="9"/>
  <c r="H264" i="9"/>
  <c r="E264" i="9"/>
  <c r="H263" i="9"/>
  <c r="E263" i="9"/>
  <c r="H262" i="9"/>
  <c r="E262" i="9"/>
  <c r="H261" i="9"/>
  <c r="E261" i="9"/>
  <c r="H260" i="9"/>
  <c r="E260" i="9"/>
  <c r="H259" i="9"/>
  <c r="E259" i="9"/>
  <c r="H258" i="9"/>
  <c r="E258" i="9"/>
  <c r="H257" i="9"/>
  <c r="E257" i="9"/>
  <c r="H256" i="9"/>
  <c r="E256" i="9"/>
  <c r="H255" i="9"/>
  <c r="E255" i="9"/>
  <c r="H254" i="9"/>
  <c r="E254" i="9"/>
  <c r="H253" i="9"/>
  <c r="E253" i="9"/>
  <c r="H252" i="9"/>
  <c r="E252" i="9"/>
  <c r="H251" i="9"/>
  <c r="E251" i="9"/>
  <c r="H250" i="9"/>
  <c r="E250" i="9"/>
  <c r="H249" i="9"/>
  <c r="E249" i="9"/>
  <c r="H248" i="9"/>
  <c r="E248" i="9"/>
  <c r="H247" i="9"/>
  <c r="E247" i="9"/>
  <c r="H246" i="9"/>
  <c r="E246" i="9"/>
  <c r="H245" i="9"/>
  <c r="E245" i="9"/>
  <c r="H244" i="9"/>
  <c r="E244" i="9"/>
  <c r="H243" i="9"/>
  <c r="E243" i="9"/>
  <c r="H242" i="9"/>
  <c r="E242" i="9"/>
  <c r="H241" i="9"/>
  <c r="E241" i="9"/>
  <c r="H240" i="9"/>
  <c r="E240" i="9"/>
  <c r="H239" i="9"/>
  <c r="E239" i="9"/>
  <c r="H238" i="9"/>
  <c r="E238" i="9"/>
  <c r="H237" i="9"/>
  <c r="E237" i="9"/>
  <c r="H236" i="9"/>
  <c r="E236" i="9"/>
  <c r="H235" i="9"/>
  <c r="E235" i="9"/>
  <c r="H234" i="9"/>
  <c r="E234" i="9"/>
  <c r="H233" i="9"/>
  <c r="E233" i="9"/>
  <c r="H232" i="9"/>
  <c r="E232" i="9"/>
  <c r="H231" i="9"/>
  <c r="E231" i="9"/>
  <c r="H230" i="9"/>
  <c r="E230" i="9"/>
  <c r="H229" i="9"/>
  <c r="E229" i="9"/>
  <c r="H228" i="9"/>
  <c r="E228" i="9"/>
  <c r="H227" i="9"/>
  <c r="E227" i="9"/>
  <c r="H226" i="9"/>
  <c r="E226" i="9"/>
  <c r="H225" i="9"/>
  <c r="E225" i="9"/>
  <c r="H224" i="9"/>
  <c r="E224" i="9"/>
  <c r="H223" i="9"/>
  <c r="E223" i="9"/>
  <c r="H222" i="9"/>
  <c r="E222" i="9"/>
  <c r="H221" i="9"/>
  <c r="E221" i="9"/>
  <c r="H220" i="9"/>
  <c r="E220" i="9"/>
  <c r="H219" i="9"/>
  <c r="E219" i="9"/>
  <c r="H218" i="9"/>
  <c r="E218" i="9"/>
  <c r="H217" i="9"/>
  <c r="E217" i="9"/>
  <c r="H216" i="9"/>
  <c r="E216" i="9"/>
  <c r="H215" i="9"/>
  <c r="E215" i="9"/>
  <c r="H214" i="9"/>
  <c r="E214" i="9"/>
  <c r="H213" i="9"/>
  <c r="E213" i="9"/>
  <c r="H212" i="9"/>
  <c r="E212" i="9"/>
  <c r="H211" i="9"/>
  <c r="E211" i="9"/>
  <c r="H210" i="9"/>
  <c r="E210" i="9"/>
  <c r="H209" i="9"/>
  <c r="E209" i="9"/>
  <c r="H208" i="9"/>
  <c r="E208" i="9"/>
  <c r="H207" i="9"/>
  <c r="E207" i="9"/>
  <c r="H206" i="9"/>
  <c r="E206" i="9"/>
  <c r="H205" i="9"/>
  <c r="E205" i="9"/>
  <c r="H204" i="9"/>
  <c r="E204" i="9"/>
  <c r="H203" i="9"/>
  <c r="E203" i="9"/>
  <c r="H202" i="9"/>
  <c r="E202" i="9"/>
  <c r="H201" i="9"/>
  <c r="E201" i="9"/>
  <c r="H200" i="9"/>
  <c r="E200" i="9"/>
  <c r="H199" i="9"/>
  <c r="E199" i="9"/>
  <c r="H198" i="9"/>
  <c r="E198" i="9"/>
  <c r="H197" i="9"/>
  <c r="E197" i="9"/>
  <c r="H196" i="9"/>
  <c r="E196" i="9"/>
  <c r="H195" i="9"/>
  <c r="E195" i="9"/>
  <c r="H194" i="9"/>
  <c r="E194" i="9"/>
  <c r="H193" i="9"/>
  <c r="E193" i="9"/>
  <c r="H192" i="9"/>
  <c r="E192" i="9"/>
  <c r="H191" i="9"/>
  <c r="E191" i="9"/>
  <c r="H190" i="9"/>
  <c r="E190" i="9"/>
  <c r="H189" i="9"/>
  <c r="E189" i="9"/>
  <c r="H188" i="9"/>
  <c r="E188" i="9"/>
  <c r="H187" i="9"/>
  <c r="E187" i="9"/>
  <c r="H186" i="9"/>
  <c r="E186" i="9"/>
  <c r="H185" i="9"/>
  <c r="E185" i="9"/>
  <c r="H184" i="9"/>
  <c r="E184" i="9"/>
  <c r="H183" i="9"/>
  <c r="E183" i="9"/>
  <c r="H182" i="9"/>
  <c r="E182" i="9"/>
  <c r="H181" i="9"/>
  <c r="E181" i="9"/>
  <c r="H180" i="9"/>
  <c r="E180" i="9"/>
  <c r="H179" i="9"/>
  <c r="E179" i="9"/>
  <c r="H178" i="9"/>
  <c r="E178" i="9"/>
  <c r="H177" i="9"/>
  <c r="E177" i="9"/>
  <c r="H176" i="9"/>
  <c r="E176" i="9"/>
  <c r="H175" i="9"/>
  <c r="E175" i="9"/>
  <c r="H174" i="9"/>
  <c r="E174" i="9"/>
  <c r="H173" i="9"/>
  <c r="E173" i="9"/>
  <c r="H172" i="9"/>
  <c r="E172" i="9"/>
  <c r="H171" i="9"/>
  <c r="E171" i="9"/>
  <c r="H170" i="9"/>
  <c r="E170" i="9"/>
  <c r="H169" i="9"/>
  <c r="E169" i="9"/>
  <c r="H168" i="9"/>
  <c r="E168" i="9"/>
  <c r="H167" i="9"/>
  <c r="E167" i="9"/>
  <c r="H166" i="9"/>
  <c r="E166" i="9"/>
  <c r="H165" i="9"/>
  <c r="E165" i="9"/>
  <c r="H164" i="9"/>
  <c r="E164" i="9"/>
  <c r="H163" i="9"/>
  <c r="E163" i="9"/>
  <c r="H162" i="9"/>
  <c r="E162" i="9"/>
  <c r="H161" i="9"/>
  <c r="E161" i="9"/>
  <c r="H160" i="9"/>
  <c r="E160" i="9"/>
  <c r="H159" i="9"/>
  <c r="E159" i="9"/>
  <c r="H158" i="9"/>
  <c r="E158" i="9"/>
  <c r="H157" i="9"/>
  <c r="E157" i="9"/>
  <c r="H156" i="9"/>
  <c r="E156" i="9"/>
  <c r="H155" i="9"/>
  <c r="E155" i="9"/>
  <c r="H154" i="9"/>
  <c r="E154" i="9"/>
  <c r="H153" i="9"/>
  <c r="E153" i="9"/>
  <c r="H152" i="9"/>
  <c r="E152" i="9"/>
  <c r="H151" i="9"/>
  <c r="E151" i="9"/>
  <c r="H150" i="9"/>
  <c r="E150" i="9"/>
  <c r="H149" i="9"/>
  <c r="E149" i="9"/>
  <c r="H148" i="9"/>
  <c r="E148" i="9"/>
  <c r="H147" i="9"/>
  <c r="E147" i="9"/>
  <c r="H146" i="9"/>
  <c r="E146" i="9"/>
  <c r="H145" i="9"/>
  <c r="E145" i="9"/>
  <c r="H144" i="9"/>
  <c r="E144" i="9"/>
  <c r="H143" i="9"/>
  <c r="E143" i="9"/>
  <c r="H142" i="9"/>
  <c r="E142" i="9"/>
  <c r="H141" i="9"/>
  <c r="E141" i="9"/>
  <c r="H140" i="9"/>
  <c r="E140" i="9"/>
  <c r="H139" i="9"/>
  <c r="E139" i="9"/>
  <c r="H138" i="9"/>
  <c r="E138" i="9"/>
  <c r="H137" i="9"/>
  <c r="E137" i="9"/>
  <c r="H136" i="9"/>
  <c r="E136" i="9"/>
  <c r="H135" i="9"/>
  <c r="E135" i="9"/>
  <c r="H134" i="9"/>
  <c r="E134" i="9"/>
  <c r="H133" i="9"/>
  <c r="E133" i="9"/>
  <c r="H132" i="9"/>
  <c r="E132" i="9"/>
  <c r="H131" i="9"/>
  <c r="E131" i="9"/>
  <c r="H130" i="9"/>
  <c r="E130" i="9"/>
  <c r="H129" i="9"/>
  <c r="E129" i="9"/>
  <c r="H128" i="9"/>
  <c r="E128" i="9"/>
  <c r="H127" i="9"/>
  <c r="E127" i="9"/>
  <c r="H126" i="9"/>
  <c r="E126" i="9"/>
  <c r="H125" i="9"/>
  <c r="E125" i="9"/>
  <c r="H124" i="9"/>
  <c r="E124" i="9"/>
  <c r="H123" i="9"/>
  <c r="E123" i="9"/>
  <c r="H122" i="9"/>
  <c r="E122" i="9"/>
  <c r="H121" i="9"/>
  <c r="E121" i="9"/>
  <c r="H120" i="9"/>
  <c r="E120" i="9"/>
  <c r="H119" i="9"/>
  <c r="E119" i="9"/>
  <c r="H118" i="9"/>
  <c r="E118" i="9"/>
  <c r="H117" i="9"/>
  <c r="E117" i="9"/>
  <c r="H116" i="9"/>
  <c r="E116" i="9"/>
  <c r="H115" i="9"/>
  <c r="E115" i="9"/>
  <c r="H114" i="9"/>
  <c r="E114" i="9"/>
  <c r="H113" i="9"/>
  <c r="E113" i="9"/>
  <c r="H112" i="9"/>
  <c r="E112" i="9"/>
  <c r="H111" i="9"/>
  <c r="E111" i="9"/>
  <c r="H110" i="9"/>
  <c r="E110" i="9"/>
  <c r="H109" i="9"/>
  <c r="E109" i="9"/>
  <c r="H108" i="9"/>
  <c r="E108" i="9"/>
  <c r="H107" i="9"/>
  <c r="E107" i="9"/>
  <c r="H106" i="9"/>
  <c r="E106" i="9"/>
  <c r="H105" i="9"/>
  <c r="E105" i="9"/>
  <c r="H104" i="9"/>
  <c r="E104" i="9"/>
  <c r="H103" i="9"/>
  <c r="E103" i="9"/>
  <c r="H102" i="9"/>
  <c r="E102" i="9"/>
  <c r="H101" i="9"/>
  <c r="E101" i="9"/>
  <c r="H100" i="9"/>
  <c r="E100" i="9"/>
  <c r="H99" i="9"/>
  <c r="E99" i="9"/>
  <c r="H98" i="9"/>
  <c r="E98" i="9"/>
  <c r="H97" i="9"/>
  <c r="E97" i="9"/>
  <c r="H96" i="9"/>
  <c r="E96" i="9"/>
  <c r="H95" i="9"/>
  <c r="E95" i="9"/>
  <c r="H94" i="9"/>
  <c r="E94" i="9"/>
  <c r="H93" i="9"/>
  <c r="E93" i="9"/>
  <c r="H92" i="9"/>
  <c r="E92" i="9"/>
  <c r="H91" i="9"/>
  <c r="E91" i="9"/>
  <c r="H90" i="9"/>
  <c r="E90" i="9"/>
  <c r="H89" i="9"/>
  <c r="E89" i="9"/>
  <c r="H88" i="9"/>
  <c r="E88" i="9"/>
  <c r="H87" i="9"/>
  <c r="E87" i="9"/>
  <c r="H86" i="9"/>
  <c r="E86" i="9"/>
  <c r="H85" i="9"/>
  <c r="E85" i="9"/>
  <c r="H84" i="9"/>
  <c r="E84" i="9"/>
  <c r="H83" i="9"/>
  <c r="E83" i="9"/>
  <c r="H82" i="9"/>
  <c r="E82" i="9"/>
  <c r="H81" i="9"/>
  <c r="E81" i="9"/>
  <c r="H80" i="9"/>
  <c r="E80" i="9"/>
  <c r="H79" i="9"/>
  <c r="E79" i="9"/>
  <c r="H78" i="9"/>
  <c r="E78" i="9"/>
  <c r="H77" i="9"/>
  <c r="E77" i="9"/>
  <c r="H76" i="9"/>
  <c r="E76" i="9"/>
  <c r="H75" i="9"/>
  <c r="E75" i="9"/>
  <c r="H74" i="9"/>
  <c r="E74" i="9"/>
  <c r="H73" i="9"/>
  <c r="E73" i="9"/>
  <c r="H72" i="9"/>
  <c r="E72" i="9"/>
  <c r="H71" i="9"/>
  <c r="E71" i="9"/>
  <c r="H70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16" i="9"/>
  <c r="E15" i="9"/>
  <c r="E14" i="9"/>
  <c r="E9" i="9"/>
  <c r="E8" i="9"/>
  <c r="E7" i="9"/>
  <c r="E27" i="9"/>
  <c r="E13" i="9"/>
  <c r="E2" i="9"/>
  <c r="E26" i="9"/>
  <c r="E29" i="9"/>
  <c r="E25" i="9"/>
  <c r="E28" i="9"/>
  <c r="E31" i="9"/>
  <c r="E30" i="9"/>
  <c r="E10" i="9"/>
  <c r="E6" i="9"/>
  <c r="E5" i="9"/>
  <c r="L157" i="9" l="1"/>
  <c r="L182" i="9"/>
  <c r="L199" i="9"/>
  <c r="L225" i="9"/>
  <c r="L216" i="9"/>
  <c r="L144" i="9"/>
  <c r="L164" i="9"/>
  <c r="L194" i="9"/>
  <c r="L250" i="9"/>
  <c r="L173" i="9"/>
  <c r="L156" i="9"/>
  <c r="L200" i="9"/>
  <c r="L166" i="9"/>
  <c r="L177" i="9"/>
  <c r="L188" i="9"/>
  <c r="L170" i="9"/>
  <c r="L212" i="9"/>
  <c r="L192" i="9"/>
  <c r="L155" i="9"/>
  <c r="L217" i="9"/>
  <c r="L245" i="9"/>
  <c r="L239" i="9"/>
  <c r="L241" i="9"/>
  <c r="L247" i="9"/>
  <c r="L153" i="9"/>
  <c r="L163" i="9"/>
  <c r="L165" i="9"/>
  <c r="L198" i="9"/>
  <c r="L158" i="9"/>
  <c r="L141" i="9"/>
  <c r="L237" i="9"/>
  <c r="L221" i="9"/>
  <c r="L210" i="9"/>
  <c r="L146" i="9"/>
  <c r="L218" i="9"/>
  <c r="L149" i="9"/>
  <c r="L228" i="9"/>
  <c r="L240" i="9"/>
  <c r="L197" i="9"/>
  <c r="L181" i="9"/>
  <c r="L214" i="9"/>
  <c r="L236" i="9"/>
  <c r="L205" i="9"/>
  <c r="L231" i="9"/>
  <c r="L162" i="9"/>
  <c r="L242" i="9"/>
  <c r="L152" i="9"/>
  <c r="L175" i="9"/>
  <c r="L185" i="9"/>
  <c r="L184" i="9"/>
  <c r="L234" i="9"/>
  <c r="L169" i="9"/>
  <c r="L223" i="9"/>
  <c r="L235" i="9"/>
  <c r="L190" i="9"/>
  <c r="L249" i="9"/>
  <c r="L248" i="9"/>
  <c r="L209" i="9"/>
  <c r="L147" i="9"/>
  <c r="L201" i="9"/>
  <c r="L203" i="9"/>
  <c r="L159" i="9"/>
  <c r="L143" i="9"/>
  <c r="L229" i="9"/>
  <c r="L187" i="9"/>
  <c r="L246" i="9"/>
  <c r="L206" i="9"/>
  <c r="L224" i="9"/>
  <c r="L178" i="9"/>
  <c r="L204" i="9"/>
  <c r="L138" i="9"/>
  <c r="L230" i="9"/>
  <c r="L140" i="9"/>
  <c r="L180" i="9"/>
  <c r="L232" i="9"/>
  <c r="L145" i="9"/>
  <c r="L220" i="9"/>
  <c r="L172" i="9"/>
  <c r="L222" i="9"/>
  <c r="L227" i="9"/>
  <c r="L196" i="9"/>
  <c r="L238" i="9"/>
  <c r="L193" i="9"/>
  <c r="L174" i="9"/>
  <c r="L207" i="9"/>
  <c r="L191" i="9"/>
  <c r="L139" i="9"/>
  <c r="L213" i="9"/>
  <c r="L151" i="9"/>
  <c r="L195" i="9"/>
  <c r="L148" i="9"/>
  <c r="L154" i="9"/>
  <c r="L167" i="9"/>
  <c r="L189" i="9"/>
  <c r="L211" i="9"/>
  <c r="L179" i="9"/>
  <c r="L219" i="9"/>
  <c r="L233" i="9"/>
  <c r="L171" i="9"/>
  <c r="L160" i="9"/>
  <c r="L243" i="9"/>
  <c r="L2" i="9"/>
  <c r="L215" i="9"/>
  <c r="L183" i="9"/>
  <c r="L142" i="9"/>
  <c r="L161" i="9"/>
  <c r="L202" i="9"/>
  <c r="L208" i="9"/>
  <c r="L176" i="9"/>
  <c r="L244" i="9"/>
  <c r="L226" i="9"/>
  <c r="L168" i="9"/>
  <c r="L186" i="9"/>
  <c r="L150" i="9"/>
  <c r="K952" i="9"/>
  <c r="J733" i="9"/>
  <c r="K1896" i="9"/>
  <c r="J903" i="9"/>
  <c r="K1806" i="9"/>
  <c r="J1191" i="9"/>
  <c r="J981" i="9"/>
  <c r="K1767" i="9"/>
  <c r="J1755" i="9"/>
  <c r="J1317" i="9"/>
  <c r="J1641" i="9"/>
  <c r="J648" i="9"/>
  <c r="K1831" i="9"/>
  <c r="K1315" i="9"/>
  <c r="J1106" i="9"/>
  <c r="J1653" i="9"/>
  <c r="K450" i="9"/>
  <c r="K524" i="9"/>
  <c r="J1907" i="9"/>
  <c r="J1955" i="9"/>
  <c r="K1368" i="9"/>
  <c r="K1322" i="9"/>
  <c r="J1257" i="9"/>
  <c r="J1890" i="9"/>
  <c r="K701" i="9"/>
  <c r="K1749" i="9"/>
  <c r="J1958" i="9"/>
  <c r="J1827" i="9"/>
  <c r="J418" i="9"/>
  <c r="K1970" i="9"/>
  <c r="J1216" i="9"/>
  <c r="J619" i="9"/>
  <c r="K634" i="9"/>
  <c r="K291" i="9"/>
  <c r="K2000" i="9"/>
  <c r="J1904" i="9"/>
  <c r="K1986" i="9"/>
  <c r="J1053" i="9"/>
  <c r="K1277" i="9"/>
  <c r="K1819" i="9"/>
  <c r="K599" i="9"/>
  <c r="K1319" i="9"/>
  <c r="J1763" i="9"/>
  <c r="J1813" i="9"/>
  <c r="K1431" i="9"/>
  <c r="K981" i="9"/>
  <c r="K1093" i="9"/>
  <c r="J1526" i="9"/>
  <c r="J892" i="9"/>
  <c r="K1786" i="9"/>
  <c r="K1378" i="9"/>
  <c r="J553" i="9"/>
  <c r="K463" i="9"/>
  <c r="K1085" i="9"/>
  <c r="J1270" i="9"/>
  <c r="J1764" i="9"/>
  <c r="K271" i="9"/>
  <c r="K1835" i="9"/>
  <c r="K1366" i="9"/>
  <c r="J1520" i="9"/>
  <c r="J1932" i="9"/>
  <c r="J1245" i="9"/>
  <c r="K901" i="9"/>
  <c r="J1343" i="9"/>
  <c r="K1235" i="9"/>
  <c r="K1701" i="9"/>
  <c r="K1886" i="9"/>
  <c r="J1309" i="9"/>
  <c r="J1461" i="9"/>
  <c r="K326" i="9"/>
  <c r="J1075" i="9"/>
  <c r="K253" i="9"/>
  <c r="K316" i="9"/>
  <c r="J794" i="9"/>
  <c r="K993" i="9"/>
  <c r="K385" i="9"/>
  <c r="J1489" i="9"/>
  <c r="J919" i="9"/>
  <c r="J464" i="9"/>
  <c r="K987" i="9"/>
  <c r="J1517" i="9"/>
  <c r="K345" i="9"/>
  <c r="K446" i="9"/>
  <c r="J1781" i="9"/>
  <c r="K923" i="9"/>
  <c r="K1020" i="9"/>
  <c r="J1557" i="9"/>
  <c r="K1248" i="9"/>
  <c r="J954" i="9"/>
  <c r="J847" i="9"/>
  <c r="J1931" i="9"/>
  <c r="J509" i="9"/>
  <c r="K878" i="9"/>
  <c r="J337" i="9"/>
  <c r="J1140" i="9"/>
  <c r="K1242" i="9"/>
  <c r="J1693" i="9"/>
  <c r="K1010" i="9"/>
  <c r="K780" i="9"/>
  <c r="K1643" i="9"/>
  <c r="J1082" i="9"/>
  <c r="K1848" i="9"/>
  <c r="J1937" i="9"/>
  <c r="J1087" i="9"/>
  <c r="J1686" i="9"/>
  <c r="K447" i="9"/>
  <c r="J256" i="9"/>
  <c r="K1038" i="9"/>
  <c r="K1070" i="9"/>
  <c r="K637" i="9"/>
  <c r="J1463" i="9"/>
  <c r="K497" i="9"/>
  <c r="J1657" i="9"/>
  <c r="J940" i="9"/>
  <c r="K1856" i="9"/>
  <c r="J1577" i="9"/>
  <c r="J1823" i="9"/>
  <c r="J1498" i="9"/>
  <c r="K1351" i="9"/>
  <c r="J1185" i="9"/>
  <c r="K1175" i="9"/>
  <c r="K1556" i="9"/>
  <c r="J1303" i="9"/>
  <c r="J1004" i="9"/>
  <c r="J909" i="9"/>
  <c r="J352" i="9"/>
  <c r="K1600" i="9"/>
  <c r="K1440" i="9"/>
  <c r="J1628" i="9"/>
  <c r="K1476" i="9"/>
  <c r="J770" i="9"/>
  <c r="K1589" i="9"/>
  <c r="K1334" i="9"/>
  <c r="K601" i="9"/>
  <c r="J1967" i="9"/>
  <c r="K836" i="9"/>
  <c r="J854" i="9"/>
  <c r="K898" i="9"/>
  <c r="J1757" i="9"/>
  <c r="K1484" i="9"/>
  <c r="K566" i="9"/>
  <c r="K466" i="9"/>
  <c r="K1394" i="9"/>
  <c r="J495" i="9"/>
  <c r="K1420" i="9"/>
  <c r="K1840" i="9"/>
  <c r="J288" i="9"/>
  <c r="J1911" i="9"/>
  <c r="J883" i="9"/>
  <c r="K1278" i="9"/>
  <c r="K1671" i="9"/>
  <c r="K1101" i="9"/>
  <c r="K982" i="9"/>
  <c r="J431" i="9"/>
  <c r="J1559" i="9"/>
  <c r="K263" i="9"/>
  <c r="K931" i="9"/>
  <c r="J1873" i="9"/>
  <c r="K1815" i="9"/>
  <c r="K1596" i="9"/>
  <c r="J1895" i="9"/>
  <c r="K1921" i="9"/>
  <c r="J1974" i="9"/>
  <c r="K622" i="9"/>
  <c r="K286" i="9"/>
  <c r="J1732" i="9"/>
  <c r="K1550" i="9"/>
  <c r="J781" i="9"/>
  <c r="J1511" i="9"/>
  <c r="K376" i="9"/>
  <c r="J1298" i="9"/>
  <c r="K1429" i="9"/>
  <c r="K1116" i="9"/>
  <c r="K1361" i="9"/>
  <c r="K252" i="9"/>
  <c r="K1795" i="9"/>
  <c r="K1977" i="9"/>
  <c r="J581" i="9"/>
  <c r="K1125" i="9"/>
  <c r="J1524" i="9"/>
  <c r="J897" i="9"/>
  <c r="K483" i="9"/>
  <c r="K1207" i="9"/>
  <c r="K1572" i="9"/>
  <c r="J1261" i="9"/>
  <c r="J1179" i="9"/>
  <c r="K256" i="9"/>
  <c r="K1773" i="9"/>
  <c r="J878" i="9"/>
  <c r="J1420" i="9"/>
  <c r="J1539" i="9"/>
  <c r="J955" i="9"/>
  <c r="J1782" i="9"/>
  <c r="J1768" i="9"/>
  <c r="J1092" i="9"/>
  <c r="J1051" i="9"/>
  <c r="K461" i="9"/>
  <c r="J1747" i="9"/>
  <c r="J898" i="9"/>
  <c r="J642" i="9"/>
  <c r="J807" i="9"/>
  <c r="K900" i="9"/>
  <c r="J799" i="9"/>
  <c r="J1565" i="9"/>
  <c r="K1244" i="9"/>
  <c r="J822" i="9"/>
  <c r="J1660" i="9"/>
  <c r="K451" i="9"/>
  <c r="K1290" i="9"/>
  <c r="K957" i="9"/>
  <c r="K887" i="9"/>
  <c r="J1832" i="9"/>
  <c r="K811" i="9"/>
  <c r="K314" i="9"/>
  <c r="K1230" i="9"/>
  <c r="J1537" i="9"/>
  <c r="K744" i="9"/>
  <c r="J305" i="9"/>
  <c r="J1220" i="9"/>
  <c r="J480" i="9"/>
  <c r="J385" i="9"/>
  <c r="K1745" i="9"/>
  <c r="J713" i="9"/>
  <c r="K942" i="9"/>
  <c r="K1339" i="9"/>
  <c r="J387" i="9"/>
  <c r="J1651" i="9"/>
  <c r="J1165" i="9"/>
  <c r="J484" i="9"/>
  <c r="J1056" i="9"/>
  <c r="J1333" i="9"/>
  <c r="J1438" i="9"/>
  <c r="K976" i="9"/>
  <c r="J870" i="9"/>
  <c r="J1459" i="9"/>
  <c r="K1558" i="9"/>
  <c r="J1331" i="9"/>
  <c r="J1611" i="9"/>
  <c r="K519" i="9"/>
  <c r="K568" i="9"/>
  <c r="K1211" i="9"/>
  <c r="K1518" i="9"/>
  <c r="K1639" i="9"/>
  <c r="J1677" i="9"/>
  <c r="K364" i="9"/>
  <c r="J908" i="9"/>
  <c r="K1997" i="9"/>
  <c r="J1227" i="9"/>
  <c r="K1873" i="9"/>
  <c r="K1937" i="9"/>
  <c r="K647" i="9"/>
  <c r="K455" i="9"/>
  <c r="K1343" i="9"/>
  <c r="J1189" i="9"/>
  <c r="K893" i="9"/>
  <c r="K815" i="9"/>
  <c r="K1310" i="9"/>
  <c r="K706" i="9"/>
  <c r="J1995" i="9"/>
  <c r="J663" i="9"/>
  <c r="K1828" i="9"/>
  <c r="K1173" i="9"/>
  <c r="J1329" i="9"/>
  <c r="J783" i="9"/>
  <c r="J500" i="9"/>
  <c r="J1332" i="9"/>
  <c r="J689" i="9"/>
  <c r="J1335" i="9"/>
  <c r="K1989" i="9"/>
  <c r="J1705" i="9"/>
  <c r="K636" i="9"/>
  <c r="K561" i="9"/>
  <c r="J518" i="9"/>
  <c r="J1037" i="9"/>
  <c r="J1330" i="9"/>
  <c r="J876" i="9"/>
  <c r="K391" i="9"/>
  <c r="K334" i="9"/>
  <c r="J1928" i="9"/>
  <c r="K1581" i="9"/>
  <c r="K1133" i="9"/>
  <c r="K1221" i="9"/>
  <c r="K1569" i="9"/>
  <c r="K782" i="9"/>
  <c r="J1256" i="9"/>
  <c r="K1151" i="9"/>
  <c r="J1090" i="9"/>
  <c r="K1166" i="9"/>
  <c r="K1822" i="9"/>
  <c r="J1323" i="9"/>
  <c r="K1501" i="9"/>
  <c r="K619" i="9"/>
  <c r="J257" i="9"/>
  <c r="K1015" i="9"/>
  <c r="K1783" i="9"/>
  <c r="K1665" i="9"/>
  <c r="J717" i="9"/>
  <c r="K427" i="9"/>
  <c r="J293" i="9"/>
  <c r="K277" i="9"/>
  <c r="K340" i="9"/>
  <c r="J774" i="9"/>
  <c r="J625" i="9"/>
  <c r="K1746" i="9"/>
  <c r="K1130" i="9"/>
  <c r="K1316" i="9"/>
  <c r="K813" i="9"/>
  <c r="K851" i="9"/>
  <c r="K414" i="9"/>
  <c r="K869" i="9"/>
  <c r="J325" i="9"/>
  <c r="J1552" i="9"/>
  <c r="J1914" i="9"/>
  <c r="K977" i="9"/>
  <c r="J797" i="9"/>
  <c r="K1658" i="9"/>
  <c r="K1034" i="9"/>
  <c r="K367" i="9"/>
  <c r="J1286" i="9"/>
  <c r="J372" i="9"/>
  <c r="K876" i="9"/>
  <c r="K654" i="9"/>
  <c r="K824" i="9"/>
  <c r="K1692" i="9"/>
  <c r="K1282" i="9"/>
  <c r="K1442" i="9"/>
  <c r="K1765" i="9"/>
  <c r="K1337" i="9"/>
  <c r="K1833" i="9"/>
  <c r="J1765" i="9"/>
  <c r="K1263" i="9"/>
  <c r="K1124" i="9"/>
  <c r="J668" i="9"/>
  <c r="K1616" i="9"/>
  <c r="J521" i="9"/>
  <c r="J1111" i="9"/>
  <c r="K1849" i="9"/>
  <c r="J617" i="9"/>
  <c r="K816" i="9"/>
  <c r="K1717" i="9"/>
  <c r="K1214" i="9"/>
  <c r="J768" i="9"/>
  <c r="K374" i="9"/>
  <c r="K465" i="9"/>
  <c r="K1527" i="9"/>
  <c r="K1889" i="9"/>
  <c r="K1089" i="9"/>
  <c r="J1883" i="9"/>
  <c r="K829" i="9"/>
  <c r="K337" i="9"/>
  <c r="J1000" i="9"/>
  <c r="K727" i="9"/>
  <c r="K1436" i="9"/>
  <c r="K1411" i="9"/>
  <c r="K1348" i="9"/>
  <c r="J1356" i="9"/>
  <c r="K523" i="9"/>
  <c r="K1497" i="9"/>
  <c r="J710" i="9"/>
  <c r="J1806" i="9"/>
  <c r="K809" i="9"/>
  <c r="K1399" i="9"/>
  <c r="K432" i="9"/>
  <c r="K1375" i="9"/>
  <c r="K363" i="9"/>
  <c r="K1722" i="9"/>
  <c r="J661" i="9"/>
  <c r="K394" i="9"/>
  <c r="J1095" i="9"/>
  <c r="K959" i="9"/>
  <c r="J895" i="9"/>
  <c r="K1686" i="9"/>
  <c r="J842" i="9"/>
  <c r="J1748" i="9"/>
  <c r="J1599" i="9"/>
  <c r="J1277" i="9"/>
  <c r="K400" i="9"/>
  <c r="J1448" i="9"/>
  <c r="K1890" i="9"/>
  <c r="J1652" i="9"/>
  <c r="J1272" i="9"/>
  <c r="J758" i="9"/>
  <c r="J1870" i="9"/>
  <c r="K1198" i="9"/>
  <c r="J1345" i="9"/>
  <c r="J449" i="9"/>
  <c r="K805" i="9"/>
  <c r="K1405" i="9"/>
  <c r="K685" i="9"/>
  <c r="J353" i="9"/>
  <c r="K1826" i="9"/>
  <c r="K1304" i="9"/>
  <c r="K267" i="9"/>
  <c r="J1260" i="9"/>
  <c r="J275" i="9"/>
  <c r="J1555" i="9"/>
  <c r="J834" i="9"/>
  <c r="J1862" i="9"/>
  <c r="K255" i="9"/>
  <c r="J294" i="9"/>
  <c r="J1894" i="9"/>
  <c r="J344" i="9"/>
  <c r="K1438" i="9"/>
  <c r="J746" i="9"/>
  <c r="K542" i="9"/>
  <c r="J588" i="9"/>
  <c r="J467" i="9"/>
  <c r="K1483" i="9"/>
  <c r="J1656" i="9"/>
  <c r="K1577" i="9"/>
  <c r="J804" i="9"/>
  <c r="K910" i="9"/>
  <c r="J253" i="9"/>
  <c r="K1976" i="9"/>
  <c r="J1596" i="9"/>
  <c r="J1844" i="9"/>
  <c r="K1809" i="9"/>
  <c r="J1473" i="9"/>
  <c r="J989" i="9"/>
  <c r="J1372" i="9"/>
  <c r="J1295" i="9"/>
  <c r="J1663" i="9"/>
  <c r="K1259" i="9"/>
  <c r="K443" i="9"/>
  <c r="J714" i="9"/>
  <c r="J1402" i="9"/>
  <c r="K677" i="9"/>
  <c r="J949" i="9"/>
  <c r="J1062" i="9"/>
  <c r="K623" i="9"/>
  <c r="J1035" i="9"/>
  <c r="J461" i="9"/>
  <c r="K289" i="9"/>
  <c r="J1734" i="9"/>
  <c r="J1369" i="9"/>
  <c r="K1758" i="9"/>
  <c r="K1865" i="9"/>
  <c r="J1496" i="9"/>
  <c r="J1141" i="9"/>
  <c r="K411" i="9"/>
  <c r="J400" i="9"/>
  <c r="K1968" i="9"/>
  <c r="J1707" i="9"/>
  <c r="K1646" i="9"/>
  <c r="K1950" i="9"/>
  <c r="K720" i="9"/>
  <c r="K1063" i="9"/>
  <c r="J1961" i="9"/>
  <c r="K1164" i="9"/>
  <c r="K1165" i="9"/>
  <c r="K710" i="9"/>
  <c r="K1180" i="9"/>
  <c r="J349" i="9"/>
  <c r="K476" i="9"/>
  <c r="J1409" i="9"/>
  <c r="K1760" i="9"/>
  <c r="K1370" i="9"/>
  <c r="J1387" i="9"/>
  <c r="J644" i="9"/>
  <c r="K1594" i="9"/>
  <c r="J776" i="9"/>
  <c r="J1884" i="9"/>
  <c r="K1568" i="9"/>
  <c r="J1287" i="9"/>
  <c r="J1794" i="9"/>
  <c r="J771" i="9"/>
  <c r="J1118" i="9"/>
  <c r="K724" i="9"/>
  <c r="J1278" i="9"/>
  <c r="J1683" i="9"/>
  <c r="K683" i="9"/>
  <c r="K1406" i="9"/>
  <c r="K1699" i="9"/>
  <c r="K1078" i="9"/>
  <c r="K1557" i="9"/>
  <c r="J1758" i="9"/>
  <c r="K1619" i="9"/>
  <c r="J1718" i="9"/>
  <c r="J677" i="9"/>
  <c r="K840" i="9"/>
  <c r="J748" i="9"/>
  <c r="K778" i="9"/>
  <c r="K1744" i="9"/>
  <c r="J1836" i="9"/>
  <c r="K721" i="9"/>
  <c r="K464" i="9"/>
  <c r="K1058" i="9"/>
  <c r="K1359" i="9"/>
  <c r="J1731" i="9"/>
  <c r="J1885" i="9"/>
  <c r="K1080" i="9"/>
  <c r="J687" i="9"/>
  <c r="J585" i="9"/>
  <c r="K413" i="9"/>
  <c r="K955" i="9"/>
  <c r="K361" i="9"/>
  <c r="J1743" i="9"/>
  <c r="K1650" i="9"/>
  <c r="J1297" i="9"/>
  <c r="K1237" i="9"/>
  <c r="J1622" i="9"/>
  <c r="K282" i="9"/>
  <c r="J778" i="9"/>
  <c r="K327" i="9"/>
  <c r="K1520" i="9"/>
  <c r="J1933" i="9"/>
  <c r="K1009" i="9"/>
  <c r="K1374" i="9"/>
  <c r="J761" i="9"/>
  <c r="K1283" i="9"/>
  <c r="K1670" i="9"/>
  <c r="J1575" i="9"/>
  <c r="K1560" i="9"/>
  <c r="K1312" i="9"/>
  <c r="J1566" i="9"/>
  <c r="K1349" i="9"/>
  <c r="K852" i="9"/>
  <c r="K358" i="9"/>
  <c r="K359" i="9"/>
  <c r="J691" i="9"/>
  <c r="K1706" i="9"/>
  <c r="K1466" i="9"/>
  <c r="J1083" i="9"/>
  <c r="J606" i="9"/>
  <c r="J1162" i="9"/>
  <c r="J930" i="9"/>
  <c r="K1385" i="9"/>
  <c r="J1745" i="9"/>
  <c r="K875" i="9"/>
  <c r="J1268" i="9"/>
  <c r="K1104" i="9"/>
  <c r="K743" i="9"/>
  <c r="K1979" i="9"/>
  <c r="K1118" i="9"/>
  <c r="J406" i="9"/>
  <c r="K682" i="9"/>
  <c r="K462" i="9"/>
  <c r="J896" i="9"/>
  <c r="J442" i="9"/>
  <c r="K1909" i="9"/>
  <c r="J1081" i="9"/>
  <c r="K517" i="9"/>
  <c r="J621" i="9"/>
  <c r="J654" i="9"/>
  <c r="J1168" i="9"/>
  <c r="J1050" i="9"/>
  <c r="J1719" i="9"/>
  <c r="J1886" i="9"/>
  <c r="J680" i="9"/>
  <c r="J936" i="9"/>
  <c r="J1076" i="9"/>
  <c r="J983" i="9"/>
  <c r="K1655" i="9"/>
  <c r="K1969" i="9"/>
  <c r="K1628" i="9"/>
  <c r="J1374" i="9"/>
  <c r="K998" i="9"/>
  <c r="J862" i="9"/>
  <c r="J802" i="9"/>
  <c r="K1763" i="9"/>
  <c r="J979" i="9"/>
  <c r="K1736" i="9"/>
  <c r="J423" i="9"/>
  <c r="J258" i="9"/>
  <c r="K1021" i="9"/>
  <c r="J1738" i="9"/>
  <c r="J820" i="9"/>
  <c r="K646" i="9"/>
  <c r="J330" i="9"/>
  <c r="K1062" i="9"/>
  <c r="K1355" i="9"/>
  <c r="J741" i="9"/>
  <c r="J612" i="9"/>
  <c r="K1585" i="9"/>
  <c r="K1984" i="9"/>
  <c r="J952" i="9"/>
  <c r="K895" i="9"/>
  <c r="J1010" i="9"/>
  <c r="K362" i="9"/>
  <c r="K1694" i="9"/>
  <c r="J706" i="9"/>
  <c r="K784" i="9"/>
  <c r="K2003" i="9"/>
  <c r="J1033" i="9"/>
  <c r="K969" i="9"/>
  <c r="K1033" i="9"/>
  <c r="J1981" i="9"/>
  <c r="K612" i="9"/>
  <c r="J1793" i="9"/>
  <c r="J501" i="9"/>
  <c r="K1453" i="9"/>
  <c r="K609" i="9"/>
  <c r="J363" i="9"/>
  <c r="J926" i="9"/>
  <c r="J1964" i="9"/>
  <c r="K1004" i="9"/>
  <c r="J1139" i="9"/>
  <c r="J1963" i="9"/>
  <c r="J472" i="9"/>
  <c r="K818" i="9"/>
  <c r="K1389" i="9"/>
  <c r="J530" i="9"/>
  <c r="J826" i="9"/>
  <c r="K1326" i="9"/>
  <c r="K433" i="9"/>
  <c r="J673" i="9"/>
  <c r="K346" i="9"/>
  <c r="J1190" i="9"/>
  <c r="K1992" i="9"/>
  <c r="K467" i="9"/>
  <c r="K1264" i="9"/>
  <c r="J347" i="9"/>
  <c r="J453" i="9"/>
  <c r="K488" i="9"/>
  <c r="J1926" i="9"/>
  <c r="K1796" i="9"/>
  <c r="J477" i="9"/>
  <c r="J1225" i="9"/>
  <c r="J1592" i="9"/>
  <c r="K1562" i="9"/>
  <c r="J978" i="9"/>
  <c r="J1673" i="9"/>
  <c r="K1836" i="9"/>
  <c r="K1416" i="9"/>
  <c r="K1012" i="9"/>
  <c r="J1258" i="9"/>
  <c r="J1584" i="9"/>
  <c r="K407" i="9"/>
  <c r="J1949" i="9"/>
  <c r="K260" i="9"/>
  <c r="J329" i="9"/>
  <c r="K575" i="9"/>
  <c r="K1634" i="9"/>
  <c r="K1942" i="9"/>
  <c r="K756" i="9"/>
  <c r="J1471" i="9"/>
  <c r="K854" i="9"/>
  <c r="J1898" i="9"/>
  <c r="J1399" i="9"/>
  <c r="K1728" i="9"/>
  <c r="K1026" i="9"/>
  <c r="J719" i="9"/>
  <c r="J514" i="9"/>
  <c r="J1702" i="9"/>
  <c r="K1249" i="9"/>
  <c r="J845" i="9"/>
  <c r="K1460" i="9"/>
  <c r="K1117" i="9"/>
  <c r="J309" i="9"/>
  <c r="J1466" i="9"/>
  <c r="K867" i="9"/>
  <c r="K1718" i="9"/>
  <c r="K1162" i="9"/>
  <c r="K783" i="9"/>
  <c r="K1667" i="9"/>
  <c r="J1947" i="9"/>
  <c r="J709" i="9"/>
  <c r="J1416" i="9"/>
  <c r="K590" i="9"/>
  <c r="K529" i="9"/>
  <c r="J1507" i="9"/>
  <c r="J1292" i="9"/>
  <c r="K871" i="9"/>
  <c r="J701" i="9"/>
  <c r="K750" i="9"/>
  <c r="J877" i="9"/>
  <c r="K342" i="9"/>
  <c r="K830" i="9"/>
  <c r="J1791" i="9"/>
  <c r="J1780" i="9"/>
  <c r="K572" i="9"/>
  <c r="J1121" i="9"/>
  <c r="K1641" i="9"/>
  <c r="J1903" i="9"/>
  <c r="K1953" i="9"/>
  <c r="K921" i="9"/>
  <c r="K1129" i="9"/>
  <c r="J489" i="9"/>
  <c r="J795" i="9"/>
  <c r="J1816" i="9"/>
  <c r="K868" i="9"/>
  <c r="J730" i="9"/>
  <c r="J1739" i="9"/>
  <c r="J1207" i="9"/>
  <c r="K1252" i="9"/>
  <c r="J1483" i="9"/>
  <c r="J536" i="9"/>
  <c r="K1071" i="9"/>
  <c r="J1451" i="9"/>
  <c r="K563" i="9"/>
  <c r="J686" i="9"/>
  <c r="K1931" i="9"/>
  <c r="J573" i="9"/>
  <c r="J1212" i="9"/>
  <c r="J1217" i="9"/>
  <c r="K577" i="9"/>
  <c r="J1433" i="9"/>
  <c r="K1586" i="9"/>
  <c r="J965" i="9"/>
  <c r="J745" i="9"/>
  <c r="J649" i="9"/>
  <c r="K1528" i="9"/>
  <c r="J1952" i="9"/>
  <c r="K663" i="9"/>
  <c r="K938" i="9"/>
  <c r="J1522" i="9"/>
  <c r="K1607" i="9"/>
  <c r="J786" i="9"/>
  <c r="K1430" i="9"/>
  <c r="J378" i="9"/>
  <c r="J975" i="9"/>
  <c r="K1940" i="9"/>
  <c r="K368" i="9"/>
  <c r="J994" i="9"/>
  <c r="K1789" i="9"/>
  <c r="J1990" i="9"/>
  <c r="J1392" i="9"/>
  <c r="K1903" i="9"/>
  <c r="K821" i="9"/>
  <c r="K1679" i="9"/>
  <c r="K777" i="9"/>
  <c r="K549" i="9"/>
  <c r="K352" i="9"/>
  <c r="J311" i="9"/>
  <c r="J904" i="9"/>
  <c r="K1868" i="9"/>
  <c r="J1406" i="9"/>
  <c r="J1119" i="9"/>
  <c r="J1484" i="9"/>
  <c r="J1124" i="9"/>
  <c r="J1427" i="9"/>
  <c r="J1120" i="9"/>
  <c r="J1810" i="9"/>
  <c r="K434" i="9"/>
  <c r="J849" i="9"/>
  <c r="J1824" i="9"/>
  <c r="K800" i="9"/>
  <c r="K471" i="9"/>
  <c r="J626" i="9"/>
  <c r="K621" i="9"/>
  <c r="J1352" i="9"/>
  <c r="K983" i="9"/>
  <c r="J368" i="9"/>
  <c r="J586" i="9"/>
  <c r="J920" i="9"/>
  <c r="J1328" i="9"/>
  <c r="K1866" i="9"/>
  <c r="K1498" i="9"/>
  <c r="J1086" i="9"/>
  <c r="J1544" i="9"/>
  <c r="K1240" i="9"/>
  <c r="K2006" i="9"/>
  <c r="J1240" i="9"/>
  <c r="K1059" i="9"/>
  <c r="J827" i="9"/>
  <c r="K1649" i="9"/>
  <c r="K1799" i="9"/>
  <c r="K2002" i="9"/>
  <c r="K1725" i="9"/>
  <c r="J455" i="9"/>
  <c r="K1652" i="9"/>
  <c r="K1777" i="9"/>
  <c r="J360" i="9"/>
  <c r="K1018" i="9"/>
  <c r="K1900" i="9"/>
  <c r="J1773" i="9"/>
  <c r="J1251" i="9"/>
  <c r="J1853" i="9"/>
  <c r="K1637" i="9"/>
  <c r="J1429" i="9"/>
  <c r="K1529" i="9"/>
  <c r="J1774" i="9"/>
  <c r="K909" i="9"/>
  <c r="J379" i="9"/>
  <c r="J1796" i="9"/>
  <c r="J624" i="9"/>
  <c r="K1455" i="9"/>
  <c r="K1740" i="9"/>
  <c r="K861" i="9"/>
  <c r="J1610" i="9"/>
  <c r="K1629" i="9"/>
  <c r="K1468" i="9"/>
  <c r="J852" i="9"/>
  <c r="K393" i="9"/>
  <c r="J657" i="9"/>
  <c r="J681" i="9"/>
  <c r="K1935" i="9"/>
  <c r="K1685" i="9"/>
  <c r="J270" i="9"/>
  <c r="K355" i="9"/>
  <c r="J1275" i="9"/>
  <c r="K526" i="9"/>
  <c r="K1546" i="9"/>
  <c r="J339" i="9"/>
  <c r="K1876" i="9"/>
  <c r="J1825" i="9"/>
  <c r="K849" i="9"/>
  <c r="K1193" i="9"/>
  <c r="J549" i="9"/>
  <c r="J507" i="9"/>
  <c r="K1358" i="9"/>
  <c r="J1861" i="9"/>
  <c r="J1982" i="9"/>
  <c r="K1514" i="9"/>
  <c r="J1921" i="9"/>
  <c r="J1450" i="9"/>
  <c r="K1444" i="9"/>
  <c r="J1499" i="9"/>
  <c r="K273" i="9"/>
  <c r="K1941" i="9"/>
  <c r="J284" i="9"/>
  <c r="K1333" i="9"/>
  <c r="J594" i="9"/>
  <c r="K1188" i="9"/>
  <c r="K1810" i="9"/>
  <c r="J533" i="9"/>
  <c r="J861" i="9"/>
  <c r="J1869" i="9"/>
  <c r="J319" i="9"/>
  <c r="J791" i="9"/>
  <c r="K1841" i="9"/>
  <c r="K1640" i="9"/>
  <c r="J1727" i="9"/>
  <c r="J931" i="9"/>
  <c r="J1860" i="9"/>
  <c r="K916" i="9"/>
  <c r="J1725" i="9"/>
  <c r="J756" i="9"/>
  <c r="J1204" i="9"/>
  <c r="J389" i="9"/>
  <c r="J679" i="9"/>
  <c r="J1152" i="9"/>
  <c r="J1697" i="9"/>
  <c r="K902" i="9"/>
  <c r="K1877" i="9"/>
  <c r="J1073" i="9"/>
  <c r="J1927" i="9"/>
  <c r="J1017" i="9"/>
  <c r="J384" i="9"/>
  <c r="K547" i="9"/>
  <c r="K1364" i="9"/>
  <c r="K764" i="9"/>
  <c r="K1446" i="9"/>
  <c r="K657" i="9"/>
  <c r="K1177" i="9"/>
  <c r="J1412" i="9"/>
  <c r="J660" i="9"/>
  <c r="K1269" i="9"/>
  <c r="K307" i="9"/>
  <c r="K308" i="9"/>
  <c r="K1106" i="9"/>
  <c r="K1376" i="9"/>
  <c r="K306" i="9"/>
  <c r="J538" i="9"/>
  <c r="J1198" i="9"/>
  <c r="J547" i="9"/>
  <c r="K1128" i="9"/>
  <c r="K1656" i="9"/>
  <c r="J1703" i="9"/>
  <c r="K1673" i="9"/>
  <c r="K373" i="9"/>
  <c r="K580" i="9"/>
  <c r="K586" i="9"/>
  <c r="J562" i="9"/>
  <c r="K408" i="9"/>
  <c r="J1032" i="9"/>
  <c r="K589" i="9"/>
  <c r="J632" i="9"/>
  <c r="J850" i="9"/>
  <c r="K1467" i="9"/>
  <c r="K318" i="9"/>
  <c r="J383" i="9"/>
  <c r="K827" i="9"/>
  <c r="K412" i="9"/>
  <c r="J391" i="9"/>
  <c r="K1060" i="9"/>
  <c r="K1007" i="9"/>
  <c r="J428" i="9"/>
  <c r="K1052" i="9"/>
  <c r="J315" i="9"/>
  <c r="K1292" i="9"/>
  <c r="K1481" i="9"/>
  <c r="K781" i="9"/>
  <c r="J1603" i="9"/>
  <c r="J1790" i="9"/>
  <c r="K565" i="9"/>
  <c r="J1989" i="9"/>
  <c r="J1701" i="9"/>
  <c r="J1843" i="9"/>
  <c r="J1988" i="9"/>
  <c r="J1228" i="9"/>
  <c r="K1808" i="9"/>
  <c r="J1501" i="9"/>
  <c r="J1922" i="9"/>
  <c r="K1324" i="9"/>
  <c r="J1828" i="9"/>
  <c r="K913" i="9"/>
  <c r="J328" i="9"/>
  <c r="K416" i="9"/>
  <c r="J980" i="9"/>
  <c r="J1431" i="9"/>
  <c r="J483" i="9"/>
  <c r="K404" i="9"/>
  <c r="K508" i="9"/>
  <c r="J885" i="9"/>
  <c r="J1852" i="9"/>
  <c r="J1548" i="9"/>
  <c r="J415" i="9"/>
  <c r="K1091" i="9"/>
  <c r="K1102" i="9"/>
  <c r="J945" i="9"/>
  <c r="J1078" i="9"/>
  <c r="K1733" i="9"/>
  <c r="K1031" i="9"/>
  <c r="J1991" i="9"/>
  <c r="J1965" i="9"/>
  <c r="J933" i="9"/>
  <c r="K711" i="9"/>
  <c r="J1302" i="9"/>
  <c r="J318" i="9"/>
  <c r="K1029" i="9"/>
  <c r="J808" i="9"/>
  <c r="J665" i="9"/>
  <c r="J831" i="9"/>
  <c r="K1261" i="9"/>
  <c r="K1734" i="9"/>
  <c r="K1612" i="9"/>
  <c r="J1722" i="9"/>
  <c r="J1807" i="9"/>
  <c r="K1553" i="9"/>
  <c r="J1009" i="9"/>
  <c r="K1275" i="9"/>
  <c r="K968" i="9"/>
  <c r="K1489" i="9"/>
  <c r="K826" i="9"/>
  <c r="K1233" i="9"/>
  <c r="K796" i="9"/>
  <c r="K662" i="9"/>
  <c r="J1107" i="9"/>
  <c r="K1878" i="9"/>
  <c r="J683" i="9"/>
  <c r="K1852" i="9"/>
  <c r="J775" i="9"/>
  <c r="K527" i="9"/>
  <c r="K1951" i="9"/>
  <c r="K1524" i="9"/>
  <c r="K1859" i="9"/>
  <c r="J1020" i="9"/>
  <c r="K1700" i="9"/>
  <c r="K759" i="9"/>
  <c r="K499" i="9"/>
  <c r="J1166" i="9"/>
  <c r="J1440" i="9"/>
  <c r="K848" i="9"/>
  <c r="J1618" i="9"/>
  <c r="K1023" i="9"/>
  <c r="J1365" i="9"/>
  <c r="K439" i="9"/>
  <c r="K738" i="9"/>
  <c r="J682" i="9"/>
  <c r="J742" i="9"/>
  <c r="J1074" i="9"/>
  <c r="K515" i="9"/>
  <c r="K1858" i="9"/>
  <c r="J327" i="9"/>
  <c r="J1151" i="9"/>
  <c r="K1002" i="9"/>
  <c r="K472" i="9"/>
  <c r="J555" i="9"/>
  <c r="J1149" i="9"/>
  <c r="K1395" i="9"/>
  <c r="K1008" i="9"/>
  <c r="J813" i="9"/>
  <c r="J1415" i="9"/>
  <c r="J916" i="9"/>
  <c r="K1939" i="9"/>
  <c r="K309" i="9"/>
  <c r="J1815" i="9"/>
  <c r="J1423" i="9"/>
  <c r="K651" i="9"/>
  <c r="J750" i="9"/>
  <c r="J1157" i="9"/>
  <c r="K349" i="9"/>
  <c r="K417" i="9"/>
  <c r="K1120" i="9"/>
  <c r="J583" i="9"/>
  <c r="K761" i="9"/>
  <c r="J1465" i="9"/>
  <c r="K1883" i="9"/>
  <c r="K1844" i="9"/>
  <c r="K1540" i="9"/>
  <c r="J1203" i="9"/>
  <c r="K1996" i="9"/>
  <c r="J1950" i="9"/>
  <c r="K1774" i="9"/>
  <c r="J1875" i="9"/>
  <c r="J1294" i="9"/>
  <c r="J1516" i="9"/>
  <c r="J570" i="9"/>
  <c r="K1250" i="9"/>
  <c r="J273" i="9"/>
  <c r="K1373" i="9"/>
  <c r="K1516" i="9"/>
  <c r="K1846" i="9"/>
  <c r="K1999" i="9"/>
  <c r="K425" i="9"/>
  <c r="J753" i="9"/>
  <c r="J894" i="9"/>
  <c r="K1217" i="9"/>
  <c r="J1156" i="9"/>
  <c r="J832" i="9"/>
  <c r="J725" i="9"/>
  <c r="J1687" i="9"/>
  <c r="K1075" i="9"/>
  <c r="J1015" i="9"/>
  <c r="K880" i="9"/>
  <c r="J1361" i="9"/>
  <c r="K1061" i="9"/>
  <c r="J1022" i="9"/>
  <c r="K1057" i="9"/>
  <c r="K989" i="9"/>
  <c r="K1824" i="9"/>
  <c r="K274" i="9"/>
  <c r="K493" i="9"/>
  <c r="J1935" i="9"/>
  <c r="K1087" i="9"/>
  <c r="K785" i="9"/>
  <c r="J1194" i="9"/>
  <c r="K845" i="9"/>
  <c r="J1674" i="9"/>
  <c r="J1334" i="9"/>
  <c r="J669" i="9"/>
  <c r="K1512" i="9"/>
  <c r="K1705" i="9"/>
  <c r="K1711" i="9"/>
  <c r="J1351" i="9"/>
  <c r="K1609" i="9"/>
  <c r="J1724" i="9"/>
  <c r="K1274" i="9"/>
  <c r="K1603" i="9"/>
  <c r="K395" i="9"/>
  <c r="J1671" i="9"/>
  <c r="J1675" i="9"/>
  <c r="J1938" i="9"/>
  <c r="J935" i="9"/>
  <c r="K1241" i="9"/>
  <c r="K1270" i="9"/>
  <c r="J1096" i="9"/>
  <c r="J1711" i="9"/>
  <c r="J1452" i="9"/>
  <c r="J696" i="9"/>
  <c r="J1762" i="9"/>
  <c r="J1239" i="9"/>
  <c r="J398" i="9"/>
  <c r="K1770" i="9"/>
  <c r="K1503" i="9"/>
  <c r="J1893" i="9"/>
  <c r="J974" i="9"/>
  <c r="K1721" i="9"/>
  <c r="J1538" i="9"/>
  <c r="K1680" i="9"/>
  <c r="J1464" i="9"/>
  <c r="J388" i="9"/>
  <c r="J1891" i="9"/>
  <c r="J1820" i="9"/>
  <c r="J991" i="9"/>
  <c r="K505" i="9"/>
  <c r="J726" i="9"/>
  <c r="J1006" i="9"/>
  <c r="K1432" i="9"/>
  <c r="K313" i="9"/>
  <c r="K856" i="9"/>
  <c r="K478" i="9"/>
  <c r="K1710" i="9"/>
  <c r="K1582" i="9"/>
  <c r="J1202" i="9"/>
  <c r="K924" i="9"/>
  <c r="K629" i="9"/>
  <c r="K588" i="9"/>
  <c r="J1620" i="9"/>
  <c r="K1243" i="9"/>
  <c r="J386" i="9"/>
  <c r="K691" i="9"/>
  <c r="K1156" i="9"/>
  <c r="K598" i="9"/>
  <c r="K350" i="9"/>
  <c r="J616" i="9"/>
  <c r="K1729" i="9"/>
  <c r="K1829" i="9"/>
  <c r="J1306" i="9"/>
  <c r="J579" i="9"/>
  <c r="J977" i="9"/>
  <c r="J986" i="9"/>
  <c r="K1076" i="9"/>
  <c r="K1541" i="9"/>
  <c r="J1255" i="9"/>
  <c r="J1271" i="9"/>
  <c r="J1666" i="9"/>
  <c r="J1560" i="9"/>
  <c r="J1288" i="9"/>
  <c r="J875" i="9"/>
  <c r="J891" i="9"/>
  <c r="J1353" i="9"/>
  <c r="K884" i="9"/>
  <c r="J1994" i="9"/>
  <c r="J1398" i="9"/>
  <c r="K299" i="9"/>
  <c r="J1218" i="9"/>
  <c r="J490" i="9"/>
  <c r="J1441" i="9"/>
  <c r="J1479" i="9"/>
  <c r="J1143" i="9"/>
  <c r="J964" i="9"/>
  <c r="K1123" i="9"/>
  <c r="J1754" i="9"/>
  <c r="K1340" i="9"/>
  <c r="K1506" i="9"/>
  <c r="J1363" i="9"/>
  <c r="J420" i="9"/>
  <c r="J1147" i="9"/>
  <c r="J1865" i="9"/>
  <c r="J803" i="9"/>
  <c r="K1922" i="9"/>
  <c r="K789" i="9"/>
  <c r="K688" i="9"/>
  <c r="K1196" i="9"/>
  <c r="K961" i="9"/>
  <c r="K1863" i="9"/>
  <c r="J1546" i="9"/>
  <c r="J1135" i="9"/>
  <c r="J587" i="9"/>
  <c r="K1005" i="9"/>
  <c r="J296" i="9"/>
  <c r="K1574" i="9"/>
  <c r="J348" i="9"/>
  <c r="J1956" i="9"/>
  <c r="J356" i="9"/>
  <c r="J968" i="9"/>
  <c r="J1029" i="9"/>
  <c r="J634" i="9"/>
  <c r="J1248" i="9"/>
  <c r="J1310" i="9"/>
  <c r="J1172" i="9"/>
  <c r="K940" i="9"/>
  <c r="K1362" i="9"/>
  <c r="K261" i="9"/>
  <c r="J552" i="9"/>
  <c r="K751" i="9"/>
  <c r="K469" i="9"/>
  <c r="J411" i="9"/>
  <c r="K1046" i="9"/>
  <c r="J1863" i="9"/>
  <c r="J1670" i="9"/>
  <c r="J1505" i="9"/>
  <c r="J1117" i="9"/>
  <c r="K1636" i="9"/>
  <c r="J1485" i="9"/>
  <c r="K1702" i="9"/>
  <c r="J2004" i="9"/>
  <c r="J426" i="9"/>
  <c r="J427" i="9"/>
  <c r="K1980" i="9"/>
  <c r="K1964" i="9"/>
  <c r="J1700" i="9"/>
  <c r="J1182" i="9"/>
  <c r="J1647" i="9"/>
  <c r="K431" i="9"/>
  <c r="K276" i="9"/>
  <c r="J519" i="9"/>
  <c r="J1109" i="9"/>
  <c r="J639" i="9"/>
  <c r="J754" i="9"/>
  <c r="K795" i="9"/>
  <c r="J943" i="9"/>
  <c r="J1646" i="9"/>
  <c r="J1195" i="9"/>
  <c r="J1314" i="9"/>
  <c r="J1733" i="9"/>
  <c r="J901" i="9"/>
  <c r="K703" i="9"/>
  <c r="K726" i="9"/>
  <c r="K491" i="9"/>
  <c r="K535" i="9"/>
  <c r="K1623" i="9"/>
  <c r="J1770" i="9"/>
  <c r="J1205" i="9"/>
  <c r="K758" i="9"/>
  <c r="J1493" i="9"/>
  <c r="J1370" i="9"/>
  <c r="J1222" i="9"/>
  <c r="J1569" i="9"/>
  <c r="J856" i="9"/>
  <c r="K487" i="9"/>
  <c r="J1396" i="9"/>
  <c r="K1948" i="9"/>
  <c r="K1494" i="9"/>
  <c r="J737" i="9"/>
  <c r="K538" i="9"/>
  <c r="J1367" i="9"/>
  <c r="K631" i="9"/>
  <c r="K667" i="9"/>
  <c r="K1487" i="9"/>
  <c r="J278" i="9"/>
  <c r="J971" i="9"/>
  <c r="J408" i="9"/>
  <c r="J1242" i="9"/>
  <c r="J859" i="9"/>
  <c r="K1182" i="9"/>
  <c r="J1077" i="9"/>
  <c r="J1018" i="9"/>
  <c r="J397" i="9"/>
  <c r="J1126" i="9"/>
  <c r="K888" i="9"/>
  <c r="K660" i="9"/>
  <c r="K280" i="9"/>
  <c r="K1159" i="9"/>
  <c r="J357" i="9"/>
  <c r="K1090" i="9"/>
  <c r="J1706" i="9"/>
  <c r="K1037" i="9"/>
  <c r="J1045" i="9"/>
  <c r="J788" i="9"/>
  <c r="K1236" i="9"/>
  <c r="J1397" i="9"/>
  <c r="J1376" i="9"/>
  <c r="J1819" i="9"/>
  <c r="J264" i="9"/>
  <c r="K652" i="9"/>
  <c r="K560" i="9"/>
  <c r="K892" i="9"/>
  <c r="J1267" i="9"/>
  <c r="K1689" i="9"/>
  <c r="J1942" i="9"/>
  <c r="K525" i="9"/>
  <c r="K1622" i="9"/>
  <c r="J1280" i="9"/>
  <c r="K803" i="9"/>
  <c r="K1169" i="9"/>
  <c r="K1920" i="9"/>
  <c r="K1141" i="9"/>
  <c r="J473" i="9"/>
  <c r="J1041" i="9"/>
  <c r="K1513" i="9"/>
  <c r="K480" i="9"/>
  <c r="K492" i="9"/>
  <c r="K717" i="9"/>
  <c r="J322" i="9"/>
  <c r="J572" i="9"/>
  <c r="J1821" i="9"/>
  <c r="J653" i="9"/>
  <c r="J1589" i="9"/>
  <c r="K418" i="9"/>
  <c r="K1995" i="9"/>
  <c r="K485" i="9"/>
  <c r="K481" i="9"/>
  <c r="K1753" i="9"/>
  <c r="J1426" i="9"/>
  <c r="K1255" i="9"/>
  <c r="K1267" i="9"/>
  <c r="J1390" i="9"/>
  <c r="J1756" i="9"/>
  <c r="J1375" i="9"/>
  <c r="J777" i="9"/>
  <c r="J1428" i="9"/>
  <c r="J1434" i="9"/>
  <c r="K1956" i="9"/>
  <c r="K1210" i="9"/>
  <c r="J436" i="9"/>
  <c r="J1987" i="9"/>
  <c r="J1446" i="9"/>
  <c r="K859" i="9"/>
  <c r="J869" i="9"/>
  <c r="K949" i="9"/>
  <c r="J1970" i="9"/>
  <c r="K441" i="9"/>
  <c r="J1665" i="9"/>
  <c r="K1990" i="9"/>
  <c r="J743" i="9"/>
  <c r="K1659" i="9"/>
  <c r="K522" i="9"/>
  <c r="J1590" i="9"/>
  <c r="J958" i="9"/>
  <c r="K502" i="9"/>
  <c r="K630" i="9"/>
  <c r="J504" i="9"/>
  <c r="J1829" i="9"/>
  <c r="J1915" i="9"/>
  <c r="J744" i="9"/>
  <c r="K1300" i="9"/>
  <c r="J342" i="9"/>
  <c r="J568" i="9"/>
  <c r="J1359" i="9"/>
  <c r="K287" i="9"/>
  <c r="K1025" i="9"/>
  <c r="K1559" i="9"/>
  <c r="J734" i="9"/>
  <c r="J874" i="9"/>
  <c r="J1048" i="9"/>
  <c r="K1228" i="9"/>
  <c r="J635" i="9"/>
  <c r="K1307" i="9"/>
  <c r="J1779" i="9"/>
  <c r="J1561" i="9"/>
  <c r="K1985" i="9"/>
  <c r="K1946" i="9"/>
  <c r="K1111" i="9"/>
  <c r="K1421" i="9"/>
  <c r="J1064" i="9"/>
  <c r="K644" i="9"/>
  <c r="J1327" i="9"/>
  <c r="J503" i="9"/>
  <c r="K1220" i="9"/>
  <c r="K1305" i="9"/>
  <c r="J601" i="9"/>
  <c r="J956" i="9"/>
  <c r="K1206" i="9"/>
  <c r="J1307" i="9"/>
  <c r="K1363" i="9"/>
  <c r="K1201" i="9"/>
  <c r="J1068" i="9"/>
  <c r="J584" i="9"/>
  <c r="K1967" i="9"/>
  <c r="J650" i="9"/>
  <c r="J1525" i="9"/>
  <c r="J444" i="9"/>
  <c r="K774" i="9"/>
  <c r="J481" i="9"/>
  <c r="K270" i="9"/>
  <c r="K1544" i="9"/>
  <c r="J1266" i="9"/>
  <c r="J433" i="9"/>
  <c r="K603" i="9"/>
  <c r="J1672" i="9"/>
  <c r="J1847" i="9"/>
  <c r="K745" i="9"/>
  <c r="K771" i="9"/>
  <c r="J437" i="9"/>
  <c r="K1081" i="9"/>
  <c r="K1276" i="9"/>
  <c r="K1168" i="9"/>
  <c r="J1897" i="9"/>
  <c r="J1393" i="9"/>
  <c r="J259" i="9"/>
  <c r="K498" i="9"/>
  <c r="K1048" i="9"/>
  <c r="J1174" i="9"/>
  <c r="J1339" i="9"/>
  <c r="J1959" i="9"/>
  <c r="J888" i="9"/>
  <c r="J844" i="9"/>
  <c r="K1113" i="9"/>
  <c r="J1349" i="9"/>
  <c r="J1238" i="9"/>
  <c r="K1437" i="9"/>
  <c r="J867" i="9"/>
  <c r="K833" i="9"/>
  <c r="K1515" i="9"/>
  <c r="J1368" i="9"/>
  <c r="J1494" i="9"/>
  <c r="K1367" i="9"/>
  <c r="K999" i="9"/>
  <c r="J1213" i="9"/>
  <c r="K1245" i="9"/>
  <c r="J1085" i="9"/>
  <c r="K1798" i="9"/>
  <c r="K1988" i="9"/>
  <c r="J1039" i="9"/>
  <c r="J785" i="9"/>
  <c r="J704" i="9"/>
  <c r="J1568" i="9"/>
  <c r="K440" i="9"/>
  <c r="K1279" i="9"/>
  <c r="J637" i="9"/>
  <c r="J969" i="9"/>
  <c r="J829" i="9"/>
  <c r="J615" i="9"/>
  <c r="K1895" i="9"/>
  <c r="K2001" i="9"/>
  <c r="K695" i="9"/>
  <c r="J1868" i="9"/>
  <c r="J828" i="9"/>
  <c r="J1282" i="9"/>
  <c r="J1669" i="9"/>
  <c r="J364" i="9"/>
  <c r="K762" i="9"/>
  <c r="J265" i="9"/>
  <c r="J1643" i="9"/>
  <c r="J1176" i="9"/>
  <c r="K399" i="9"/>
  <c r="J1104" i="9"/>
  <c r="K1898" i="9"/>
  <c r="J1184" i="9"/>
  <c r="J558" i="9"/>
  <c r="K288" i="9"/>
  <c r="K1959" i="9"/>
  <c r="J1167" i="9"/>
  <c r="K1459" i="9"/>
  <c r="J1888" i="9"/>
  <c r="J1246" i="9"/>
  <c r="J1467" i="9"/>
  <c r="K737" i="9"/>
  <c r="K372" i="9"/>
  <c r="J292" i="9"/>
  <c r="K2005" i="9"/>
  <c r="J1338" i="9"/>
  <c r="K1479" i="9"/>
  <c r="J1057" i="9"/>
  <c r="J1637" i="9"/>
  <c r="K1077" i="9"/>
  <c r="J528" i="9"/>
  <c r="K537" i="9"/>
  <c r="K681" i="9"/>
  <c r="K728" i="9"/>
  <c r="K1369" i="9"/>
  <c r="K474" i="9"/>
  <c r="J694" i="9"/>
  <c r="K896" i="9"/>
  <c r="J1160" i="9"/>
  <c r="J1771" i="9"/>
  <c r="J1026" i="9"/>
  <c r="J823" i="9"/>
  <c r="K1738" i="9"/>
  <c r="K579" i="9"/>
  <c r="J720" i="9"/>
  <c r="K786" i="9"/>
  <c r="J395" i="9"/>
  <c r="K1224" i="9"/>
  <c r="K1530" i="9"/>
  <c r="J1442" i="9"/>
  <c r="J678" i="9"/>
  <c r="K1551" i="9"/>
  <c r="K1759" i="9"/>
  <c r="J331" i="9"/>
  <c r="J276" i="9"/>
  <c r="J1313" i="9"/>
  <c r="K1074" i="9"/>
  <c r="K1867" i="9"/>
  <c r="K1403" i="9"/>
  <c r="J540" i="9"/>
  <c r="J290" i="9"/>
  <c r="J1155" i="9"/>
  <c r="J912" i="9"/>
  <c r="K1693" i="9"/>
  <c r="K1910" i="9"/>
  <c r="K1720" i="9"/>
  <c r="K1288" i="9"/>
  <c r="J1634" i="9"/>
  <c r="K587" i="9"/>
  <c r="J1977" i="9"/>
  <c r="K518" i="9"/>
  <c r="J534" i="9"/>
  <c r="J1830" i="9"/>
  <c r="J918" i="9"/>
  <c r="K545" i="9"/>
  <c r="K1072" i="9"/>
  <c r="K1797" i="9"/>
  <c r="J1572" i="9"/>
  <c r="J1593" i="9"/>
  <c r="K1974" i="9"/>
  <c r="K1627" i="9"/>
  <c r="K1082" i="9"/>
  <c r="J1934" i="9"/>
  <c r="J1477" i="9"/>
  <c r="K1100" i="9"/>
  <c r="J1273" i="9"/>
  <c r="J864" i="9"/>
  <c r="K1750" i="9"/>
  <c r="K767" i="9"/>
  <c r="J1871" i="9"/>
  <c r="K747" i="9"/>
  <c r="K1407" i="9"/>
  <c r="K1054" i="9"/>
  <c r="K626" i="9"/>
  <c r="J1435" i="9"/>
  <c r="J1591" i="9"/>
  <c r="K501" i="9"/>
  <c r="K1338" i="9"/>
  <c r="J1113" i="9"/>
  <c r="J458" i="9"/>
  <c r="K671" i="9"/>
  <c r="K1069" i="9"/>
  <c r="J1630" i="9"/>
  <c r="K553" i="9"/>
  <c r="K1688" i="9"/>
  <c r="K1474" i="9"/>
  <c r="J731" i="9"/>
  <c r="J879" i="9"/>
  <c r="J1236" i="9"/>
  <c r="K1507" i="9"/>
  <c r="K379" i="9"/>
  <c r="K1183" i="9"/>
  <c r="J1019" i="9"/>
  <c r="J393" i="9"/>
  <c r="J523" i="9"/>
  <c r="J1617" i="9"/>
  <c r="K1531" i="9"/>
  <c r="J373" i="9"/>
  <c r="J1528" i="9"/>
  <c r="K436" i="9"/>
  <c r="J716" i="9"/>
  <c r="K1163" i="9"/>
  <c r="K702" i="9"/>
  <c r="K1409" i="9"/>
  <c r="K841" i="9"/>
  <c r="J340" i="9"/>
  <c r="J2000" i="9"/>
  <c r="J996" i="9"/>
  <c r="K997" i="9"/>
  <c r="J1046" i="9"/>
  <c r="K862" i="9"/>
  <c r="J1487" i="9"/>
  <c r="K978" i="9"/>
  <c r="J324" i="9"/>
  <c r="J1527" i="9"/>
  <c r="J953" i="9"/>
  <c r="K555" i="9"/>
  <c r="K1891" i="9"/>
  <c r="J336" i="9"/>
  <c r="K979" i="9"/>
  <c r="J285" i="9"/>
  <c r="J925" i="9"/>
  <c r="J561" i="9"/>
  <c r="K1205" i="9"/>
  <c r="K1837" i="9"/>
  <c r="J550" i="9"/>
  <c r="K301" i="9"/>
  <c r="K1972" i="9"/>
  <c r="J1746" i="9"/>
  <c r="K1936" i="9"/>
  <c r="J1044" i="9"/>
  <c r="J1384" i="9"/>
  <c r="K1812" i="9"/>
  <c r="J889" i="9"/>
  <c r="K748" i="9"/>
  <c r="K1462" i="9"/>
  <c r="K1604" i="9"/>
  <c r="K1265" i="9"/>
  <c r="K1469" i="9"/>
  <c r="J880" i="9"/>
  <c r="J1905" i="9"/>
  <c r="K1293" i="9"/>
  <c r="J1383" i="9"/>
  <c r="K770" i="9"/>
  <c r="K980" i="9"/>
  <c r="K1911" i="9"/>
  <c r="J866" i="9"/>
  <c r="K757" i="9"/>
  <c r="J784" i="9"/>
  <c r="K453" i="9"/>
  <c r="J1680" i="9"/>
  <c r="K1954" i="9"/>
  <c r="J1624" i="9"/>
  <c r="J1171" i="9"/>
  <c r="J1605" i="9"/>
  <c r="K1626" i="9"/>
  <c r="J375" i="9"/>
  <c r="J1901" i="9"/>
  <c r="K1258" i="9"/>
  <c r="K1593" i="9"/>
  <c r="K1216" i="9"/>
  <c r="K548" i="9"/>
  <c r="J607" i="9"/>
  <c r="K608" i="9"/>
  <c r="K295" i="9"/>
  <c r="J1960" i="9"/>
  <c r="K1998" i="9"/>
  <c r="J1751" i="9"/>
  <c r="K1872" i="9"/>
  <c r="J1488" i="9"/>
  <c r="J1481" i="9"/>
  <c r="J1797" i="9"/>
  <c r="K1781" i="9"/>
  <c r="K470" i="9"/>
  <c r="K1266" i="9"/>
  <c r="J712" i="9"/>
  <c r="J1269" i="9"/>
  <c r="J1088" i="9"/>
  <c r="K807" i="9"/>
  <c r="J1123" i="9"/>
  <c r="J1969" i="9"/>
  <c r="J1177" i="9"/>
  <c r="J858" i="9"/>
  <c r="J906" i="9"/>
  <c r="K1660" i="9"/>
  <c r="K581" i="9"/>
  <c r="J1685" i="9"/>
  <c r="K1327" i="9"/>
  <c r="K950" i="9"/>
  <c r="K1136" i="9"/>
  <c r="K1199" i="9"/>
  <c r="J893" i="9"/>
  <c r="J1655" i="9"/>
  <c r="K1779" i="9"/>
  <c r="K509" i="9"/>
  <c r="K788" i="9"/>
  <c r="J982" i="9"/>
  <c r="J1694" i="9"/>
  <c r="J1954" i="9"/>
  <c r="K649" i="9"/>
  <c r="K718" i="9"/>
  <c r="J900" i="9"/>
  <c r="J1340" i="9"/>
  <c r="K1174" i="9"/>
  <c r="K1624" i="9"/>
  <c r="K592" i="9"/>
  <c r="K1311" i="9"/>
  <c r="K1771" i="9"/>
  <c r="K1943" i="9"/>
  <c r="J1521" i="9"/>
  <c r="J1146" i="9"/>
  <c r="K1398" i="9"/>
  <c r="J1917" i="9"/>
  <c r="K1543" i="9"/>
  <c r="K1227" i="9"/>
  <c r="J1728" i="9"/>
  <c r="K370" i="9"/>
  <c r="K1545" i="9"/>
  <c r="J789" i="9"/>
  <c r="K1850" i="9"/>
  <c r="K676" i="9"/>
  <c r="K1464" i="9"/>
  <c r="K1597" i="9"/>
  <c r="K591" i="9"/>
  <c r="J1533" i="9"/>
  <c r="K262" i="9"/>
  <c r="J1254" i="9"/>
  <c r="K1181" i="9"/>
  <c r="K675" i="9"/>
  <c r="K1534" i="9"/>
  <c r="J1279" i="9"/>
  <c r="K746" i="9"/>
  <c r="K905" i="9"/>
  <c r="J1812" i="9"/>
  <c r="K331" i="9"/>
  <c r="J1125" i="9"/>
  <c r="K1842" i="9"/>
  <c r="K1811" i="9"/>
  <c r="K1067" i="9"/>
  <c r="J1274" i="9"/>
  <c r="K1923" i="9"/>
  <c r="J1864" i="9"/>
  <c r="J1608" i="9"/>
  <c r="J1187" i="9"/>
  <c r="K960" i="9"/>
  <c r="K838" i="9"/>
  <c r="K817" i="9"/>
  <c r="K332" i="9"/>
  <c r="K513" i="9"/>
  <c r="J843" i="9"/>
  <c r="K356" i="9"/>
  <c r="K438" i="9"/>
  <c r="K1306" i="9"/>
  <c r="J1034" i="9"/>
  <c r="J597" i="9"/>
  <c r="J699" i="9"/>
  <c r="K1662" i="9"/>
  <c r="J591" i="9"/>
  <c r="K1336" i="9"/>
  <c r="K799" i="9"/>
  <c r="K1930" i="9"/>
  <c r="J857" i="9"/>
  <c r="J1468" i="9"/>
  <c r="K1882" i="9"/>
  <c r="J1720" i="9"/>
  <c r="J559" i="9"/>
  <c r="K1668" i="9"/>
  <c r="J493" i="9"/>
  <c r="K1232" i="9"/>
  <c r="J824" i="9"/>
  <c r="J1208" i="9"/>
  <c r="K638" i="9"/>
  <c r="J272" i="9"/>
  <c r="J798" i="9"/>
  <c r="K1463" i="9"/>
  <c r="K735" i="9"/>
  <c r="K1314" i="9"/>
  <c r="J1811" i="9"/>
  <c r="K1588" i="9"/>
  <c r="J759" i="9"/>
  <c r="J1948" i="9"/>
  <c r="K1635" i="9"/>
  <c r="J1158" i="9"/>
  <c r="J1690" i="9"/>
  <c r="J359" i="9"/>
  <c r="K1027" i="9"/>
  <c r="J967" i="9"/>
  <c r="K285" i="9"/>
  <c r="J1975" i="9"/>
  <c r="J739" i="9"/>
  <c r="J459" i="9"/>
  <c r="J520" i="9"/>
  <c r="K793" i="9"/>
  <c r="K928" i="9"/>
  <c r="K1331" i="9"/>
  <c r="K787" i="9"/>
  <c r="K1137" i="9"/>
  <c r="J1386" i="9"/>
  <c r="K1428" i="9"/>
  <c r="K315" i="9"/>
  <c r="J492" i="9"/>
  <c r="J848" i="9"/>
  <c r="J1808" i="9"/>
  <c r="K1677" i="9"/>
  <c r="J1633" i="9"/>
  <c r="K850" i="9"/>
  <c r="J343" i="9"/>
  <c r="J1136" i="9"/>
  <c r="J1223" i="9"/>
  <c r="K1053" i="9"/>
  <c r="J833" i="9"/>
  <c r="K319" i="9"/>
  <c r="K521" i="9"/>
  <c r="K1893" i="9"/>
  <c r="K1945" i="9"/>
  <c r="J1925" i="9"/>
  <c r="J1737" i="9"/>
  <c r="J2005" i="9"/>
  <c r="K259" i="9"/>
  <c r="J1953" i="9"/>
  <c r="K353" i="9"/>
  <c r="K680" i="9"/>
  <c r="J1543" i="9"/>
  <c r="J1457" i="9"/>
  <c r="K1302" i="9"/>
  <c r="J1658" i="9"/>
  <c r="J1564" i="9"/>
  <c r="J1788" i="9"/>
  <c r="J1613" i="9"/>
  <c r="J962" i="9"/>
  <c r="J1300" i="9"/>
  <c r="K1615" i="9"/>
  <c r="J1444" i="9"/>
  <c r="K1191" i="9"/>
  <c r="K1790" i="9"/>
  <c r="K1328" i="9"/>
  <c r="J376" i="9"/>
  <c r="J557" i="9"/>
  <c r="J593" i="9"/>
  <c r="K1965" i="9"/>
  <c r="K269" i="9"/>
  <c r="J1534" i="9"/>
  <c r="K1743" i="9"/>
  <c r="J1704" i="9"/>
  <c r="K562" i="9"/>
  <c r="J1899" i="9"/>
  <c r="K298" i="9"/>
  <c r="K1533" i="9"/>
  <c r="J1380" i="9"/>
  <c r="K1861" i="9"/>
  <c r="J1513" i="9"/>
  <c r="K877" i="9"/>
  <c r="K1317" i="9"/>
  <c r="J1069" i="9"/>
  <c r="J367" i="9"/>
  <c r="K715" i="9"/>
  <c r="J905" i="9"/>
  <c r="K944" i="9"/>
  <c r="K1884" i="9"/>
  <c r="K1345" i="9"/>
  <c r="K752" i="9"/>
  <c r="J1541" i="9"/>
  <c r="K514" i="9"/>
  <c r="J1259" i="9"/>
  <c r="J1515" i="9"/>
  <c r="J610" i="9"/>
  <c r="K1492" i="9"/>
  <c r="K1410" i="9"/>
  <c r="J1500" i="9"/>
  <c r="K1723" i="9"/>
  <c r="K490" i="9"/>
  <c r="K907" i="9"/>
  <c r="J1291" i="9"/>
  <c r="J882" i="9"/>
  <c r="K1521" i="9"/>
  <c r="J1023" i="9"/>
  <c r="J1377" i="9"/>
  <c r="J735" i="9"/>
  <c r="J560" i="9"/>
  <c r="J1649" i="9"/>
  <c r="J796" i="9"/>
  <c r="J1902" i="9"/>
  <c r="J1362" i="9"/>
  <c r="J755" i="9"/>
  <c r="K843" i="9"/>
  <c r="J358" i="9"/>
  <c r="J1916" i="9"/>
  <c r="K1573" i="9"/>
  <c r="K1256" i="9"/>
  <c r="K1845" i="9"/>
  <c r="J1644" i="9"/>
  <c r="K1672" i="9"/>
  <c r="K1107" i="9"/>
  <c r="J297" i="9"/>
  <c r="K1225" i="9"/>
  <c r="J1413" i="9"/>
  <c r="J1231" i="9"/>
  <c r="J1695" i="9"/>
  <c r="J630" i="9"/>
  <c r="J611" i="9"/>
  <c r="K1346" i="9"/>
  <c r="J1795" i="9"/>
  <c r="K690" i="9"/>
  <c r="J354" i="9"/>
  <c r="J302" i="9"/>
  <c r="K1134" i="9"/>
  <c r="J1065" i="9"/>
  <c r="K593" i="9"/>
  <c r="K1971" i="9"/>
  <c r="J738" i="9"/>
  <c r="K1601" i="9"/>
  <c r="K320" i="9"/>
  <c r="K1566" i="9"/>
  <c r="K1788" i="9"/>
  <c r="J1014" i="9"/>
  <c r="J764" i="9"/>
  <c r="K911" i="9"/>
  <c r="J350" i="9"/>
  <c r="K994" i="9"/>
  <c r="J341" i="9"/>
  <c r="K606" i="9"/>
  <c r="J1058" i="9"/>
  <c r="J1859" i="9"/>
  <c r="K1676" i="9"/>
  <c r="K948" i="9"/>
  <c r="J506" i="9"/>
  <c r="J1235" i="9"/>
  <c r="K1251" i="9"/>
  <c r="K1561" i="9"/>
  <c r="J1621" i="9"/>
  <c r="K1461" i="9"/>
  <c r="J1627" i="9"/>
  <c r="J1221" i="9"/>
  <c r="J939" i="9"/>
  <c r="K707" i="9"/>
  <c r="J1619" i="9"/>
  <c r="K1350" i="9"/>
  <c r="K733" i="9"/>
  <c r="J1742" i="9"/>
  <c r="J1253" i="9"/>
  <c r="J1476" i="9"/>
  <c r="K1502" i="9"/>
  <c r="K920" i="9"/>
  <c r="J1098" i="9"/>
  <c r="K339" i="9"/>
  <c r="J646" i="9"/>
  <c r="K1392" i="9"/>
  <c r="J1504" i="9"/>
  <c r="J1585" i="9"/>
  <c r="J1835" i="9"/>
  <c r="K409" i="9"/>
  <c r="J435" i="9"/>
  <c r="J1800" i="9"/>
  <c r="J1503" i="9"/>
  <c r="J1556" i="9"/>
  <c r="J425" i="9"/>
  <c r="J670" i="9"/>
  <c r="J590" i="9"/>
  <c r="J727" i="9"/>
  <c r="K1899" i="9"/>
  <c r="J1600" i="9"/>
  <c r="K858" i="9"/>
  <c r="K1583" i="9"/>
  <c r="K305" i="9"/>
  <c r="J1946" i="9"/>
  <c r="K570" i="9"/>
  <c r="K1485" i="9"/>
  <c r="J914" i="9"/>
  <c r="J1070" i="9"/>
  <c r="K1830" i="9"/>
  <c r="K1415" i="9"/>
  <c r="J1713" i="9"/>
  <c r="K873" i="9"/>
  <c r="K596" i="9"/>
  <c r="J1181" i="9"/>
  <c r="K1019" i="9"/>
  <c r="J1108" i="9"/>
  <c r="K1202" i="9"/>
  <c r="K1323" i="9"/>
  <c r="J1992" i="9"/>
  <c r="K1590" i="9"/>
  <c r="K1203" i="9"/>
  <c r="J1778" i="9"/>
  <c r="J1817" i="9"/>
  <c r="K1380" i="9"/>
  <c r="J571" i="9"/>
  <c r="K1697" i="9"/>
  <c r="K716" i="9"/>
  <c r="J310" i="9"/>
  <c r="J772" i="9"/>
  <c r="J1097" i="9"/>
  <c r="K632" i="9"/>
  <c r="J1909" i="9"/>
  <c r="J1276" i="9"/>
  <c r="K985" i="9"/>
  <c r="K1925" i="9"/>
  <c r="K794" i="9"/>
  <c r="J948" i="9"/>
  <c r="J1129" i="9"/>
  <c r="K839" i="9"/>
  <c r="J1178" i="9"/>
  <c r="K831" i="9"/>
  <c r="K894" i="9"/>
  <c r="J551" i="9"/>
  <c r="J1324" i="9"/>
  <c r="K1827" i="9"/>
  <c r="K883" i="9"/>
  <c r="J1662" i="9"/>
  <c r="J1598" i="9"/>
  <c r="K489" i="9"/>
  <c r="J1043" i="9"/>
  <c r="K1613" i="9"/>
  <c r="J999" i="9"/>
  <c r="J524" i="9"/>
  <c r="J451" i="9"/>
  <c r="J1535" i="9"/>
  <c r="K1016" i="9"/>
  <c r="J1385" i="9"/>
  <c r="J542" i="9"/>
  <c r="K775" i="9"/>
  <c r="K1754" i="9"/>
  <c r="J1421" i="9"/>
  <c r="J478" i="9"/>
  <c r="J963" i="9"/>
  <c r="K1212" i="9"/>
  <c r="J941" i="9"/>
  <c r="K1344" i="9"/>
  <c r="K1663" i="9"/>
  <c r="J1072" i="9"/>
  <c r="K554" i="9"/>
  <c r="K382" i="9"/>
  <c r="K1222" i="9"/>
  <c r="K611" i="9"/>
  <c r="J370" i="9"/>
  <c r="J1571" i="9"/>
  <c r="K1587" i="9"/>
  <c r="J326" i="9"/>
  <c r="J1920" i="9"/>
  <c r="J884" i="9"/>
  <c r="J1263" i="9"/>
  <c r="J1629" i="9"/>
  <c r="J1308" i="9"/>
  <c r="K1231" i="9"/>
  <c r="J988" i="9"/>
  <c r="J438" i="9"/>
  <c r="K1426" i="9"/>
  <c r="K516" i="9"/>
  <c r="J1839" i="9"/>
  <c r="K1477" i="9"/>
  <c r="K1681" i="9"/>
  <c r="J417" i="9"/>
  <c r="K1549" i="9"/>
  <c r="K653" i="9"/>
  <c r="K1875" i="9"/>
  <c r="K1908" i="9"/>
  <c r="J1607" i="9"/>
  <c r="K1152" i="9"/>
  <c r="J762" i="9"/>
  <c r="K1864" i="9"/>
  <c r="J643" i="9"/>
  <c r="J1696" i="9"/>
  <c r="K1153" i="9"/>
  <c r="J851" i="9"/>
  <c r="J1576" i="9"/>
  <c r="K512" i="9"/>
  <c r="K1296" i="9"/>
  <c r="J923" i="9"/>
  <c r="J269" i="9"/>
  <c r="K1108" i="9"/>
  <c r="K1874" i="9"/>
  <c r="J1175" i="9"/>
  <c r="K808" i="9"/>
  <c r="K1299" i="9"/>
  <c r="J698" i="9"/>
  <c r="K934" i="9"/>
  <c r="K679" i="9"/>
  <c r="K1761" i="9"/>
  <c r="K1295" i="9"/>
  <c r="J494" i="9"/>
  <c r="J922" i="9"/>
  <c r="K1675" i="9"/>
  <c r="J1714" i="9"/>
  <c r="J390" i="9"/>
  <c r="J392" i="9"/>
  <c r="K932" i="9"/>
  <c r="K865" i="9"/>
  <c r="J314" i="9"/>
  <c r="J1726" i="9"/>
  <c r="J1290" i="9"/>
  <c r="J840" i="9"/>
  <c r="K1238" i="9"/>
  <c r="J1449" i="9"/>
  <c r="J927" i="9"/>
  <c r="J1760" i="9"/>
  <c r="J592" i="9"/>
  <c r="K1408" i="9"/>
  <c r="K496" i="9"/>
  <c r="K1905" i="9"/>
  <c r="K1112" i="9"/>
  <c r="K627" i="9"/>
  <c r="K387" i="9"/>
  <c r="K1047" i="9"/>
  <c r="J600" i="9"/>
  <c r="J1408" i="9"/>
  <c r="J1347" i="9"/>
  <c r="K1393" i="9"/>
  <c r="K1003" i="9"/>
  <c r="J316" i="9"/>
  <c r="J1508" i="9"/>
  <c r="K444" i="9"/>
  <c r="K765" i="9"/>
  <c r="K1139" i="9"/>
  <c r="K1473" i="9"/>
  <c r="J306" i="9"/>
  <c r="J1668" i="9"/>
  <c r="K1805" i="9"/>
  <c r="K1121" i="9"/>
  <c r="J422" i="9"/>
  <c r="K1832" i="9"/>
  <c r="J1913" i="9"/>
  <c r="J1055" i="9"/>
  <c r="K1218" i="9"/>
  <c r="J419" i="9"/>
  <c r="K423" i="9"/>
  <c r="J563" i="9"/>
  <c r="K708" i="9"/>
  <c r="K1691" i="9"/>
  <c r="J1900" i="9"/>
  <c r="K377" i="9"/>
  <c r="J485" i="9"/>
  <c r="K503" i="9"/>
  <c r="J1699" i="9"/>
  <c r="J1740" i="9"/>
  <c r="K1633" i="9"/>
  <c r="J1648" i="9"/>
  <c r="J1976" i="9"/>
  <c r="K1472" i="9"/>
  <c r="K673" i="9"/>
  <c r="K822" i="9"/>
  <c r="J1229" i="9"/>
  <c r="J580" i="9"/>
  <c r="K1109" i="9"/>
  <c r="K1993" i="9"/>
  <c r="J1708" i="9"/>
  <c r="J1510" i="9"/>
  <c r="K975" i="9"/>
  <c r="K1881" i="9"/>
  <c r="J998" i="9"/>
  <c r="K1189" i="9"/>
  <c r="K1982" i="9"/>
  <c r="K1186" i="9"/>
  <c r="K1517" i="9"/>
  <c r="J399" i="9"/>
  <c r="J1640" i="9"/>
  <c r="K719" i="9"/>
  <c r="J613" i="9"/>
  <c r="K668" i="9"/>
  <c r="J1038" i="9"/>
  <c r="K1904" i="9"/>
  <c r="J1024" i="9"/>
  <c r="K365" i="9"/>
  <c r="J282" i="9"/>
  <c r="K1731" i="9"/>
  <c r="K1854" i="9"/>
  <c r="K1924" i="9"/>
  <c r="J1326" i="9"/>
  <c r="K278" i="9"/>
  <c r="K1138" i="9"/>
  <c r="K422" i="9"/>
  <c r="K731" i="9"/>
  <c r="J569" i="9"/>
  <c r="J865" i="9"/>
  <c r="K1253" i="9"/>
  <c r="K929" i="9"/>
  <c r="J1514" i="9"/>
  <c r="K1354" i="9"/>
  <c r="J1929" i="9"/>
  <c r="J1979" i="9"/>
  <c r="J1532" i="9"/>
  <c r="K693" i="9"/>
  <c r="K620" i="9"/>
  <c r="J702" i="9"/>
  <c r="K1801" i="9"/>
  <c r="K776" i="9"/>
  <c r="K889" i="9"/>
  <c r="K1480" i="9"/>
  <c r="K819" i="9"/>
  <c r="K1682" i="9"/>
  <c r="K616" i="9"/>
  <c r="K325" i="9"/>
  <c r="K1024" i="9"/>
  <c r="K322" i="9"/>
  <c r="K1823" i="9"/>
  <c r="J1971" i="9"/>
  <c r="K1342" i="9"/>
  <c r="J855" i="9"/>
  <c r="K1179" i="9"/>
  <c r="J1425" i="9"/>
  <c r="J708" i="9"/>
  <c r="J1142" i="9"/>
  <c r="K1045" i="9"/>
  <c r="J907" i="9"/>
  <c r="J1842" i="9"/>
  <c r="J1597" i="9"/>
  <c r="K866" i="9"/>
  <c r="J966" i="9"/>
  <c r="K457" i="9"/>
  <c r="J1882" i="9"/>
  <c r="K1555" i="9"/>
  <c r="K1158" i="9"/>
  <c r="J700" i="9"/>
  <c r="K1161" i="9"/>
  <c r="J599" i="9"/>
  <c r="K1068" i="9"/>
  <c r="J1856" i="9"/>
  <c r="J1360" i="9"/>
  <c r="J1892" i="9"/>
  <c r="J1357" i="9"/>
  <c r="J1874" i="9"/>
  <c r="K684" i="9"/>
  <c r="J575" i="9"/>
  <c r="J1161" i="9"/>
  <c r="J1285" i="9"/>
  <c r="K1772" i="9"/>
  <c r="J474" i="9"/>
  <c r="J1606" i="9"/>
  <c r="K1542" i="9"/>
  <c r="K1525" i="9"/>
  <c r="K348" i="9"/>
  <c r="K1424" i="9"/>
  <c r="J1283" i="9"/>
  <c r="J1201" i="9"/>
  <c r="K853" i="9"/>
  <c r="K317" i="9"/>
  <c r="K1500" i="9"/>
  <c r="K1960" i="9"/>
  <c r="J1063" i="9"/>
  <c r="J1968" i="9"/>
  <c r="K1434" i="9"/>
  <c r="K312" i="9"/>
  <c r="K1887" i="9"/>
  <c r="K1915" i="9"/>
  <c r="K844" i="9"/>
  <c r="K344" i="9"/>
  <c r="K1049" i="9"/>
  <c r="J1163" i="9"/>
  <c r="K1167" i="9"/>
  <c r="K1268" i="9"/>
  <c r="K1751" i="9"/>
  <c r="J1939" i="9"/>
  <c r="J873" i="9"/>
  <c r="K904" i="9"/>
  <c r="J812" i="9"/>
  <c r="K954" i="9"/>
  <c r="J1138" i="9"/>
  <c r="J529" i="9"/>
  <c r="J1016" i="9"/>
  <c r="J1849" i="9"/>
  <c r="K294" i="9"/>
  <c r="K1661" i="9"/>
  <c r="K1621" i="9"/>
  <c r="K1357" i="9"/>
  <c r="K300" i="9"/>
  <c r="K406" i="9"/>
  <c r="K1631" i="9"/>
  <c r="J1305" i="9"/>
  <c r="K1764" i="9"/>
  <c r="J456" i="9"/>
  <c r="J401" i="9"/>
  <c r="J1234" i="9"/>
  <c r="K1537" i="9"/>
  <c r="J1094" i="9"/>
  <c r="K1678" i="9"/>
  <c r="J413" i="9"/>
  <c r="K2004" i="9"/>
  <c r="J1993" i="9"/>
  <c r="J445" i="9"/>
  <c r="K1625" i="9"/>
  <c r="J1054" i="9"/>
  <c r="J846" i="9"/>
  <c r="J1614" i="9"/>
  <c r="K384" i="9"/>
  <c r="J1997" i="9"/>
  <c r="J1631" i="9"/>
  <c r="K614" i="9"/>
  <c r="K421" i="9"/>
  <c r="J543" i="9"/>
  <c r="J1944" i="9"/>
  <c r="J1789" i="9"/>
  <c r="J1573" i="9"/>
  <c r="J604" i="9"/>
  <c r="J1486" i="9"/>
  <c r="J1792" i="9"/>
  <c r="K383" i="9"/>
  <c r="J271" i="9"/>
  <c r="J1661" i="9"/>
  <c r="K1271" i="9"/>
  <c r="J1012" i="9"/>
  <c r="K846" i="9"/>
  <c r="K1041" i="9"/>
  <c r="K936" i="9"/>
  <c r="J1066" i="9"/>
  <c r="K908" i="9"/>
  <c r="J672" i="9"/>
  <c r="J815" i="9"/>
  <c r="J466" i="9"/>
  <c r="J835" i="9"/>
  <c r="K1035" i="9"/>
  <c r="J1509" i="9"/>
  <c r="J886" i="9"/>
  <c r="J1089" i="9"/>
  <c r="J1322" i="9"/>
  <c r="K1913" i="9"/>
  <c r="J1753" i="9"/>
  <c r="J658" i="9"/>
  <c r="K847" i="9"/>
  <c r="K303" i="9"/>
  <c r="J757" i="9"/>
  <c r="K1669" i="9"/>
  <c r="J627" i="9"/>
  <c r="K573" i="9"/>
  <c r="K1648" i="9"/>
  <c r="J1752" i="9"/>
  <c r="K1917" i="9"/>
  <c r="J809" i="9"/>
  <c r="J598" i="9"/>
  <c r="K1756" i="9"/>
  <c r="J1478" i="9"/>
  <c r="K1703" i="9"/>
  <c r="K704" i="9"/>
  <c r="K1548" i="9"/>
  <c r="J1226" i="9"/>
  <c r="J1200" i="9"/>
  <c r="J1337" i="9"/>
  <c r="K343" i="9"/>
  <c r="K1132" i="9"/>
  <c r="J289" i="9"/>
  <c r="K536" i="9"/>
  <c r="J841" i="9"/>
  <c r="J355" i="9"/>
  <c r="K1105" i="9"/>
  <c r="K1499" i="9"/>
  <c r="K1748" i="9"/>
  <c r="K329" i="9"/>
  <c r="J662" i="9"/>
  <c r="J332" i="9"/>
  <c r="K834" i="9"/>
  <c r="J515" i="9"/>
  <c r="J1346" i="9"/>
  <c r="J526" i="9"/>
  <c r="K1511" i="9"/>
  <c r="K1567" i="9"/>
  <c r="J1716" i="9"/>
  <c r="K658" i="9"/>
  <c r="J1512" i="9"/>
  <c r="J1945" i="9"/>
  <c r="K1092" i="9"/>
  <c r="J1405" i="9"/>
  <c r="K1869" i="9"/>
  <c r="K874" i="9"/>
  <c r="K1287" i="9"/>
  <c r="J1804" i="9"/>
  <c r="K1254" i="9"/>
  <c r="J1389" i="9"/>
  <c r="J1547" i="9"/>
  <c r="J1394" i="9"/>
  <c r="K700" i="9"/>
  <c r="J351" i="9"/>
  <c r="K879" i="9"/>
  <c r="J460" i="9"/>
  <c r="K1372" i="9"/>
  <c r="J1173" i="9"/>
  <c r="J1131" i="9"/>
  <c r="K341" i="9"/>
  <c r="J722" i="9"/>
  <c r="J871" i="9"/>
  <c r="J1400" i="9"/>
  <c r="K532" i="9"/>
  <c r="K1309" i="9"/>
  <c r="K832" i="9"/>
  <c r="J262" i="9"/>
  <c r="K296" i="9"/>
  <c r="J1341" i="9"/>
  <c r="K1526" i="9"/>
  <c r="J1348" i="9"/>
  <c r="K1321" i="9"/>
  <c r="K539" i="9"/>
  <c r="K661" i="9"/>
  <c r="J1265" i="9"/>
  <c r="J1067" i="9"/>
  <c r="K1320" i="9"/>
  <c r="J432" i="9"/>
  <c r="K925" i="9"/>
  <c r="J1616" i="9"/>
  <c r="J1924" i="9"/>
  <c r="K1505" i="9"/>
  <c r="K814" i="9"/>
  <c r="K754" i="9"/>
  <c r="J1304" i="9"/>
  <c r="K1928" i="9"/>
  <c r="K642" i="9"/>
  <c r="K930" i="9"/>
  <c r="J1130" i="9"/>
  <c r="K1335" i="9"/>
  <c r="J1580" i="9"/>
  <c r="J1028" i="9"/>
  <c r="J1570" i="9"/>
  <c r="K915" i="9"/>
  <c r="J1814" i="9"/>
  <c r="K1642" i="9"/>
  <c r="K922" i="9"/>
  <c r="K1050" i="9"/>
  <c r="K605" i="9"/>
  <c r="K723" i="9"/>
  <c r="J740" i="9"/>
  <c r="J1684" i="9"/>
  <c r="K714" i="9"/>
  <c r="K1907" i="9"/>
  <c r="K972" i="9"/>
  <c r="J255" i="9"/>
  <c r="K992" i="9"/>
  <c r="K1565" i="9"/>
  <c r="K1879" i="9"/>
  <c r="J890" i="9"/>
  <c r="K419" i="9"/>
  <c r="J1642" i="9"/>
  <c r="K1576" i="9"/>
  <c r="K1042" i="9"/>
  <c r="K1727" i="9"/>
  <c r="K633" i="9"/>
  <c r="J565" i="9"/>
  <c r="J576" i="9"/>
  <c r="J995" i="9"/>
  <c r="K1862" i="9"/>
  <c r="J655" i="9"/>
  <c r="K996" i="9"/>
  <c r="K541" i="9"/>
  <c r="J582" i="9"/>
  <c r="K1284" i="9"/>
  <c r="K689" i="9"/>
  <c r="K1447" i="9"/>
  <c r="K1807" i="9"/>
  <c r="K257" i="9"/>
  <c r="J1311" i="9"/>
  <c r="K1916" i="9"/>
  <c r="J1243" i="9"/>
  <c r="J475" i="9"/>
  <c r="J1850" i="9"/>
  <c r="J487" i="9"/>
  <c r="K699" i="9"/>
  <c r="K284" i="9"/>
  <c r="K1929" i="9"/>
  <c r="K1522" i="9"/>
  <c r="K468" i="9"/>
  <c r="J1411" i="9"/>
  <c r="K1204" i="9"/>
  <c r="J805" i="9"/>
  <c r="K740" i="9"/>
  <c r="K1737" i="9"/>
  <c r="J279" i="9"/>
  <c r="K1547" i="9"/>
  <c r="J1676" i="9"/>
  <c r="J1582" i="9"/>
  <c r="J499" i="9"/>
  <c r="J430" i="9"/>
  <c r="K906" i="9"/>
  <c r="J1583" i="9"/>
  <c r="K1888" i="9"/>
  <c r="K912" i="9"/>
  <c r="K324" i="9"/>
  <c r="J1344" i="9"/>
  <c r="J817" i="9"/>
  <c r="K617" i="9"/>
  <c r="K872" i="9"/>
  <c r="J645" i="9"/>
  <c r="J1579" i="9"/>
  <c r="K366" i="9"/>
  <c r="J516" i="9"/>
  <c r="K823" i="9"/>
  <c r="J1831" i="9"/>
  <c r="J462" i="9"/>
  <c r="J693" i="9"/>
  <c r="J1144" i="9"/>
  <c r="J1609" i="9"/>
  <c r="J1639" i="9"/>
  <c r="J1132" i="9"/>
  <c r="J993" i="9"/>
  <c r="K1329" i="9"/>
  <c r="J711" i="9"/>
  <c r="J1777" i="9"/>
  <c r="K927" i="9"/>
  <c r="J1244" i="9"/>
  <c r="J1007" i="9"/>
  <c r="J1114" i="9"/>
  <c r="J1896" i="9"/>
  <c r="K1131" i="9"/>
  <c r="J1105" i="9"/>
  <c r="J1574" i="9"/>
  <c r="J1233" i="9"/>
  <c r="J498" i="9"/>
  <c r="K1143" i="9"/>
  <c r="K1388" i="9"/>
  <c r="K1914" i="9"/>
  <c r="K722" i="9"/>
  <c r="K1475" i="9"/>
  <c r="K812" i="9"/>
  <c r="J1047" i="9"/>
  <c r="K543" i="9"/>
  <c r="K533" i="9"/>
  <c r="J1061" i="9"/>
  <c r="J252" i="9"/>
  <c r="J527" i="9"/>
  <c r="J513" i="9"/>
  <c r="K1591" i="9"/>
  <c r="K697" i="9"/>
  <c r="K486" i="9"/>
  <c r="K1894" i="9"/>
  <c r="J1999" i="9"/>
  <c r="K1651" i="9"/>
  <c r="K600" i="9"/>
  <c r="J951" i="9"/>
  <c r="K251" i="9"/>
  <c r="J767" i="9"/>
  <c r="J345" i="9"/>
  <c r="K290" i="9"/>
  <c r="K1554" i="9"/>
  <c r="K1957" i="9"/>
  <c r="J1678" i="9"/>
  <c r="J763" i="9"/>
  <c r="K1994" i="9"/>
  <c r="J1401" i="9"/>
  <c r="J688" i="9"/>
  <c r="J1787" i="9"/>
  <c r="J541" i="9"/>
  <c r="J1492" i="9"/>
  <c r="J760" i="9"/>
  <c r="J496" i="9"/>
  <c r="J1293" i="9"/>
  <c r="J863" i="9"/>
  <c r="J937" i="9"/>
  <c r="K732" i="9"/>
  <c r="J577" i="9"/>
  <c r="K741" i="9"/>
  <c r="J1447" i="9"/>
  <c r="K1135" i="9"/>
  <c r="J366" i="9"/>
  <c r="K1580" i="9"/>
  <c r="K403" i="9"/>
  <c r="K729" i="9"/>
  <c r="J1197" i="9"/>
  <c r="K709" i="9"/>
  <c r="K1595" i="9"/>
  <c r="K1001" i="9"/>
  <c r="J1749" i="9"/>
  <c r="J1766" i="9"/>
  <c r="K1732" i="9"/>
  <c r="J374" i="9"/>
  <c r="J1889" i="9"/>
  <c r="K1741" i="9"/>
  <c r="K1417" i="9"/>
  <c r="K1684" i="9"/>
  <c r="J724" i="9"/>
  <c r="J511" i="9"/>
  <c r="J548" i="9"/>
  <c r="K655" i="9"/>
  <c r="J1549" i="9"/>
  <c r="K755" i="9"/>
  <c r="K1043" i="9"/>
  <c r="J1186" i="9"/>
  <c r="K1083" i="9"/>
  <c r="K1194" i="9"/>
  <c r="J1115" i="9"/>
  <c r="K1714" i="9"/>
  <c r="K460" i="9"/>
  <c r="K986" i="9"/>
  <c r="J267" i="9"/>
  <c r="K1445" i="9"/>
  <c r="J1128" i="9"/>
  <c r="K534" i="9"/>
  <c r="J1150" i="9"/>
  <c r="J825" i="9"/>
  <c r="J1563" i="9"/>
  <c r="K1103" i="9"/>
  <c r="K1365" i="9"/>
  <c r="K1709" i="9"/>
  <c r="J614" i="9"/>
  <c r="J692" i="9"/>
  <c r="K1814" i="9"/>
  <c r="K1280" i="9"/>
  <c r="K1834" i="9"/>
  <c r="J1691" i="9"/>
  <c r="K1599" i="9"/>
  <c r="K1000" i="9"/>
  <c r="K1630" i="9"/>
  <c r="J1881" i="9"/>
  <c r="K1598" i="9"/>
  <c r="K1938" i="9"/>
  <c r="J860" i="9"/>
  <c r="J1116" i="9"/>
  <c r="J1553" i="9"/>
  <c r="J410" i="9"/>
  <c r="J881" i="9"/>
  <c r="K1933" i="9"/>
  <c r="J1772" i="9"/>
  <c r="K1932" i="9"/>
  <c r="J545" i="9"/>
  <c r="J317" i="9"/>
  <c r="J544" i="9"/>
  <c r="J1059" i="9"/>
  <c r="J1103" i="9"/>
  <c r="K576" i="9"/>
  <c r="K1611" i="9"/>
  <c r="J1209" i="9"/>
  <c r="K1223" i="9"/>
  <c r="K1617" i="9"/>
  <c r="J1542" i="9"/>
  <c r="K310" i="9"/>
  <c r="K687" i="9"/>
  <c r="K1425" i="9"/>
  <c r="J1319" i="9"/>
  <c r="K1538" i="9"/>
  <c r="K389" i="9"/>
  <c r="K410" i="9"/>
  <c r="K1973" i="9"/>
  <c r="K669" i="9"/>
  <c r="K495" i="9"/>
  <c r="K1006" i="9"/>
  <c r="K1804" i="9"/>
  <c r="J1472" i="9"/>
  <c r="K574" i="9"/>
  <c r="K544" i="9"/>
  <c r="K1817" i="9"/>
  <c r="K430" i="9"/>
  <c r="K792" i="9"/>
  <c r="J1784" i="9"/>
  <c r="J1801" i="9"/>
  <c r="J1826" i="9"/>
  <c r="K1260" i="9"/>
  <c r="K1147" i="9"/>
  <c r="J1767" i="9"/>
  <c r="K1791" i="9"/>
  <c r="K772" i="9"/>
  <c r="K919" i="9"/>
  <c r="K351" i="9"/>
  <c r="J1586" i="9"/>
  <c r="K1413" i="9"/>
  <c r="K1800" i="9"/>
  <c r="J636" i="9"/>
  <c r="J641" i="9"/>
  <c r="J656" i="9"/>
  <c r="K386" i="9"/>
  <c r="J1721" i="9"/>
  <c r="J1417" i="9"/>
  <c r="J266" i="9"/>
  <c r="J821" i="9"/>
  <c r="J1458" i="9"/>
  <c r="J1475" i="9"/>
  <c r="J1100" i="9"/>
  <c r="J697" i="9"/>
  <c r="J1809" i="9"/>
  <c r="J1689" i="9"/>
  <c r="J1445" i="9"/>
  <c r="K1902" i="9"/>
  <c r="J1021" i="9"/>
  <c r="K1172" i="9"/>
  <c r="K881" i="9"/>
  <c r="J1031" i="9"/>
  <c r="K602" i="9"/>
  <c r="K272" i="9"/>
  <c r="J766" i="9"/>
  <c r="J1381" i="9"/>
  <c r="J381" i="9"/>
  <c r="J286" i="9"/>
  <c r="K494" i="9"/>
  <c r="K947" i="9"/>
  <c r="J1199" i="9"/>
  <c r="J1545" i="9"/>
  <c r="K1539" i="9"/>
  <c r="K1752" i="9"/>
  <c r="J1453" i="9"/>
  <c r="J910" i="9"/>
  <c r="J810" i="9"/>
  <c r="K293" i="9"/>
  <c r="J1153" i="9"/>
  <c r="K1632" i="9"/>
  <c r="K1843" i="9"/>
  <c r="K1683" i="9"/>
  <c r="K1958" i="9"/>
  <c r="K1347" i="9"/>
  <c r="K330" i="9"/>
  <c r="J1984" i="9"/>
  <c r="J596" i="9"/>
  <c r="K790" i="9"/>
  <c r="K1785" i="9"/>
  <c r="J1241" i="9"/>
  <c r="J1805" i="9"/>
  <c r="K1608" i="9"/>
  <c r="K1696" i="9"/>
  <c r="J947" i="9"/>
  <c r="J602" i="9"/>
  <c r="J659" i="9"/>
  <c r="K1418" i="9"/>
  <c r="K559" i="9"/>
  <c r="J1798" i="9"/>
  <c r="K354" i="9"/>
  <c r="K397" i="9"/>
  <c r="K1536" i="9"/>
  <c r="K1208" i="9"/>
  <c r="K442" i="9"/>
  <c r="K1294" i="9"/>
  <c r="K475" i="9"/>
  <c r="K1657" i="9"/>
  <c r="J1296" i="9"/>
  <c r="J736" i="9"/>
  <c r="K1614" i="9"/>
  <c r="J1379" i="9"/>
  <c r="J396" i="9"/>
  <c r="J404" i="9"/>
  <c r="J830" i="9"/>
  <c r="K656" i="9"/>
  <c r="J1001" i="9"/>
  <c r="K1262" i="9"/>
  <c r="K1457" i="9"/>
  <c r="K1454" i="9"/>
  <c r="K1065" i="9"/>
  <c r="K1488" i="9"/>
  <c r="J1145" i="9"/>
  <c r="J443" i="9"/>
  <c r="K1782" i="9"/>
  <c r="K1145" i="9"/>
  <c r="J1710" i="9"/>
  <c r="K396" i="9"/>
  <c r="K964" i="9"/>
  <c r="J1962" i="9"/>
  <c r="K953" i="9"/>
  <c r="J1715" i="9"/>
  <c r="K1952" i="9"/>
  <c r="K926" i="9"/>
  <c r="J1318" i="9"/>
  <c r="K966" i="9"/>
  <c r="J960" i="9"/>
  <c r="K1079" i="9"/>
  <c r="K1981" i="9"/>
  <c r="K1962" i="9"/>
  <c r="K328" i="9"/>
  <c r="J992" i="9"/>
  <c r="J913" i="9"/>
  <c r="K1423" i="9"/>
  <c r="J1137" i="9"/>
  <c r="J1729" i="9"/>
  <c r="K449" i="9"/>
  <c r="J928" i="9"/>
  <c r="J1838" i="9"/>
  <c r="J1469" i="9"/>
  <c r="K594" i="9"/>
  <c r="K1955" i="9"/>
  <c r="K1419" i="9"/>
  <c r="J1315" i="9"/>
  <c r="K528" i="9"/>
  <c r="K1115" i="9"/>
  <c r="J479" i="9"/>
  <c r="K1825" i="9"/>
  <c r="J751" i="9"/>
  <c r="K648" i="9"/>
  <c r="K734" i="9"/>
  <c r="K520" i="9"/>
  <c r="K448" i="9"/>
  <c r="J1923" i="9"/>
  <c r="K335" i="9"/>
  <c r="K1382" i="9"/>
  <c r="K941" i="9"/>
  <c r="J1134" i="9"/>
  <c r="J837" i="9"/>
  <c r="J911" i="9"/>
  <c r="J1443" i="9"/>
  <c r="K1486" i="9"/>
  <c r="K956" i="9"/>
  <c r="J1848" i="9"/>
  <c r="J1474" i="9"/>
  <c r="K1719" i="9"/>
  <c r="J1093" i="9"/>
  <c r="J1983" i="9"/>
  <c r="K917" i="9"/>
  <c r="J946" i="9"/>
  <c r="K1176" i="9"/>
  <c r="K897" i="9"/>
  <c r="J1858" i="9"/>
  <c r="K791" i="9"/>
  <c r="K1325" i="9"/>
  <c r="J380" i="9"/>
  <c r="J564" i="9"/>
  <c r="J1264" i="9"/>
  <c r="K1839" i="9"/>
  <c r="J320" i="9"/>
  <c r="J1206" i="9"/>
  <c r="K1452" i="9"/>
  <c r="K1229" i="9"/>
  <c r="J1736" i="9"/>
  <c r="K1356" i="9"/>
  <c r="K1313" i="9"/>
  <c r="K886" i="9"/>
  <c r="K426" i="9"/>
  <c r="K1051" i="9"/>
  <c r="K1458" i="9"/>
  <c r="J421" i="9"/>
  <c r="J728" i="9"/>
  <c r="J1851" i="9"/>
  <c r="J618" i="9"/>
  <c r="J470" i="9"/>
  <c r="J1878" i="9"/>
  <c r="J251" i="9"/>
  <c r="J1506" i="9"/>
  <c r="K725" i="9"/>
  <c r="J1834" i="9"/>
  <c r="K266" i="9"/>
  <c r="J1215" i="9"/>
  <c r="J522" i="9"/>
  <c r="K1838" i="9"/>
  <c r="K1257" i="9"/>
  <c r="J595" i="9"/>
  <c r="J1626" i="9"/>
  <c r="J313" i="9"/>
  <c r="J468" i="9"/>
  <c r="J574" i="9"/>
  <c r="K371" i="9"/>
  <c r="J997" i="9"/>
  <c r="K437" i="9"/>
  <c r="J486" i="9"/>
  <c r="K1495" i="9"/>
  <c r="K1778" i="9"/>
  <c r="J1491" i="9"/>
  <c r="J308" i="9"/>
  <c r="K1698" i="9"/>
  <c r="K1190" i="9"/>
  <c r="J1366" i="9"/>
  <c r="K597" i="9"/>
  <c r="K1860" i="9"/>
  <c r="J1214" i="9"/>
  <c r="J439" i="9"/>
  <c r="K1396" i="9"/>
  <c r="K991" i="9"/>
  <c r="J1325" i="9"/>
  <c r="J1008" i="9"/>
  <c r="J407" i="9"/>
  <c r="J491" i="9"/>
  <c r="J1840" i="9"/>
  <c r="J932" i="9"/>
  <c r="J1908" i="9"/>
  <c r="J1080" i="9"/>
  <c r="K584" i="9"/>
  <c r="J1682" i="9"/>
  <c r="J1404" i="9"/>
  <c r="J1192" i="9"/>
  <c r="K1391" i="9"/>
  <c r="K730" i="9"/>
  <c r="K1570" i="9"/>
  <c r="J938" i="9"/>
  <c r="J1951" i="9"/>
  <c r="K1726" i="9"/>
  <c r="K1897" i="9"/>
  <c r="K1949" i="9"/>
  <c r="J765" i="9"/>
  <c r="J281" i="9"/>
  <c r="J1249" i="9"/>
  <c r="K1966" i="9"/>
  <c r="J990" i="9"/>
  <c r="J1159" i="9"/>
  <c r="K1926" i="9"/>
  <c r="J512" i="9"/>
  <c r="J434" i="9"/>
  <c r="J1013" i="9"/>
  <c r="K275" i="9"/>
  <c r="K650" i="9"/>
  <c r="J303" i="9"/>
  <c r="K1885" i="9"/>
  <c r="J1424" i="9"/>
  <c r="K1209" i="9"/>
  <c r="K1787" i="9"/>
  <c r="J1040" i="9"/>
  <c r="J631" i="9"/>
  <c r="K1443" i="9"/>
  <c r="J1530" i="9"/>
  <c r="K540" i="9"/>
  <c r="J1350" i="9"/>
  <c r="K1563" i="9"/>
  <c r="J2003" i="9"/>
  <c r="K1381" i="9"/>
  <c r="K458" i="9"/>
  <c r="K1892" i="9"/>
  <c r="J1133" i="9"/>
  <c r="J1833" i="9"/>
  <c r="K1427" i="9"/>
  <c r="K311" i="9"/>
  <c r="J664" i="9"/>
  <c r="J497" i="9"/>
  <c r="J942" i="9"/>
  <c r="K571" i="9"/>
  <c r="J1712" i="9"/>
  <c r="J274" i="9"/>
  <c r="J1659" i="9"/>
  <c r="J1730" i="9"/>
  <c r="J301" i="9"/>
  <c r="K1687" i="9"/>
  <c r="K1014" i="9"/>
  <c r="K1439" i="9"/>
  <c r="K1704" i="9"/>
  <c r="J1540" i="9"/>
  <c r="J1612" i="9"/>
  <c r="K1044" i="9"/>
  <c r="K1934" i="9"/>
  <c r="K1297" i="9"/>
  <c r="J1562" i="9"/>
  <c r="J476" i="9"/>
  <c r="K459" i="9"/>
  <c r="K1028" i="9"/>
  <c r="K1755" i="9"/>
  <c r="K557" i="9"/>
  <c r="K569" i="9"/>
  <c r="J1877" i="9"/>
  <c r="J465" i="9"/>
  <c r="K666" i="9"/>
  <c r="K1654" i="9"/>
  <c r="K1246" i="9"/>
  <c r="J1154" i="9"/>
  <c r="J1783" i="9"/>
  <c r="K1032" i="9"/>
  <c r="K1645" i="9"/>
  <c r="J283" i="9"/>
  <c r="J1071" i="9"/>
  <c r="K1664" i="9"/>
  <c r="K398" i="9"/>
  <c r="K268" i="9"/>
  <c r="J950" i="9"/>
  <c r="J721" i="9"/>
  <c r="J1802" i="9"/>
  <c r="K1155" i="9"/>
  <c r="K1185" i="9"/>
  <c r="J1857" i="9"/>
  <c r="K510" i="9"/>
  <c r="J525" i="9"/>
  <c r="K1490" i="9"/>
  <c r="J1841" i="9"/>
  <c r="K401" i="9"/>
  <c r="K1383" i="9"/>
  <c r="J779" i="9"/>
  <c r="K1712" i="9"/>
  <c r="J814" i="9"/>
  <c r="K1056" i="9"/>
  <c r="K424" i="9"/>
  <c r="J1636" i="9"/>
  <c r="J633" i="9"/>
  <c r="K1449" i="9"/>
  <c r="K672" i="9"/>
  <c r="K1564" i="9"/>
  <c r="J1681" i="9"/>
  <c r="J640" i="9"/>
  <c r="K582" i="9"/>
  <c r="K428" i="9"/>
  <c r="K1149" i="9"/>
  <c r="J1284" i="9"/>
  <c r="J705" i="9"/>
  <c r="K665" i="9"/>
  <c r="K1857" i="9"/>
  <c r="K1523" i="9"/>
  <c r="J1632" i="9"/>
  <c r="K1154" i="9"/>
  <c r="K1401" i="9"/>
  <c r="K1192" i="9"/>
  <c r="J838" i="9"/>
  <c r="J629" i="9"/>
  <c r="J1490" i="9"/>
  <c r="K445" i="9"/>
  <c r="J377" i="9"/>
  <c r="K1450" i="9"/>
  <c r="J749" i="9"/>
  <c r="K670" i="9"/>
  <c r="K640" i="9"/>
  <c r="J1211" i="9"/>
  <c r="J1079" i="9"/>
  <c r="J333" i="9"/>
  <c r="K1802" i="9"/>
  <c r="J961" i="9"/>
  <c r="J684" i="9"/>
  <c r="J1803" i="9"/>
  <c r="J1822" i="9"/>
  <c r="J667" i="9"/>
  <c r="J1180" i="9"/>
  <c r="J1316" i="9"/>
  <c r="J1679" i="9"/>
  <c r="J300" i="9"/>
  <c r="J1818" i="9"/>
  <c r="K1285" i="9"/>
  <c r="K639" i="9"/>
  <c r="K806" i="9"/>
  <c r="J1301" i="9"/>
  <c r="K1422" i="9"/>
  <c r="K1978" i="9"/>
  <c r="K1095" i="9"/>
  <c r="J554" i="9"/>
  <c r="J291" i="9"/>
  <c r="K452" i="9"/>
  <c r="K304" i="9"/>
  <c r="J1110" i="9"/>
  <c r="K618" i="9"/>
  <c r="K678" i="9"/>
  <c r="J1531" i="9"/>
  <c r="J1723" i="9"/>
  <c r="J1164" i="9"/>
  <c r="K624" i="9"/>
  <c r="J1091" i="9"/>
  <c r="K1491" i="9"/>
  <c r="J666" i="9"/>
  <c r="K610" i="9"/>
  <c r="J1289" i="9"/>
  <c r="J671" i="9"/>
  <c r="J1403" i="9"/>
  <c r="J1395" i="9"/>
  <c r="K1578" i="9"/>
  <c r="J295" i="9"/>
  <c r="J1371" i="9"/>
  <c r="K1638" i="9"/>
  <c r="K1803" i="9"/>
  <c r="K564" i="9"/>
  <c r="K1871" i="9"/>
  <c r="K1906" i="9"/>
  <c r="J1430" i="9"/>
  <c r="J1148" i="9"/>
  <c r="J409" i="9"/>
  <c r="K1620" i="9"/>
  <c r="J924" i="9"/>
  <c r="K357" i="9"/>
  <c r="K479" i="9"/>
  <c r="K1412" i="9"/>
  <c r="J1594" i="9"/>
  <c r="K1448" i="9"/>
  <c r="K1114" i="9"/>
  <c r="J1558" i="9"/>
  <c r="J715" i="9"/>
  <c r="K1219" i="9"/>
  <c r="K664" i="9"/>
  <c r="K583" i="9"/>
  <c r="K1200" i="9"/>
  <c r="J471" i="9"/>
  <c r="J695" i="9"/>
  <c r="K1535" i="9"/>
  <c r="K773" i="9"/>
  <c r="J1025" i="9"/>
  <c r="K1404" i="9"/>
  <c r="J263" i="9"/>
  <c r="J1867" i="9"/>
  <c r="K1140" i="9"/>
  <c r="K1122" i="9"/>
  <c r="K705" i="9"/>
  <c r="J277" i="9"/>
  <c r="K1713" i="9"/>
  <c r="K1579" i="9"/>
  <c r="K607" i="9"/>
  <c r="K804" i="9"/>
  <c r="K1465" i="9"/>
  <c r="J452" i="9"/>
  <c r="J801" i="9"/>
  <c r="J469" i="9"/>
  <c r="J261" i="9"/>
  <c r="K914" i="9"/>
  <c r="K551" i="9"/>
  <c r="K1150" i="9"/>
  <c r="J1391" i="9"/>
  <c r="K820" i="9"/>
  <c r="J675" i="9"/>
  <c r="K1471" i="9"/>
  <c r="K694" i="9"/>
  <c r="K1519" i="9"/>
  <c r="J1645" i="9"/>
  <c r="K828" i="9"/>
  <c r="J1422" i="9"/>
  <c r="K429" i="9"/>
  <c r="K835" i="9"/>
  <c r="K1818" i="9"/>
  <c r="K698" i="9"/>
  <c r="K1213" i="9"/>
  <c r="K1390" i="9"/>
  <c r="K1379" i="9"/>
  <c r="K454" i="9"/>
  <c r="K1716" i="9"/>
  <c r="K1482" i="9"/>
  <c r="J2001" i="9"/>
  <c r="J839" i="9"/>
  <c r="K1820" i="9"/>
  <c r="J718" i="9"/>
  <c r="K1195" i="9"/>
  <c r="K258" i="9"/>
  <c r="K749" i="9"/>
  <c r="J782" i="9"/>
  <c r="K1975" i="9"/>
  <c r="J1759" i="9"/>
  <c r="K1066" i="9"/>
  <c r="J1615" i="9"/>
  <c r="J685" i="9"/>
  <c r="K890" i="9"/>
  <c r="J429" i="9"/>
  <c r="J1252" i="9"/>
  <c r="J1876" i="9"/>
  <c r="J365" i="9"/>
  <c r="K863" i="9"/>
  <c r="J1320" i="9"/>
  <c r="K760" i="9"/>
  <c r="J984" i="9"/>
  <c r="J1936" i="9"/>
  <c r="J1101" i="9"/>
  <c r="J780" i="9"/>
  <c r="J298" i="9"/>
  <c r="K937" i="9"/>
  <c r="K918" i="9"/>
  <c r="K1127" i="9"/>
  <c r="J1957" i="9"/>
  <c r="K1944" i="9"/>
  <c r="J1554" i="9"/>
  <c r="J1169" i="9"/>
  <c r="K1552" i="9"/>
  <c r="J517" i="9"/>
  <c r="K507" i="9"/>
  <c r="K1055" i="9"/>
  <c r="J1761" i="9"/>
  <c r="J287" i="9"/>
  <c r="J1872" i="9"/>
  <c r="K1647" i="9"/>
  <c r="J1775" i="9"/>
  <c r="J532" i="9"/>
  <c r="K963" i="9"/>
  <c r="J608" i="9"/>
  <c r="K692" i="9"/>
  <c r="J1918" i="9"/>
  <c r="J482" i="9"/>
  <c r="J1354" i="9"/>
  <c r="J1122" i="9"/>
  <c r="K860" i="9"/>
  <c r="K1961" i="9"/>
  <c r="K281" i="9"/>
  <c r="K1730" i="9"/>
  <c r="K333" i="9"/>
  <c r="K713" i="9"/>
  <c r="J1688" i="9"/>
  <c r="J1698" i="9"/>
  <c r="K1901" i="9"/>
  <c r="K1821" i="9"/>
  <c r="K1983" i="9"/>
  <c r="K971" i="9"/>
  <c r="J531" i="9"/>
  <c r="K1097" i="9"/>
  <c r="J505" i="9"/>
  <c r="J690" i="9"/>
  <c r="K903" i="9"/>
  <c r="K283" i="9"/>
  <c r="J1497" i="9"/>
  <c r="K825" i="9"/>
  <c r="J1692" i="9"/>
  <c r="J1986" i="9"/>
  <c r="J1588" i="9"/>
  <c r="J790" i="9"/>
  <c r="K1171" i="9"/>
  <c r="K1813" i="9"/>
  <c r="J899" i="9"/>
  <c r="K595" i="9"/>
  <c r="K857" i="9"/>
  <c r="J589" i="9"/>
  <c r="J382" i="9"/>
  <c r="K1433" i="9"/>
  <c r="J424" i="9"/>
  <c r="J1230" i="9"/>
  <c r="J1336" i="9"/>
  <c r="J1378" i="9"/>
  <c r="J1342" i="9"/>
  <c r="J985" i="9"/>
  <c r="K552" i="9"/>
  <c r="K1504" i="9"/>
  <c r="J463" i="9"/>
  <c r="J973" i="9"/>
  <c r="K1414" i="9"/>
  <c r="K643" i="9"/>
  <c r="J1519" i="9"/>
  <c r="K1148" i="9"/>
  <c r="K974" i="9"/>
  <c r="J361" i="9"/>
  <c r="K753" i="9"/>
  <c r="K769" i="9"/>
  <c r="K1610" i="9"/>
  <c r="J1978" i="9"/>
  <c r="K645" i="9"/>
  <c r="J441" i="9"/>
  <c r="K1793" i="9"/>
  <c r="J747" i="9"/>
  <c r="J321" i="9"/>
  <c r="J868" i="9"/>
  <c r="K558" i="9"/>
  <c r="J1786" i="9"/>
  <c r="K946" i="9"/>
  <c r="J260" i="9"/>
  <c r="J1941" i="9"/>
  <c r="K1451" i="9"/>
  <c r="J1454" i="9"/>
  <c r="J2002" i="9"/>
  <c r="K1160" i="9"/>
  <c r="K1508" i="9"/>
  <c r="K1110" i="9"/>
  <c r="K567" i="9"/>
  <c r="K990" i="9"/>
  <c r="K798" i="9"/>
  <c r="K1247" i="9"/>
  <c r="J403" i="9"/>
  <c r="J1436" i="9"/>
  <c r="K1281" i="9"/>
  <c r="J1281" i="9"/>
  <c r="J1769" i="9"/>
  <c r="J1919" i="9"/>
  <c r="K402" i="9"/>
  <c r="J566" i="9"/>
  <c r="K943" i="9"/>
  <c r="K736" i="9"/>
  <c r="K1098" i="9"/>
  <c r="K899" i="9"/>
  <c r="J1193" i="9"/>
  <c r="J1410" i="9"/>
  <c r="J1664" i="9"/>
  <c r="J440" i="9"/>
  <c r="J1084" i="9"/>
  <c r="K1094" i="9"/>
  <c r="J1099" i="9"/>
  <c r="K1215" i="9"/>
  <c r="J1419" i="9"/>
  <c r="K842" i="9"/>
  <c r="J836" i="9"/>
  <c r="J268" i="9"/>
  <c r="K1739" i="9"/>
  <c r="K1011" i="9"/>
  <c r="K1927" i="9"/>
  <c r="J1985" i="9"/>
  <c r="K1286" i="9"/>
  <c r="K1170" i="9"/>
  <c r="K1400" i="9"/>
  <c r="K1816" i="9"/>
  <c r="K659" i="9"/>
  <c r="K1912" i="9"/>
  <c r="K1291" i="9"/>
  <c r="K742" i="9"/>
  <c r="K530" i="9"/>
  <c r="J1373" i="9"/>
  <c r="J853" i="9"/>
  <c r="K870" i="9"/>
  <c r="K1303" i="9"/>
  <c r="K1747" i="9"/>
  <c r="J647" i="9"/>
  <c r="J1439" i="9"/>
  <c r="K1742" i="9"/>
  <c r="J1482" i="9"/>
  <c r="J1495" i="9"/>
  <c r="K484" i="9"/>
  <c r="K388" i="9"/>
  <c r="K405" i="9"/>
  <c r="K1353" i="9"/>
  <c r="J1966" i="9"/>
  <c r="K360" i="9"/>
  <c r="K635" i="9"/>
  <c r="K1918" i="9"/>
  <c r="J1470" i="9"/>
  <c r="K381" i="9"/>
  <c r="K297" i="9"/>
  <c r="J800" i="9"/>
  <c r="K615" i="9"/>
  <c r="J609" i="9"/>
  <c r="K613" i="9"/>
  <c r="J556" i="9"/>
  <c r="J448" i="9"/>
  <c r="K323" i="9"/>
  <c r="J447" i="9"/>
  <c r="K1991" i="9"/>
  <c r="J334" i="9"/>
  <c r="J454" i="9"/>
  <c r="K1947" i="9"/>
  <c r="K1142" i="9"/>
  <c r="J729" i="9"/>
  <c r="K556" i="9"/>
  <c r="K1126" i="9"/>
  <c r="J338" i="9"/>
  <c r="K1618" i="9"/>
  <c r="K1039" i="9"/>
  <c r="K1330" i="9"/>
  <c r="K970" i="9"/>
  <c r="K482" i="9"/>
  <c r="K779" i="9"/>
  <c r="K378" i="9"/>
  <c r="K885" i="9"/>
  <c r="J535" i="9"/>
  <c r="J1855" i="9"/>
  <c r="K506" i="9"/>
  <c r="J416" i="9"/>
  <c r="K962" i="9"/>
  <c r="K1769" i="9"/>
  <c r="K933" i="9"/>
  <c r="J1455" i="9"/>
  <c r="J2006" i="9"/>
  <c r="J1355" i="9"/>
  <c r="J1744" i="9"/>
  <c r="K1144" i="9"/>
  <c r="J508" i="9"/>
  <c r="K1352" i="9"/>
  <c r="J703" i="9"/>
  <c r="K1851" i="9"/>
  <c r="J1846" i="9"/>
  <c r="K739" i="9"/>
  <c r="J1414" i="9"/>
  <c r="K625" i="9"/>
  <c r="K973" i="9"/>
  <c r="J819" i="9"/>
  <c r="J1462" i="9"/>
  <c r="K1036" i="9"/>
  <c r="K1493" i="9"/>
  <c r="J1052" i="9"/>
  <c r="K1847" i="9"/>
  <c r="J1602" i="9"/>
  <c r="K1666" i="9"/>
  <c r="K254" i="9"/>
  <c r="K338" i="9"/>
  <c r="J957" i="9"/>
  <c r="J1996" i="9"/>
  <c r="J959" i="9"/>
  <c r="K456" i="9"/>
  <c r="J1998" i="9"/>
  <c r="J1321" i="9"/>
  <c r="J1299" i="9"/>
  <c r="J1625" i="9"/>
  <c r="K504" i="9"/>
  <c r="K837" i="9"/>
  <c r="K965" i="9"/>
  <c r="K1119" i="9"/>
  <c r="J1866" i="9"/>
  <c r="K935" i="9"/>
  <c r="J1940" i="9"/>
  <c r="K1724" i="9"/>
  <c r="K1402" i="9"/>
  <c r="K1478" i="9"/>
  <c r="J1170" i="9"/>
  <c r="K1775" i="9"/>
  <c r="J1358" i="9"/>
  <c r="K1157" i="9"/>
  <c r="J1550" i="9"/>
  <c r="K958" i="9"/>
  <c r="K392" i="9"/>
  <c r="J307" i="9"/>
  <c r="K1226" i="9"/>
  <c r="J651" i="9"/>
  <c r="J792" i="9"/>
  <c r="K1184" i="9"/>
  <c r="J972" i="9"/>
  <c r="K604" i="9"/>
  <c r="K265" i="9"/>
  <c r="J457" i="9"/>
  <c r="K390" i="9"/>
  <c r="J1523" i="9"/>
  <c r="J970" i="9"/>
  <c r="K967" i="9"/>
  <c r="J816" i="9"/>
  <c r="K1088" i="9"/>
  <c r="J1049" i="9"/>
  <c r="J578" i="9"/>
  <c r="K1855" i="9"/>
  <c r="J1237" i="9"/>
  <c r="J1232" i="9"/>
  <c r="K797" i="9"/>
  <c r="K511" i="9"/>
  <c r="J323" i="9"/>
  <c r="J1654" i="9"/>
  <c r="K1435" i="9"/>
  <c r="J414" i="9"/>
  <c r="K473" i="9"/>
  <c r="J1973" i="9"/>
  <c r="K1870" i="9"/>
  <c r="K585" i="9"/>
  <c r="J1536" i="9"/>
  <c r="K801" i="9"/>
  <c r="J1551" i="9"/>
  <c r="J605" i="9"/>
  <c r="J1518" i="9"/>
  <c r="K1099" i="9"/>
  <c r="K1532" i="9"/>
  <c r="J335" i="9"/>
  <c r="K1030" i="9"/>
  <c r="J1799" i="9"/>
  <c r="J1224" i="9"/>
  <c r="K1360" i="9"/>
  <c r="J676" i="9"/>
  <c r="J1460" i="9"/>
  <c r="K1794" i="9"/>
  <c r="J1502" i="9"/>
  <c r="K1602" i="9"/>
  <c r="J1196" i="9"/>
  <c r="K951" i="9"/>
  <c r="K380" i="9"/>
  <c r="J299" i="9"/>
  <c r="J1027" i="9"/>
  <c r="K1239" i="9"/>
  <c r="K1332" i="9"/>
  <c r="K802" i="9"/>
  <c r="K1371" i="9"/>
  <c r="J1262" i="9"/>
  <c r="K1708" i="9"/>
  <c r="K369" i="9"/>
  <c r="K1341" i="9"/>
  <c r="K279" i="9"/>
  <c r="K1013" i="9"/>
  <c r="J1972" i="9"/>
  <c r="J732" i="9"/>
  <c r="J1480" i="9"/>
  <c r="K1509" i="9"/>
  <c r="J1112" i="9"/>
  <c r="J674" i="9"/>
  <c r="K1386" i="9"/>
  <c r="K1301" i="9"/>
  <c r="J304" i="9"/>
  <c r="J1219" i="9"/>
  <c r="K1606" i="9"/>
  <c r="J1880" i="9"/>
  <c r="K1308" i="9"/>
  <c r="K1197" i="9"/>
  <c r="K1187" i="9"/>
  <c r="K1377" i="9"/>
  <c r="K1273" i="9"/>
  <c r="K1571" i="9"/>
  <c r="J394" i="9"/>
  <c r="K1496" i="9"/>
  <c r="J638" i="9"/>
  <c r="J510" i="9"/>
  <c r="J944" i="9"/>
  <c r="J806" i="9"/>
  <c r="K302" i="9"/>
  <c r="J1036" i="9"/>
  <c r="K686" i="9"/>
  <c r="K1674" i="9"/>
  <c r="J773" i="9"/>
  <c r="K1853" i="9"/>
  <c r="J1735" i="9"/>
  <c r="J1581" i="9"/>
  <c r="K1690" i="9"/>
  <c r="K855" i="9"/>
  <c r="J312" i="9"/>
  <c r="K712" i="9"/>
  <c r="K882" i="9"/>
  <c r="K628" i="9"/>
  <c r="J1578" i="9"/>
  <c r="J1312" i="9"/>
  <c r="J1623" i="9"/>
  <c r="K988" i="9"/>
  <c r="K347" i="9"/>
  <c r="K546" i="9"/>
  <c r="J1003" i="9"/>
  <c r="K1776" i="9"/>
  <c r="J1845" i="9"/>
  <c r="K1384" i="9"/>
  <c r="J1210" i="9"/>
  <c r="J976" i="9"/>
  <c r="J488" i="9"/>
  <c r="J567" i="9"/>
  <c r="J412" i="9"/>
  <c r="J872" i="9"/>
  <c r="J1188" i="9"/>
  <c r="J1042" i="9"/>
  <c r="K500" i="9"/>
  <c r="K1387" i="9"/>
  <c r="J371" i="9"/>
  <c r="K1575" i="9"/>
  <c r="J1709" i="9"/>
  <c r="K1695" i="9"/>
  <c r="K292" i="9"/>
  <c r="J1567" i="9"/>
  <c r="K1963" i="9"/>
  <c r="K1715" i="9"/>
  <c r="K264" i="9"/>
  <c r="K1987" i="9"/>
  <c r="K1040" i="9"/>
  <c r="K578" i="9"/>
  <c r="K550" i="9"/>
  <c r="K1762" i="9"/>
  <c r="K1146" i="9"/>
  <c r="J502" i="9"/>
  <c r="K1644" i="9"/>
  <c r="K674" i="9"/>
  <c r="K1178" i="9"/>
  <c r="J254" i="9"/>
  <c r="J1635" i="9"/>
  <c r="K763" i="9"/>
  <c r="K435" i="9"/>
  <c r="K1605" i="9"/>
  <c r="J652" i="9"/>
  <c r="J917" i="9"/>
  <c r="J1717" i="9"/>
  <c r="K477" i="9"/>
  <c r="K1017" i="9"/>
  <c r="J934" i="9"/>
  <c r="J362" i="9"/>
  <c r="J887" i="9"/>
  <c r="J811" i="9"/>
  <c r="K1289" i="9"/>
  <c r="K1592" i="9"/>
  <c r="J769" i="9"/>
  <c r="J1854" i="9"/>
  <c r="J603" i="9"/>
  <c r="K810" i="9"/>
  <c r="K1510" i="9"/>
  <c r="J915" i="9"/>
  <c r="J1776" i="9"/>
  <c r="K1234" i="9"/>
  <c r="K864" i="9"/>
  <c r="J1595" i="9"/>
  <c r="J1183" i="9"/>
  <c r="J1980" i="9"/>
  <c r="J1837" i="9"/>
  <c r="J1247" i="9"/>
  <c r="K1768" i="9"/>
  <c r="J539" i="9"/>
  <c r="J1030" i="9"/>
  <c r="J1879" i="9"/>
  <c r="J752" i="9"/>
  <c r="J1060" i="9"/>
  <c r="J280" i="9"/>
  <c r="K984" i="9"/>
  <c r="J546" i="9"/>
  <c r="K696" i="9"/>
  <c r="K1022" i="9"/>
  <c r="J1529" i="9"/>
  <c r="J793" i="9"/>
  <c r="K766" i="9"/>
  <c r="K1298" i="9"/>
  <c r="J1906" i="9"/>
  <c r="K336" i="9"/>
  <c r="J1437" i="9"/>
  <c r="K1086" i="9"/>
  <c r="J620" i="9"/>
  <c r="J1407" i="9"/>
  <c r="J402" i="9"/>
  <c r="J450" i="9"/>
  <c r="J1667" i="9"/>
  <c r="J1930" i="9"/>
  <c r="J1005" i="9"/>
  <c r="K1919" i="9"/>
  <c r="J1943" i="9"/>
  <c r="J405" i="9"/>
  <c r="K415" i="9"/>
  <c r="K1084" i="9"/>
  <c r="K641" i="9"/>
  <c r="K420" i="9"/>
  <c r="K1735" i="9"/>
  <c r="J1102" i="9"/>
  <c r="J369" i="9"/>
  <c r="J921" i="9"/>
  <c r="J1750" i="9"/>
  <c r="J929" i="9"/>
  <c r="K1272" i="9"/>
  <c r="J446" i="9"/>
  <c r="J818" i="9"/>
  <c r="K1441" i="9"/>
  <c r="K1880" i="9"/>
  <c r="K1757" i="9"/>
  <c r="J622" i="9"/>
  <c r="J987" i="9"/>
  <c r="J1456" i="9"/>
  <c r="J1388" i="9"/>
  <c r="J1432" i="9"/>
  <c r="J623" i="9"/>
  <c r="J1382" i="9"/>
  <c r="K321" i="9"/>
  <c r="J1601" i="9"/>
  <c r="J628" i="9"/>
  <c r="K1318" i="9"/>
  <c r="K1780" i="9"/>
  <c r="K945" i="9"/>
  <c r="J1418" i="9"/>
  <c r="K1064" i="9"/>
  <c r="J1604" i="9"/>
  <c r="K1470" i="9"/>
  <c r="J1127" i="9"/>
  <c r="J1587" i="9"/>
  <c r="K1456" i="9"/>
  <c r="J1650" i="9"/>
  <c r="J537" i="9"/>
  <c r="K1707" i="9"/>
  <c r="J1912" i="9"/>
  <c r="K995" i="9"/>
  <c r="K1766" i="9"/>
  <c r="K1784" i="9"/>
  <c r="K1584" i="9"/>
  <c r="J1364" i="9"/>
  <c r="J787" i="9"/>
  <c r="K891" i="9"/>
  <c r="J1002" i="9"/>
  <c r="K531" i="9"/>
  <c r="K1397" i="9"/>
  <c r="K375" i="9"/>
  <c r="K768" i="9"/>
  <c r="J1638" i="9"/>
  <c r="J1741" i="9"/>
  <c r="J1250" i="9"/>
  <c r="J707" i="9"/>
  <c r="K1792" i="9"/>
  <c r="J723" i="9"/>
  <c r="J1910" i="9"/>
  <c r="K939" i="9"/>
  <c r="K1653" i="9"/>
  <c r="J1887" i="9"/>
  <c r="J1785" i="9"/>
  <c r="K1073" i="9"/>
  <c r="K1096" i="9"/>
  <c r="J346" i="9"/>
  <c r="J902" i="9"/>
  <c r="J1011" i="9"/>
  <c r="L544" i="9" l="1"/>
  <c r="L317" i="9"/>
  <c r="L787" i="9"/>
  <c r="L448" i="9"/>
  <c r="L556" i="9"/>
  <c r="L1645" i="9"/>
  <c r="L303" i="9"/>
  <c r="L1858" i="9"/>
  <c r="L545" i="9"/>
  <c r="L539" i="9"/>
  <c r="L441" i="9"/>
  <c r="L2001" i="9"/>
  <c r="L1632" i="9"/>
  <c r="L312" i="9"/>
  <c r="L1978" i="9"/>
  <c r="L377" i="9"/>
  <c r="L596" i="9"/>
  <c r="L1691" i="9"/>
  <c r="L371" i="9"/>
  <c r="L946" i="9"/>
  <c r="L1772" i="9"/>
  <c r="L1188" i="9"/>
  <c r="L488" i="9"/>
  <c r="L333" i="9"/>
  <c r="L675" i="9"/>
  <c r="L1103" i="9"/>
  <c r="L502" i="9"/>
  <c r="L1581" i="9"/>
  <c r="L718" i="9"/>
  <c r="L705" i="9"/>
  <c r="L1983" i="9"/>
  <c r="L881" i="9"/>
  <c r="L1879" i="9"/>
  <c r="L1382" i="9"/>
  <c r="L1735" i="9"/>
  <c r="L1079" i="9"/>
  <c r="L1391" i="9"/>
  <c r="L1284" i="9"/>
  <c r="L1093" i="9"/>
  <c r="L1984" i="9"/>
  <c r="L692" i="9"/>
  <c r="L811" i="9"/>
  <c r="L1490" i="9"/>
  <c r="L410" i="9"/>
  <c r="L614" i="9"/>
  <c r="L362" i="9"/>
  <c r="L773" i="9"/>
  <c r="L972" i="9"/>
  <c r="L1474" i="9"/>
  <c r="L1553" i="9"/>
  <c r="L1437" i="9"/>
  <c r="L1211" i="9"/>
  <c r="L629" i="9"/>
  <c r="L1059" i="9"/>
  <c r="L1848" i="9"/>
  <c r="L1116" i="9"/>
  <c r="L872" i="9"/>
  <c r="L976" i="9"/>
  <c r="L609" i="9"/>
  <c r="L261" i="9"/>
  <c r="L640" i="9"/>
  <c r="L1013" i="9"/>
  <c r="L1418" i="9"/>
  <c r="L1036" i="9"/>
  <c r="L839" i="9"/>
  <c r="L749" i="9"/>
  <c r="L838" i="9"/>
  <c r="L469" i="9"/>
  <c r="L1681" i="9"/>
  <c r="L434" i="9"/>
  <c r="L860" i="9"/>
  <c r="L1563" i="9"/>
  <c r="L628" i="9"/>
  <c r="L801" i="9"/>
  <c r="L512" i="9"/>
  <c r="L1443" i="9"/>
  <c r="L825" i="9"/>
  <c r="L405" i="9"/>
  <c r="L806" i="9"/>
  <c r="L792" i="9"/>
  <c r="L1422" i="9"/>
  <c r="L452" i="9"/>
  <c r="L911" i="9"/>
  <c r="L1150" i="9"/>
  <c r="L1837" i="9"/>
  <c r="L450" i="9"/>
  <c r="L944" i="9"/>
  <c r="L651" i="9"/>
  <c r="L800" i="9"/>
  <c r="L1159" i="9"/>
  <c r="L837" i="9"/>
  <c r="L510" i="9"/>
  <c r="L361" i="9"/>
  <c r="L633" i="9"/>
  <c r="L990" i="9"/>
  <c r="L1134" i="9"/>
  <c r="L1128" i="9"/>
  <c r="L412" i="9"/>
  <c r="L1210" i="9"/>
  <c r="L638" i="9"/>
  <c r="L307" i="9"/>
  <c r="L1636" i="9"/>
  <c r="L1470" i="9"/>
  <c r="L1249" i="9"/>
  <c r="L267" i="9"/>
  <c r="L537" i="9"/>
  <c r="L1650" i="9"/>
  <c r="L394" i="9"/>
  <c r="L281" i="9"/>
  <c r="L1456" i="9"/>
  <c r="L622" i="9"/>
  <c r="L1550" i="9"/>
  <c r="L277" i="9"/>
  <c r="L814" i="9"/>
  <c r="L765" i="9"/>
  <c r="L1923" i="9"/>
  <c r="L1881" i="9"/>
  <c r="L402" i="9"/>
  <c r="L1519" i="9"/>
  <c r="L1153" i="9"/>
  <c r="L1906" i="9"/>
  <c r="L1980" i="9"/>
  <c r="L1358" i="9"/>
  <c r="L1966" i="9"/>
  <c r="L779" i="9"/>
  <c r="L1115" i="9"/>
  <c r="L810" i="9"/>
  <c r="L1011" i="9"/>
  <c r="L902" i="9"/>
  <c r="L1170" i="9"/>
  <c r="L973" i="9"/>
  <c r="L1867" i="9"/>
  <c r="L1951" i="9"/>
  <c r="L910" i="9"/>
  <c r="L463" i="9"/>
  <c r="L263" i="9"/>
  <c r="L1841" i="9"/>
  <c r="L938" i="9"/>
  <c r="L751" i="9"/>
  <c r="L1453" i="9"/>
  <c r="L1186" i="9"/>
  <c r="L1741" i="9"/>
  <c r="L887" i="9"/>
  <c r="L1880" i="9"/>
  <c r="L1930" i="9"/>
  <c r="L1495" i="9"/>
  <c r="L1025" i="9"/>
  <c r="L525" i="9"/>
  <c r="L479" i="9"/>
  <c r="L1042" i="9"/>
  <c r="L1219" i="9"/>
  <c r="L1940" i="9"/>
  <c r="L1482" i="9"/>
  <c r="L985" i="9"/>
  <c r="L1545" i="9"/>
  <c r="L1549" i="9"/>
  <c r="L567" i="9"/>
  <c r="L1845" i="9"/>
  <c r="L304" i="9"/>
  <c r="L1342" i="9"/>
  <c r="L1857" i="9"/>
  <c r="L1192" i="9"/>
  <c r="L1199" i="9"/>
  <c r="L346" i="9"/>
  <c r="L1866" i="9"/>
  <c r="L1439" i="9"/>
  <c r="L1378" i="9"/>
  <c r="L695" i="9"/>
  <c r="L1404" i="9"/>
  <c r="L1315" i="9"/>
  <c r="L548" i="9"/>
  <c r="L623" i="9"/>
  <c r="L647" i="9"/>
  <c r="L1336" i="9"/>
  <c r="L471" i="9"/>
  <c r="L1682" i="9"/>
  <c r="L511" i="9"/>
  <c r="L1005" i="9"/>
  <c r="L674" i="9"/>
  <c r="L1230" i="9"/>
  <c r="L1802" i="9"/>
  <c r="L286" i="9"/>
  <c r="L724" i="9"/>
  <c r="L1407" i="9"/>
  <c r="L1112" i="9"/>
  <c r="L424" i="9"/>
  <c r="L721" i="9"/>
  <c r="L1080" i="9"/>
  <c r="L381" i="9"/>
  <c r="L1183" i="9"/>
  <c r="L950" i="9"/>
  <c r="L1908" i="9"/>
  <c r="L1469" i="9"/>
  <c r="L1381" i="9"/>
  <c r="L1717" i="9"/>
  <c r="L1480" i="9"/>
  <c r="L1625" i="9"/>
  <c r="L853" i="9"/>
  <c r="L382" i="9"/>
  <c r="L932" i="9"/>
  <c r="L1838" i="9"/>
  <c r="L766" i="9"/>
  <c r="L369" i="9"/>
  <c r="L732" i="9"/>
  <c r="L1299" i="9"/>
  <c r="L1373" i="9"/>
  <c r="L589" i="9"/>
  <c r="L715" i="9"/>
  <c r="L1840" i="9"/>
  <c r="L928" i="9"/>
  <c r="L1889" i="9"/>
  <c r="L769" i="9"/>
  <c r="L1030" i="9"/>
  <c r="L1972" i="9"/>
  <c r="L1321" i="9"/>
  <c r="L1558" i="9"/>
  <c r="L491" i="9"/>
  <c r="L374" i="9"/>
  <c r="L1247" i="9"/>
  <c r="L1998" i="9"/>
  <c r="L1071" i="9"/>
  <c r="L407" i="9"/>
  <c r="L1729" i="9"/>
  <c r="L1031" i="9"/>
  <c r="L934" i="9"/>
  <c r="L899" i="9"/>
  <c r="L283" i="9"/>
  <c r="L1008" i="9"/>
  <c r="L1137" i="9"/>
  <c r="L1766" i="9"/>
  <c r="L793" i="9"/>
  <c r="L1595" i="9"/>
  <c r="L959" i="9"/>
  <c r="L1594" i="9"/>
  <c r="L1325" i="9"/>
  <c r="L1749" i="9"/>
  <c r="L917" i="9"/>
  <c r="L1003" i="9"/>
  <c r="L1996" i="9"/>
  <c r="L913" i="9"/>
  <c r="L1021" i="9"/>
  <c r="L957" i="9"/>
  <c r="L790" i="9"/>
  <c r="L1783" i="9"/>
  <c r="L992" i="9"/>
  <c r="L707" i="9"/>
  <c r="L1262" i="9"/>
  <c r="L1588" i="9"/>
  <c r="L1154" i="9"/>
  <c r="L439" i="9"/>
  <c r="L1445" i="9"/>
  <c r="L1986" i="9"/>
  <c r="L924" i="9"/>
  <c r="L1214" i="9"/>
  <c r="L1689" i="9"/>
  <c r="L1197" i="9"/>
  <c r="L1709" i="9"/>
  <c r="L620" i="9"/>
  <c r="L1692" i="9"/>
  <c r="L1809" i="9"/>
  <c r="L1529" i="9"/>
  <c r="L1602" i="9"/>
  <c r="L1985" i="9"/>
  <c r="L409" i="9"/>
  <c r="L697" i="9"/>
  <c r="L652" i="9"/>
  <c r="L1497" i="9"/>
  <c r="L1148" i="9"/>
  <c r="L465" i="9"/>
  <c r="L1366" i="9"/>
  <c r="L960" i="9"/>
  <c r="L1100" i="9"/>
  <c r="L1785" i="9"/>
  <c r="L1027" i="9"/>
  <c r="L1052" i="9"/>
  <c r="L1430" i="9"/>
  <c r="L1877" i="9"/>
  <c r="L1475" i="9"/>
  <c r="L366" i="9"/>
  <c r="L1601" i="9"/>
  <c r="L299" i="9"/>
  <c r="L1318" i="9"/>
  <c r="L1458" i="9"/>
  <c r="L987" i="9"/>
  <c r="L1567" i="9"/>
  <c r="L268" i="9"/>
  <c r="L690" i="9"/>
  <c r="L308" i="9"/>
  <c r="L821" i="9"/>
  <c r="L1447" i="9"/>
  <c r="L1667" i="9"/>
  <c r="L818" i="9"/>
  <c r="L1462" i="9"/>
  <c r="L836" i="9"/>
  <c r="L505" i="9"/>
  <c r="L1491" i="9"/>
  <c r="L266" i="9"/>
  <c r="L1196" i="9"/>
  <c r="L819" i="9"/>
  <c r="L1715" i="9"/>
  <c r="L1417" i="9"/>
  <c r="L577" i="9"/>
  <c r="L1419" i="9"/>
  <c r="L531" i="9"/>
  <c r="L1721" i="9"/>
  <c r="L1887" i="9"/>
  <c r="L1502" i="9"/>
  <c r="L1371" i="9"/>
  <c r="L476" i="9"/>
  <c r="L486" i="9"/>
  <c r="L1962" i="9"/>
  <c r="L937" i="9"/>
  <c r="L1364" i="9"/>
  <c r="L1414" i="9"/>
  <c r="L1099" i="9"/>
  <c r="L295" i="9"/>
  <c r="L1562" i="9"/>
  <c r="L656" i="9"/>
  <c r="L863" i="9"/>
  <c r="L1943" i="9"/>
  <c r="L1460" i="9"/>
  <c r="L997" i="9"/>
  <c r="L641" i="9"/>
  <c r="L1293" i="9"/>
  <c r="L1587" i="9"/>
  <c r="L446" i="9"/>
  <c r="L676" i="9"/>
  <c r="L1846" i="9"/>
  <c r="L1084" i="9"/>
  <c r="L1395" i="9"/>
  <c r="L1710" i="9"/>
  <c r="L636" i="9"/>
  <c r="L496" i="9"/>
  <c r="L1776" i="9"/>
  <c r="L440" i="9"/>
  <c r="L1698" i="9"/>
  <c r="L1403" i="9"/>
  <c r="L574" i="9"/>
  <c r="L760" i="9"/>
  <c r="L1224" i="9"/>
  <c r="L703" i="9"/>
  <c r="L1664" i="9"/>
  <c r="L1688" i="9"/>
  <c r="L671" i="9"/>
  <c r="L1612" i="9"/>
  <c r="L468" i="9"/>
  <c r="L1492" i="9"/>
  <c r="L1102" i="9"/>
  <c r="L1799" i="9"/>
  <c r="L1410" i="9"/>
  <c r="L1289" i="9"/>
  <c r="L1540" i="9"/>
  <c r="L313" i="9"/>
  <c r="L443" i="9"/>
  <c r="L1586" i="9"/>
  <c r="L541" i="9"/>
  <c r="L1432" i="9"/>
  <c r="L508" i="9"/>
  <c r="L1193" i="9"/>
  <c r="L1626" i="9"/>
  <c r="L1145" i="9"/>
  <c r="L1787" i="9"/>
  <c r="L1638" i="9"/>
  <c r="L335" i="9"/>
  <c r="L666" i="9"/>
  <c r="L595" i="9"/>
  <c r="L688" i="9"/>
  <c r="L1127" i="9"/>
  <c r="L1744" i="9"/>
  <c r="L1629" i="9"/>
  <c r="L1401" i="9"/>
  <c r="L546" i="9"/>
  <c r="L915" i="9"/>
  <c r="L867" i="9"/>
  <c r="L1355" i="9"/>
  <c r="L498" i="9"/>
  <c r="L1091" i="9"/>
  <c r="L1263" i="9"/>
  <c r="L1233" i="9"/>
  <c r="L1623" i="9"/>
  <c r="L1518" i="9"/>
  <c r="L884" i="9"/>
  <c r="L2006" i="9"/>
  <c r="L1238" i="9"/>
  <c r="L301" i="9"/>
  <c r="L1574" i="9"/>
  <c r="L522" i="9"/>
  <c r="L1767" i="9"/>
  <c r="L1920" i="9"/>
  <c r="L763" i="9"/>
  <c r="L1349" i="9"/>
  <c r="L605" i="9"/>
  <c r="L1455" i="9"/>
  <c r="L1105" i="9"/>
  <c r="L566" i="9"/>
  <c r="L1122" i="9"/>
  <c r="L1164" i="9"/>
  <c r="L326" i="9"/>
  <c r="L738" i="9"/>
  <c r="L1730" i="9"/>
  <c r="L1215" i="9"/>
  <c r="L1678" i="9"/>
  <c r="L1551" i="9"/>
  <c r="L1354" i="9"/>
  <c r="L844" i="9"/>
  <c r="L1723" i="9"/>
  <c r="L1659" i="9"/>
  <c r="L1896" i="9"/>
  <c r="L1001" i="9"/>
  <c r="L1571" i="9"/>
  <c r="L888" i="9"/>
  <c r="L1114" i="9"/>
  <c r="L1919" i="9"/>
  <c r="L482" i="9"/>
  <c r="L1531" i="9"/>
  <c r="L370" i="9"/>
  <c r="L1065" i="9"/>
  <c r="L274" i="9"/>
  <c r="L1834" i="9"/>
  <c r="L1959" i="9"/>
  <c r="L1826" i="9"/>
  <c r="L1007" i="9"/>
  <c r="L929" i="9"/>
  <c r="L1536" i="9"/>
  <c r="L1769" i="9"/>
  <c r="L1918" i="9"/>
  <c r="L1339" i="9"/>
  <c r="L1712" i="9"/>
  <c r="L1244" i="9"/>
  <c r="L830" i="9"/>
  <c r="L1801" i="9"/>
  <c r="L302" i="9"/>
  <c r="L1174" i="9"/>
  <c r="L416" i="9"/>
  <c r="L1281" i="9"/>
  <c r="L354" i="9"/>
  <c r="L1506" i="9"/>
  <c r="L404" i="9"/>
  <c r="L1784" i="9"/>
  <c r="L345" i="9"/>
  <c r="L1777" i="9"/>
  <c r="L1635" i="9"/>
  <c r="L1312" i="9"/>
  <c r="L608" i="9"/>
  <c r="L1110" i="9"/>
  <c r="L942" i="9"/>
  <c r="L711" i="9"/>
  <c r="L251" i="9"/>
  <c r="L396" i="9"/>
  <c r="L1072" i="9"/>
  <c r="L1795" i="9"/>
  <c r="L767" i="9"/>
  <c r="L752" i="9"/>
  <c r="L1910" i="9"/>
  <c r="L259" i="9"/>
  <c r="L1973" i="9"/>
  <c r="L1855" i="9"/>
  <c r="L1436" i="9"/>
  <c r="L1123" i="9"/>
  <c r="L497" i="9"/>
  <c r="L1393" i="9"/>
  <c r="L1878" i="9"/>
  <c r="L1379" i="9"/>
  <c r="L993" i="9"/>
  <c r="L1640" i="9"/>
  <c r="L611" i="9"/>
  <c r="L1936" i="9"/>
  <c r="L1897" i="9"/>
  <c r="L535" i="9"/>
  <c r="L1132" i="9"/>
  <c r="L403" i="9"/>
  <c r="L532" i="9"/>
  <c r="L399" i="9"/>
  <c r="L941" i="9"/>
  <c r="L630" i="9"/>
  <c r="L1088" i="9"/>
  <c r="L664" i="9"/>
  <c r="L470" i="9"/>
  <c r="L1639" i="9"/>
  <c r="L951" i="9"/>
  <c r="L1695" i="9"/>
  <c r="L1250" i="9"/>
  <c r="L1269" i="9"/>
  <c r="L984" i="9"/>
  <c r="L414" i="9"/>
  <c r="L1609" i="9"/>
  <c r="L1775" i="9"/>
  <c r="L963" i="9"/>
  <c r="L1231" i="9"/>
  <c r="L291" i="9"/>
  <c r="L712" i="9"/>
  <c r="L1273" i="9"/>
  <c r="L618" i="9"/>
  <c r="L1144" i="9"/>
  <c r="L736" i="9"/>
  <c r="L478" i="9"/>
  <c r="L1413" i="9"/>
  <c r="L437" i="9"/>
  <c r="L693" i="9"/>
  <c r="L1421" i="9"/>
  <c r="L1477" i="9"/>
  <c r="L462" i="9"/>
  <c r="L1131" i="9"/>
  <c r="L998" i="9"/>
  <c r="L297" i="9"/>
  <c r="L967" i="9"/>
  <c r="L1934" i="9"/>
  <c r="L554" i="9"/>
  <c r="L1831" i="9"/>
  <c r="L1173" i="9"/>
  <c r="L1797" i="9"/>
  <c r="L1847" i="9"/>
  <c r="L1851" i="9"/>
  <c r="L542" i="9"/>
  <c r="L359" i="9"/>
  <c r="L1481" i="9"/>
  <c r="L1672" i="9"/>
  <c r="L1296" i="9"/>
  <c r="L516" i="9"/>
  <c r="L460" i="9"/>
  <c r="L1510" i="9"/>
  <c r="L1385" i="9"/>
  <c r="L1644" i="9"/>
  <c r="L1690" i="9"/>
  <c r="L1488" i="9"/>
  <c r="L1708" i="9"/>
  <c r="L1158" i="9"/>
  <c r="L1593" i="9"/>
  <c r="L433" i="9"/>
  <c r="L1320" i="9"/>
  <c r="L1654" i="9"/>
  <c r="L1579" i="9"/>
  <c r="L351" i="9"/>
  <c r="L1849" i="9"/>
  <c r="L1535" i="9"/>
  <c r="L1751" i="9"/>
  <c r="L1572" i="9"/>
  <c r="L1266" i="9"/>
  <c r="L645" i="9"/>
  <c r="L1016" i="9"/>
  <c r="L451" i="9"/>
  <c r="L1948" i="9"/>
  <c r="L1872" i="9"/>
  <c r="L1394" i="9"/>
  <c r="L529" i="9"/>
  <c r="L580" i="9"/>
  <c r="L524" i="9"/>
  <c r="L1916" i="9"/>
  <c r="L759" i="9"/>
  <c r="L1960" i="9"/>
  <c r="L1833" i="9"/>
  <c r="L728" i="9"/>
  <c r="L1547" i="9"/>
  <c r="L1138" i="9"/>
  <c r="L1229" i="9"/>
  <c r="L999" i="9"/>
  <c r="L358" i="9"/>
  <c r="L481" i="9"/>
  <c r="L1472" i="9"/>
  <c r="L817" i="9"/>
  <c r="L1389" i="9"/>
  <c r="L1811" i="9"/>
  <c r="L918" i="9"/>
  <c r="L1999" i="9"/>
  <c r="L1604" i="9"/>
  <c r="L1344" i="9"/>
  <c r="L812" i="9"/>
  <c r="L1043" i="9"/>
  <c r="L755" i="9"/>
  <c r="L607" i="9"/>
  <c r="L1830" i="9"/>
  <c r="L444" i="9"/>
  <c r="L323" i="9"/>
  <c r="L1804" i="9"/>
  <c r="L1362" i="9"/>
  <c r="L534" i="9"/>
  <c r="L1525" i="9"/>
  <c r="L873" i="9"/>
  <c r="L1976" i="9"/>
  <c r="L1598" i="9"/>
  <c r="L1902" i="9"/>
  <c r="L650" i="9"/>
  <c r="L287" i="9"/>
  <c r="L1939" i="9"/>
  <c r="L1648" i="9"/>
  <c r="L1662" i="9"/>
  <c r="L796" i="9"/>
  <c r="L798" i="9"/>
  <c r="L1977" i="9"/>
  <c r="L1133" i="9"/>
  <c r="L421" i="9"/>
  <c r="L1583" i="9"/>
  <c r="L1649" i="9"/>
  <c r="L272" i="9"/>
  <c r="L584" i="9"/>
  <c r="L1405" i="9"/>
  <c r="L1740" i="9"/>
  <c r="L560" i="9"/>
  <c r="L1901" i="9"/>
  <c r="L1634" i="9"/>
  <c r="L1068" i="9"/>
  <c r="L1750" i="9"/>
  <c r="L430" i="9"/>
  <c r="L1699" i="9"/>
  <c r="L1324" i="9"/>
  <c r="L735" i="9"/>
  <c r="L1208" i="9"/>
  <c r="L375" i="9"/>
  <c r="L365" i="9"/>
  <c r="L499" i="9"/>
  <c r="L1945" i="9"/>
  <c r="L1163" i="9"/>
  <c r="L551" i="9"/>
  <c r="L1377" i="9"/>
  <c r="L824" i="9"/>
  <c r="L1582" i="9"/>
  <c r="L1512" i="9"/>
  <c r="L485" i="9"/>
  <c r="L1023" i="9"/>
  <c r="L1605" i="9"/>
  <c r="L1307" i="9"/>
  <c r="L1761" i="9"/>
  <c r="L1676" i="9"/>
  <c r="L493" i="9"/>
  <c r="L1171" i="9"/>
  <c r="L1716" i="9"/>
  <c r="L1900" i="9"/>
  <c r="L1178" i="9"/>
  <c r="L882" i="9"/>
  <c r="L1624" i="9"/>
  <c r="L912" i="9"/>
  <c r="L956" i="9"/>
  <c r="L279" i="9"/>
  <c r="L1291" i="9"/>
  <c r="L559" i="9"/>
  <c r="L1155" i="9"/>
  <c r="L601" i="9"/>
  <c r="L280" i="9"/>
  <c r="L1129" i="9"/>
  <c r="L1720" i="9"/>
  <c r="L1680" i="9"/>
  <c r="L290" i="9"/>
  <c r="L1876" i="9"/>
  <c r="L526" i="9"/>
  <c r="L563" i="9"/>
  <c r="L948" i="9"/>
  <c r="L540" i="9"/>
  <c r="L805" i="9"/>
  <c r="L1346" i="9"/>
  <c r="L1468" i="9"/>
  <c r="L784" i="9"/>
  <c r="L503" i="9"/>
  <c r="L1301" i="9"/>
  <c r="L515" i="9"/>
  <c r="L1968" i="9"/>
  <c r="L419" i="9"/>
  <c r="L1500" i="9"/>
  <c r="L857" i="9"/>
  <c r="L1327" i="9"/>
  <c r="L1411" i="9"/>
  <c r="L1063" i="9"/>
  <c r="L866" i="9"/>
  <c r="L332" i="9"/>
  <c r="L1055" i="9"/>
  <c r="L1276" i="9"/>
  <c r="L1313" i="9"/>
  <c r="L1064" i="9"/>
  <c r="L662" i="9"/>
  <c r="L1913" i="9"/>
  <c r="L1909" i="9"/>
  <c r="L610" i="9"/>
  <c r="L276" i="9"/>
  <c r="L1252" i="9"/>
  <c r="L1232" i="9"/>
  <c r="L1515" i="9"/>
  <c r="L591" i="9"/>
  <c r="L331" i="9"/>
  <c r="L422" i="9"/>
  <c r="L1097" i="9"/>
  <c r="L1259" i="9"/>
  <c r="L1383" i="9"/>
  <c r="L1201" i="9"/>
  <c r="L772" i="9"/>
  <c r="L699" i="9"/>
  <c r="L487" i="9"/>
  <c r="L1283" i="9"/>
  <c r="L310" i="9"/>
  <c r="L1541" i="9"/>
  <c r="L597" i="9"/>
  <c r="L1905" i="9"/>
  <c r="L678" i="9"/>
  <c r="L1561" i="9"/>
  <c r="L1850" i="9"/>
  <c r="L355" i="9"/>
  <c r="L1668" i="9"/>
  <c r="L1034" i="9"/>
  <c r="L880" i="9"/>
  <c r="L1442" i="9"/>
  <c r="L1779" i="9"/>
  <c r="L254" i="9"/>
  <c r="L475" i="9"/>
  <c r="L841" i="9"/>
  <c r="L306" i="9"/>
  <c r="L429" i="9"/>
  <c r="L1237" i="9"/>
  <c r="L1243" i="9"/>
  <c r="L571" i="9"/>
  <c r="L635" i="9"/>
  <c r="L2002" i="9"/>
  <c r="L289" i="9"/>
  <c r="L395" i="9"/>
  <c r="L517" i="9"/>
  <c r="L1311" i="9"/>
  <c r="L1606" i="9"/>
  <c r="L1817" i="9"/>
  <c r="L905" i="9"/>
  <c r="L843" i="9"/>
  <c r="L1048" i="9"/>
  <c r="L2003" i="9"/>
  <c r="L474" i="9"/>
  <c r="L1778" i="9"/>
  <c r="L720" i="9"/>
  <c r="L874" i="9"/>
  <c r="L1337" i="9"/>
  <c r="L1508" i="9"/>
  <c r="L367" i="9"/>
  <c r="L889" i="9"/>
  <c r="L734" i="9"/>
  <c r="L513" i="9"/>
  <c r="L1578" i="9"/>
  <c r="L1200" i="9"/>
  <c r="L1285" i="9"/>
  <c r="L316" i="9"/>
  <c r="L1069" i="9"/>
  <c r="L1226" i="9"/>
  <c r="L1161" i="9"/>
  <c r="L1992" i="9"/>
  <c r="L1384" i="9"/>
  <c r="L823" i="9"/>
  <c r="L338" i="9"/>
  <c r="L1454" i="9"/>
  <c r="L575" i="9"/>
  <c r="L1044" i="9"/>
  <c r="L1026" i="9"/>
  <c r="L582" i="9"/>
  <c r="L1347" i="9"/>
  <c r="L1513" i="9"/>
  <c r="L1187" i="9"/>
  <c r="L1771" i="9"/>
  <c r="L1359" i="9"/>
  <c r="L1874" i="9"/>
  <c r="L1408" i="9"/>
  <c r="L1108" i="9"/>
  <c r="L1608" i="9"/>
  <c r="L1746" i="9"/>
  <c r="L1160" i="9"/>
  <c r="L568" i="9"/>
  <c r="L1478" i="9"/>
  <c r="L1357" i="9"/>
  <c r="L600" i="9"/>
  <c r="L1380" i="9"/>
  <c r="L1864" i="9"/>
  <c r="L342" i="9"/>
  <c r="L527" i="9"/>
  <c r="L1002" i="9"/>
  <c r="L655" i="9"/>
  <c r="L1892" i="9"/>
  <c r="L1181" i="9"/>
  <c r="L694" i="9"/>
  <c r="L685" i="9"/>
  <c r="L578" i="9"/>
  <c r="L598" i="9"/>
  <c r="L1360" i="9"/>
  <c r="L1274" i="9"/>
  <c r="L550" i="9"/>
  <c r="L744" i="9"/>
  <c r="L995" i="9"/>
  <c r="L809" i="9"/>
  <c r="L1856" i="9"/>
  <c r="L1899" i="9"/>
  <c r="L1915" i="9"/>
  <c r="L1169" i="9"/>
  <c r="L1818" i="9"/>
  <c r="L576" i="9"/>
  <c r="L1713" i="9"/>
  <c r="L1829" i="9"/>
  <c r="L1350" i="9"/>
  <c r="L565" i="9"/>
  <c r="L1752" i="9"/>
  <c r="L599" i="9"/>
  <c r="L1704" i="9"/>
  <c r="L561" i="9"/>
  <c r="L504" i="9"/>
  <c r="L1125" i="9"/>
  <c r="L925" i="9"/>
  <c r="L252" i="9"/>
  <c r="L723" i="9"/>
  <c r="L700" i="9"/>
  <c r="L1070" i="9"/>
  <c r="L1534" i="9"/>
  <c r="L285" i="9"/>
  <c r="L528" i="9"/>
  <c r="L1615" i="9"/>
  <c r="L1049" i="9"/>
  <c r="L627" i="9"/>
  <c r="L592" i="9"/>
  <c r="L914" i="9"/>
  <c r="L1812" i="9"/>
  <c r="L958" i="9"/>
  <c r="L1941" i="9"/>
  <c r="L1760" i="9"/>
  <c r="L336" i="9"/>
  <c r="L1637" i="9"/>
  <c r="L1590" i="9"/>
  <c r="L1554" i="9"/>
  <c r="L300" i="9"/>
  <c r="L1642" i="9"/>
  <c r="L757" i="9"/>
  <c r="L1882" i="9"/>
  <c r="L927" i="9"/>
  <c r="L593" i="9"/>
  <c r="L1057" i="9"/>
  <c r="L1736" i="9"/>
  <c r="L1449" i="9"/>
  <c r="L1946" i="9"/>
  <c r="L557" i="9"/>
  <c r="L1279" i="9"/>
  <c r="L1798" i="9"/>
  <c r="L890" i="9"/>
  <c r="L966" i="9"/>
  <c r="L376" i="9"/>
  <c r="L953" i="9"/>
  <c r="L1338" i="9"/>
  <c r="L743" i="9"/>
  <c r="L1061" i="9"/>
  <c r="L658" i="9"/>
  <c r="L840" i="9"/>
  <c r="L1527" i="9"/>
  <c r="L1753" i="9"/>
  <c r="L1597" i="9"/>
  <c r="L1290" i="9"/>
  <c r="L324" i="9"/>
  <c r="L292" i="9"/>
  <c r="L1665" i="9"/>
  <c r="L729" i="9"/>
  <c r="L260" i="9"/>
  <c r="L1842" i="9"/>
  <c r="L1726" i="9"/>
  <c r="L1600" i="9"/>
  <c r="L1254" i="9"/>
  <c r="L1679" i="9"/>
  <c r="L255" i="9"/>
  <c r="L1322" i="9"/>
  <c r="L907" i="9"/>
  <c r="L314" i="9"/>
  <c r="L1444" i="9"/>
  <c r="L1487" i="9"/>
  <c r="L1970" i="9"/>
  <c r="L1530" i="9"/>
  <c r="L1089" i="9"/>
  <c r="L727" i="9"/>
  <c r="L1533" i="9"/>
  <c r="L1467" i="9"/>
  <c r="L1319" i="9"/>
  <c r="L886" i="9"/>
  <c r="L1142" i="9"/>
  <c r="L590" i="9"/>
  <c r="L1300" i="9"/>
  <c r="L1046" i="9"/>
  <c r="L1246" i="9"/>
  <c r="L869" i="9"/>
  <c r="L1388" i="9"/>
  <c r="L1509" i="9"/>
  <c r="L708" i="9"/>
  <c r="L392" i="9"/>
  <c r="L670" i="9"/>
  <c r="L962" i="9"/>
  <c r="L1888" i="9"/>
  <c r="L1759" i="9"/>
  <c r="L816" i="9"/>
  <c r="L1684" i="9"/>
  <c r="L1425" i="9"/>
  <c r="L390" i="9"/>
  <c r="L425" i="9"/>
  <c r="L1613" i="9"/>
  <c r="L996" i="9"/>
  <c r="L1446" i="9"/>
  <c r="L740" i="9"/>
  <c r="L835" i="9"/>
  <c r="L1714" i="9"/>
  <c r="L1556" i="9"/>
  <c r="L1788" i="9"/>
  <c r="L2000" i="9"/>
  <c r="L1167" i="9"/>
  <c r="L1987" i="9"/>
  <c r="L1957" i="9"/>
  <c r="L1316" i="9"/>
  <c r="L466" i="9"/>
  <c r="L855" i="9"/>
  <c r="L1503" i="9"/>
  <c r="L1564" i="9"/>
  <c r="L340" i="9"/>
  <c r="L436" i="9"/>
  <c r="L815" i="9"/>
  <c r="L922" i="9"/>
  <c r="L1800" i="9"/>
  <c r="L1658" i="9"/>
  <c r="L789" i="9"/>
  <c r="L672" i="9"/>
  <c r="L1971" i="9"/>
  <c r="L494" i="9"/>
  <c r="L435" i="9"/>
  <c r="L558" i="9"/>
  <c r="L1457" i="9"/>
  <c r="L1184" i="9"/>
  <c r="L1434" i="9"/>
  <c r="L1066" i="9"/>
  <c r="L1835" i="9"/>
  <c r="L1543" i="9"/>
  <c r="L1728" i="9"/>
  <c r="L1428" i="9"/>
  <c r="L1786" i="9"/>
  <c r="L1814" i="9"/>
  <c r="L1585" i="9"/>
  <c r="L716" i="9"/>
  <c r="L1104" i="9"/>
  <c r="L777" i="9"/>
  <c r="L1180" i="9"/>
  <c r="L1504" i="9"/>
  <c r="L1375" i="9"/>
  <c r="L631" i="9"/>
  <c r="L1206" i="9"/>
  <c r="L1570" i="9"/>
  <c r="L698" i="9"/>
  <c r="L1953" i="9"/>
  <c r="L1917" i="9"/>
  <c r="L1528" i="9"/>
  <c r="L1176" i="9"/>
  <c r="L1756" i="9"/>
  <c r="L659" i="9"/>
  <c r="L1028" i="9"/>
  <c r="L1012" i="9"/>
  <c r="L646" i="9"/>
  <c r="L373" i="9"/>
  <c r="L1643" i="9"/>
  <c r="L1390" i="9"/>
  <c r="L1047" i="9"/>
  <c r="L1912" i="9"/>
  <c r="L1580" i="9"/>
  <c r="L2005" i="9"/>
  <c r="L1146" i="9"/>
  <c r="L265" i="9"/>
  <c r="L782" i="9"/>
  <c r="L970" i="9"/>
  <c r="L1661" i="9"/>
  <c r="L1175" i="9"/>
  <c r="L1098" i="9"/>
  <c r="L1737" i="9"/>
  <c r="L1521" i="9"/>
  <c r="L1617" i="9"/>
  <c r="L454" i="9"/>
  <c r="L1130" i="9"/>
  <c r="L271" i="9"/>
  <c r="L1925" i="9"/>
  <c r="L523" i="9"/>
  <c r="L364" i="9"/>
  <c r="L1426" i="9"/>
  <c r="L667" i="9"/>
  <c r="L393" i="9"/>
  <c r="L1669" i="9"/>
  <c r="L1040" i="9"/>
  <c r="L320" i="9"/>
  <c r="L1792" i="9"/>
  <c r="L269" i="9"/>
  <c r="L1476" i="9"/>
  <c r="L1019" i="9"/>
  <c r="L1282" i="9"/>
  <c r="L602" i="9"/>
  <c r="L1486" i="9"/>
  <c r="L702" i="9"/>
  <c r="L923" i="9"/>
  <c r="L1253" i="9"/>
  <c r="L828" i="9"/>
  <c r="L1304" i="9"/>
  <c r="L604" i="9"/>
  <c r="L1742" i="9"/>
  <c r="L842" i="9"/>
  <c r="L1868" i="9"/>
  <c r="L1523" i="9"/>
  <c r="L1754" i="9"/>
  <c r="L1573" i="9"/>
  <c r="L1544" i="9"/>
  <c r="L1297" i="9"/>
  <c r="L833" i="9"/>
  <c r="L334" i="9"/>
  <c r="L1086" i="9"/>
  <c r="L868" i="9"/>
  <c r="L895" i="9"/>
  <c r="L1789" i="9"/>
  <c r="L1532" i="9"/>
  <c r="L1576" i="9"/>
  <c r="L964" i="9"/>
  <c r="L1340" i="9"/>
  <c r="L1743" i="9"/>
  <c r="L1236" i="9"/>
  <c r="L1004" i="9"/>
  <c r="L1589" i="9"/>
  <c r="L1143" i="9"/>
  <c r="L1822" i="9"/>
  <c r="L1095" i="9"/>
  <c r="L1944" i="9"/>
  <c r="L1303" i="9"/>
  <c r="L1979" i="9"/>
  <c r="L851" i="9"/>
  <c r="L1479" i="9"/>
  <c r="L1619" i="9"/>
  <c r="L391" i="9"/>
  <c r="L1223" i="9"/>
  <c r="L1328" i="9"/>
  <c r="L1673" i="9"/>
  <c r="L908" i="9"/>
  <c r="L900" i="9"/>
  <c r="L879" i="9"/>
  <c r="L1441" i="9"/>
  <c r="L653" i="9"/>
  <c r="L920" i="9"/>
  <c r="L978" i="9"/>
  <c r="L661" i="9"/>
  <c r="L490" i="9"/>
  <c r="L1924" i="9"/>
  <c r="L543" i="9"/>
  <c r="L586" i="9"/>
  <c r="L585" i="9"/>
  <c r="L1677" i="9"/>
  <c r="L1185" i="9"/>
  <c r="L1929" i="9"/>
  <c r="L1218" i="9"/>
  <c r="L383" i="9"/>
  <c r="L1136" i="9"/>
  <c r="L368" i="9"/>
  <c r="L1592" i="9"/>
  <c r="L687" i="9"/>
  <c r="L731" i="9"/>
  <c r="L615" i="9"/>
  <c r="L1821" i="9"/>
  <c r="L1225" i="9"/>
  <c r="L1498" i="9"/>
  <c r="L947" i="9"/>
  <c r="L1542" i="9"/>
  <c r="L1398" i="9"/>
  <c r="L1616" i="9"/>
  <c r="L1352" i="9"/>
  <c r="L477" i="9"/>
  <c r="L1885" i="9"/>
  <c r="L1823" i="9"/>
  <c r="L1696" i="9"/>
  <c r="L1994" i="9"/>
  <c r="L939" i="9"/>
  <c r="L850" i="9"/>
  <c r="L343" i="9"/>
  <c r="L1731" i="9"/>
  <c r="L1577" i="9"/>
  <c r="L829" i="9"/>
  <c r="L632" i="9"/>
  <c r="L572" i="9"/>
  <c r="L626" i="9"/>
  <c r="L1926" i="9"/>
  <c r="L921" i="9"/>
  <c r="L1353" i="9"/>
  <c r="L1806" i="9"/>
  <c r="L1611" i="9"/>
  <c r="L940" i="9"/>
  <c r="L1514" i="9"/>
  <c r="L643" i="9"/>
  <c r="L891" i="9"/>
  <c r="L1221" i="9"/>
  <c r="L1032" i="9"/>
  <c r="L453" i="9"/>
  <c r="L710" i="9"/>
  <c r="L1331" i="9"/>
  <c r="L1657" i="9"/>
  <c r="L1954" i="9"/>
  <c r="L875" i="9"/>
  <c r="L1465" i="9"/>
  <c r="L1824" i="9"/>
  <c r="L347" i="9"/>
  <c r="L969" i="9"/>
  <c r="L264" i="9"/>
  <c r="L1288" i="9"/>
  <c r="L562" i="9"/>
  <c r="L322" i="9"/>
  <c r="L849" i="9"/>
  <c r="L1836" i="9"/>
  <c r="L1459" i="9"/>
  <c r="L1463" i="9"/>
  <c r="L1819" i="9"/>
  <c r="L1560" i="9"/>
  <c r="L583" i="9"/>
  <c r="L1356" i="9"/>
  <c r="L870" i="9"/>
  <c r="L432" i="9"/>
  <c r="L1376" i="9"/>
  <c r="L1666" i="9"/>
  <c r="L1631" i="9"/>
  <c r="L1810" i="9"/>
  <c r="L1397" i="9"/>
  <c r="L1271" i="9"/>
  <c r="L1120" i="9"/>
  <c r="L1190" i="9"/>
  <c r="L748" i="9"/>
  <c r="L1438" i="9"/>
  <c r="L1627" i="9"/>
  <c r="L1255" i="9"/>
  <c r="L1633" i="9"/>
  <c r="L1427" i="9"/>
  <c r="L1333" i="9"/>
  <c r="L256" i="9"/>
  <c r="L1694" i="9"/>
  <c r="L788" i="9"/>
  <c r="L1157" i="9"/>
  <c r="L1703" i="9"/>
  <c r="L1124" i="9"/>
  <c r="L673" i="9"/>
  <c r="L677" i="9"/>
  <c r="L1056" i="9"/>
  <c r="L637" i="9"/>
  <c r="L1045" i="9"/>
  <c r="L750" i="9"/>
  <c r="L1484" i="9"/>
  <c r="L1718" i="9"/>
  <c r="L1000" i="9"/>
  <c r="L484" i="9"/>
  <c r="L1686" i="9"/>
  <c r="L986" i="9"/>
  <c r="L321" i="9"/>
  <c r="L1119" i="9"/>
  <c r="L1165" i="9"/>
  <c r="L1087" i="9"/>
  <c r="L1706" i="9"/>
  <c r="L977" i="9"/>
  <c r="L1423" i="9"/>
  <c r="L547" i="9"/>
  <c r="L1997" i="9"/>
  <c r="L1406" i="9"/>
  <c r="L826" i="9"/>
  <c r="L1758" i="9"/>
  <c r="L1651" i="9"/>
  <c r="L1937" i="9"/>
  <c r="L579" i="9"/>
  <c r="L1815" i="9"/>
  <c r="L1198" i="9"/>
  <c r="L762" i="9"/>
  <c r="L530" i="9"/>
  <c r="L1883" i="9"/>
  <c r="L387" i="9"/>
  <c r="L357" i="9"/>
  <c r="L1306" i="9"/>
  <c r="L538" i="9"/>
  <c r="L904" i="9"/>
  <c r="L1082" i="9"/>
  <c r="L982" i="9"/>
  <c r="L1630" i="9"/>
  <c r="L311" i="9"/>
  <c r="L916" i="9"/>
  <c r="L472" i="9"/>
  <c r="L713" i="9"/>
  <c r="L298" i="9"/>
  <c r="L616" i="9"/>
  <c r="L1415" i="9"/>
  <c r="L1803" i="9"/>
  <c r="L1963" i="9"/>
  <c r="L1067" i="9"/>
  <c r="L813" i="9"/>
  <c r="L1139" i="9"/>
  <c r="L1683" i="9"/>
  <c r="L385" i="9"/>
  <c r="L1693" i="9"/>
  <c r="L865" i="9"/>
  <c r="L1126" i="9"/>
  <c r="L1278" i="9"/>
  <c r="L768" i="9"/>
  <c r="L480" i="9"/>
  <c r="L1621" i="9"/>
  <c r="L397" i="9"/>
  <c r="L1808" i="9"/>
  <c r="L1964" i="9"/>
  <c r="L1220" i="9"/>
  <c r="L1140" i="9"/>
  <c r="L1018" i="9"/>
  <c r="L1149" i="9"/>
  <c r="L660" i="9"/>
  <c r="L926" i="9"/>
  <c r="L1118" i="9"/>
  <c r="L305" i="9"/>
  <c r="L337" i="9"/>
  <c r="L1077" i="9"/>
  <c r="L386" i="9"/>
  <c r="L555" i="9"/>
  <c r="L1412" i="9"/>
  <c r="L1392" i="9"/>
  <c r="L363" i="9"/>
  <c r="L771" i="9"/>
  <c r="L1264" i="9"/>
  <c r="L1990" i="9"/>
  <c r="L1794" i="9"/>
  <c r="L617" i="9"/>
  <c r="L1537" i="9"/>
  <c r="L509" i="9"/>
  <c r="L1265" i="9"/>
  <c r="L859" i="9"/>
  <c r="L1620" i="9"/>
  <c r="L1614" i="9"/>
  <c r="L1287" i="9"/>
  <c r="L1931" i="9"/>
  <c r="L569" i="9"/>
  <c r="L1242" i="9"/>
  <c r="L1151" i="9"/>
  <c r="L1607" i="9"/>
  <c r="L994" i="9"/>
  <c r="L501" i="9"/>
  <c r="L1111" i="9"/>
  <c r="L847" i="9"/>
  <c r="L408" i="9"/>
  <c r="L327" i="9"/>
  <c r="L848" i="9"/>
  <c r="L1793" i="9"/>
  <c r="L1884" i="9"/>
  <c r="L521" i="9"/>
  <c r="L954" i="9"/>
  <c r="L971" i="9"/>
  <c r="L776" i="9"/>
  <c r="L1832" i="9"/>
  <c r="L1568" i="9"/>
  <c r="L278" i="9"/>
  <c r="L1202" i="9"/>
  <c r="L975" i="9"/>
  <c r="L1981" i="9"/>
  <c r="L668" i="9"/>
  <c r="L1557" i="9"/>
  <c r="L1074" i="9"/>
  <c r="L384" i="9"/>
  <c r="L378" i="9"/>
  <c r="L644" i="9"/>
  <c r="L742" i="9"/>
  <c r="L1017" i="9"/>
  <c r="L846" i="9"/>
  <c r="L1387" i="9"/>
  <c r="L682" i="9"/>
  <c r="L1927" i="9"/>
  <c r="L786" i="9"/>
  <c r="L1033" i="9"/>
  <c r="L1765" i="9"/>
  <c r="L1781" i="9"/>
  <c r="L1367" i="9"/>
  <c r="L1073" i="9"/>
  <c r="L492" i="9"/>
  <c r="L1660" i="9"/>
  <c r="L458" i="9"/>
  <c r="L1522" i="9"/>
  <c r="L1409" i="9"/>
  <c r="L822" i="9"/>
  <c r="L704" i="9"/>
  <c r="L737" i="9"/>
  <c r="L1365" i="9"/>
  <c r="L1041" i="9"/>
  <c r="L706" i="9"/>
  <c r="L1517" i="9"/>
  <c r="L1006" i="9"/>
  <c r="L1697" i="9"/>
  <c r="L1060" i="9"/>
  <c r="L349" i="9"/>
  <c r="L1565" i="9"/>
  <c r="L726" i="9"/>
  <c r="L1618" i="9"/>
  <c r="L1152" i="9"/>
  <c r="L1054" i="9"/>
  <c r="L1952" i="9"/>
  <c r="L799" i="9"/>
  <c r="L464" i="9"/>
  <c r="L1396" i="9"/>
  <c r="L679" i="9"/>
  <c r="L1010" i="9"/>
  <c r="L919" i="9"/>
  <c r="L1235" i="9"/>
  <c r="L991" i="9"/>
  <c r="L1440" i="9"/>
  <c r="L389" i="9"/>
  <c r="L649" i="9"/>
  <c r="L807" i="9"/>
  <c r="L1489" i="9"/>
  <c r="L1655" i="9"/>
  <c r="L856" i="9"/>
  <c r="L1820" i="9"/>
  <c r="L1166" i="9"/>
  <c r="L1204" i="9"/>
  <c r="L1113" i="9"/>
  <c r="L745" i="9"/>
  <c r="L952" i="9"/>
  <c r="L642" i="9"/>
  <c r="L785" i="9"/>
  <c r="L1569" i="9"/>
  <c r="L1891" i="9"/>
  <c r="L756" i="9"/>
  <c r="L473" i="9"/>
  <c r="L965" i="9"/>
  <c r="L1961" i="9"/>
  <c r="L898" i="9"/>
  <c r="L603" i="9"/>
  <c r="L1222" i="9"/>
  <c r="L388" i="9"/>
  <c r="L1725" i="9"/>
  <c r="L457" i="9"/>
  <c r="L372" i="9"/>
  <c r="L1747" i="9"/>
  <c r="L794" i="9"/>
  <c r="L1370" i="9"/>
  <c r="L1464" i="9"/>
  <c r="L1433" i="9"/>
  <c r="L612" i="9"/>
  <c r="L1286" i="9"/>
  <c r="L1493" i="9"/>
  <c r="L1020" i="9"/>
  <c r="L1860" i="9"/>
  <c r="L741" i="9"/>
  <c r="L1051" i="9"/>
  <c r="L506" i="9"/>
  <c r="L1538" i="9"/>
  <c r="L931" i="9"/>
  <c r="L1217" i="9"/>
  <c r="L1092" i="9"/>
  <c r="L1075" i="9"/>
  <c r="L893" i="9"/>
  <c r="L1205" i="9"/>
  <c r="L1727" i="9"/>
  <c r="L1212" i="9"/>
  <c r="L1707" i="9"/>
  <c r="L1768" i="9"/>
  <c r="L1039" i="9"/>
  <c r="L1770" i="9"/>
  <c r="L974" i="9"/>
  <c r="L573" i="9"/>
  <c r="L330" i="9"/>
  <c r="L797" i="9"/>
  <c r="L1782" i="9"/>
  <c r="L1461" i="9"/>
  <c r="L447" i="9"/>
  <c r="L1893" i="9"/>
  <c r="L747" i="9"/>
  <c r="L400" i="9"/>
  <c r="L955" i="9"/>
  <c r="L1309" i="9"/>
  <c r="L1348" i="9"/>
  <c r="L775" i="9"/>
  <c r="L791" i="9"/>
  <c r="L445" i="9"/>
  <c r="L686" i="9"/>
  <c r="L820" i="9"/>
  <c r="L1914" i="9"/>
  <c r="L1539" i="9"/>
  <c r="L319" i="9"/>
  <c r="L1738" i="9"/>
  <c r="L1141" i="9"/>
  <c r="L1552" i="9"/>
  <c r="L1420" i="9"/>
  <c r="L398" i="9"/>
  <c r="L683" i="9"/>
  <c r="L1869" i="9"/>
  <c r="L1386" i="9"/>
  <c r="L1451" i="9"/>
  <c r="L1496" i="9"/>
  <c r="L325" i="9"/>
  <c r="L878" i="9"/>
  <c r="L1239" i="9"/>
  <c r="L861" i="9"/>
  <c r="L258" i="9"/>
  <c r="L1343" i="9"/>
  <c r="L901" i="9"/>
  <c r="L1762" i="9"/>
  <c r="L1107" i="9"/>
  <c r="L533" i="9"/>
  <c r="L536" i="9"/>
  <c r="L423" i="9"/>
  <c r="L780" i="9"/>
  <c r="L1733" i="9"/>
  <c r="L696" i="9"/>
  <c r="L684" i="9"/>
  <c r="L1483" i="9"/>
  <c r="L1369" i="9"/>
  <c r="L1179" i="9"/>
  <c r="L1245" i="9"/>
  <c r="L1314" i="9"/>
  <c r="L1452" i="9"/>
  <c r="L1993" i="9"/>
  <c r="L979" i="9"/>
  <c r="L1734" i="9"/>
  <c r="L1261" i="9"/>
  <c r="L1932" i="9"/>
  <c r="L1326" i="9"/>
  <c r="L1195" i="9"/>
  <c r="L1711" i="9"/>
  <c r="L594" i="9"/>
  <c r="L417" i="9"/>
  <c r="L1207" i="9"/>
  <c r="L1520" i="9"/>
  <c r="L1646" i="9"/>
  <c r="L1096" i="9"/>
  <c r="L1739" i="9"/>
  <c r="L802" i="9"/>
  <c r="L461" i="9"/>
  <c r="L943" i="9"/>
  <c r="L284" i="9"/>
  <c r="L1591" i="9"/>
  <c r="L730" i="9"/>
  <c r="L862" i="9"/>
  <c r="L1035" i="9"/>
  <c r="L625" i="9"/>
  <c r="L897" i="9"/>
  <c r="L1424" i="9"/>
  <c r="L754" i="9"/>
  <c r="L935" i="9"/>
  <c r="L564" i="9"/>
  <c r="L1816" i="9"/>
  <c r="L1374" i="9"/>
  <c r="L1062" i="9"/>
  <c r="L774" i="9"/>
  <c r="L1524" i="9"/>
  <c r="L1764" i="9"/>
  <c r="L1341" i="9"/>
  <c r="L639" i="9"/>
  <c r="L1938" i="9"/>
  <c r="L1009" i="9"/>
  <c r="L1499" i="9"/>
  <c r="L795" i="9"/>
  <c r="L949" i="9"/>
  <c r="L1270" i="9"/>
  <c r="L1109" i="9"/>
  <c r="L1675" i="9"/>
  <c r="L489" i="9"/>
  <c r="L581" i="9"/>
  <c r="L1859" i="9"/>
  <c r="L519" i="9"/>
  <c r="L1671" i="9"/>
  <c r="L1807" i="9"/>
  <c r="L1450" i="9"/>
  <c r="L1402" i="9"/>
  <c r="L293" i="9"/>
  <c r="L1722" i="9"/>
  <c r="L1921" i="9"/>
  <c r="L1435" i="9"/>
  <c r="L983" i="9"/>
  <c r="L714" i="9"/>
  <c r="L553" i="9"/>
  <c r="L1085" i="9"/>
  <c r="L1076" i="9"/>
  <c r="L717" i="9"/>
  <c r="L1647" i="9"/>
  <c r="L1982" i="9"/>
  <c r="L1903" i="9"/>
  <c r="L936" i="9"/>
  <c r="L1182" i="9"/>
  <c r="L1724" i="9"/>
  <c r="L1861" i="9"/>
  <c r="L413" i="9"/>
  <c r="L680" i="9"/>
  <c r="L1663" i="9"/>
  <c r="L892" i="9"/>
  <c r="L1700" i="9"/>
  <c r="L831" i="9"/>
  <c r="L1121" i="9"/>
  <c r="L1886" i="9"/>
  <c r="L1295" i="9"/>
  <c r="L1526" i="9"/>
  <c r="L1058" i="9"/>
  <c r="L1351" i="9"/>
  <c r="L665" i="9"/>
  <c r="L507" i="9"/>
  <c r="L1719" i="9"/>
  <c r="L1372" i="9"/>
  <c r="L257" i="9"/>
  <c r="L1298" i="9"/>
  <c r="L808" i="9"/>
  <c r="L549" i="9"/>
  <c r="L1780" i="9"/>
  <c r="L1050" i="9"/>
  <c r="L989" i="9"/>
  <c r="L427" i="9"/>
  <c r="L1280" i="9"/>
  <c r="L1791" i="9"/>
  <c r="L1168" i="9"/>
  <c r="L1473" i="9"/>
  <c r="L1511" i="9"/>
  <c r="L426" i="9"/>
  <c r="L318" i="9"/>
  <c r="L654" i="9"/>
  <c r="L1323" i="9"/>
  <c r="L781" i="9"/>
  <c r="L1813" i="9"/>
  <c r="L262" i="9"/>
  <c r="L2004" i="9"/>
  <c r="L669" i="9"/>
  <c r="L1302" i="9"/>
  <c r="L1825" i="9"/>
  <c r="L621" i="9"/>
  <c r="L1844" i="9"/>
  <c r="L1763" i="9"/>
  <c r="L1334" i="9"/>
  <c r="L1839" i="9"/>
  <c r="L877" i="9"/>
  <c r="L1596" i="9"/>
  <c r="L1732" i="9"/>
  <c r="L1485" i="9"/>
  <c r="L1674" i="9"/>
  <c r="L933" i="9"/>
  <c r="L339" i="9"/>
  <c r="L1081" i="9"/>
  <c r="L1090" i="9"/>
  <c r="L1685" i="9"/>
  <c r="L1965" i="9"/>
  <c r="L701" i="9"/>
  <c r="L253" i="9"/>
  <c r="L1213" i="9"/>
  <c r="L1117" i="9"/>
  <c r="L1194" i="9"/>
  <c r="L1991" i="9"/>
  <c r="L442" i="9"/>
  <c r="L1256" i="9"/>
  <c r="L1974" i="9"/>
  <c r="L1505" i="9"/>
  <c r="L1275" i="9"/>
  <c r="L1292" i="9"/>
  <c r="L896" i="9"/>
  <c r="L804" i="9"/>
  <c r="L1053" i="9"/>
  <c r="L1670" i="9"/>
  <c r="L1094" i="9"/>
  <c r="L1507" i="9"/>
  <c r="L1895" i="9"/>
  <c r="L282" i="9"/>
  <c r="L1863" i="9"/>
  <c r="L1935" i="9"/>
  <c r="L1078" i="9"/>
  <c r="L270" i="9"/>
  <c r="L1656" i="9"/>
  <c r="L1904" i="9"/>
  <c r="L341" i="9"/>
  <c r="L945" i="9"/>
  <c r="L406" i="9"/>
  <c r="L411" i="9"/>
  <c r="L1416" i="9"/>
  <c r="L467" i="9"/>
  <c r="L1873" i="9"/>
  <c r="L681" i="9"/>
  <c r="L709" i="9"/>
  <c r="L588" i="9"/>
  <c r="L1928" i="9"/>
  <c r="L415" i="9"/>
  <c r="L657" i="9"/>
  <c r="L1947" i="9"/>
  <c r="L619" i="9"/>
  <c r="L552" i="9"/>
  <c r="L1548" i="9"/>
  <c r="L746" i="9"/>
  <c r="L1559" i="9"/>
  <c r="L1216" i="9"/>
  <c r="L1022" i="9"/>
  <c r="L1852" i="9"/>
  <c r="L852" i="9"/>
  <c r="L1268" i="9"/>
  <c r="L876" i="9"/>
  <c r="L431" i="9"/>
  <c r="L885" i="9"/>
  <c r="L520" i="9"/>
  <c r="L344" i="9"/>
  <c r="L1330" i="9"/>
  <c r="L418" i="9"/>
  <c r="L1361" i="9"/>
  <c r="L1745" i="9"/>
  <c r="L1894" i="9"/>
  <c r="L1037" i="9"/>
  <c r="L1827" i="9"/>
  <c r="L1172" i="9"/>
  <c r="L1610" i="9"/>
  <c r="L1942" i="9"/>
  <c r="L294" i="9"/>
  <c r="L518" i="9"/>
  <c r="L1958" i="9"/>
  <c r="L1101" i="9"/>
  <c r="L1310" i="9"/>
  <c r="L1015" i="9"/>
  <c r="L483" i="9"/>
  <c r="L961" i="9"/>
  <c r="L1466" i="9"/>
  <c r="L930" i="9"/>
  <c r="L1248" i="9"/>
  <c r="L1431" i="9"/>
  <c r="L1234" i="9"/>
  <c r="L309" i="9"/>
  <c r="L1162" i="9"/>
  <c r="L1862" i="9"/>
  <c r="L883" i="9"/>
  <c r="L1024" i="9"/>
  <c r="L634" i="9"/>
  <c r="L1687" i="9"/>
  <c r="L980" i="9"/>
  <c r="L438" i="9"/>
  <c r="L606" i="9"/>
  <c r="L834" i="9"/>
  <c r="L1705" i="9"/>
  <c r="L1911" i="9"/>
  <c r="L1890" i="9"/>
  <c r="L350" i="9"/>
  <c r="L1029" i="9"/>
  <c r="L725" i="9"/>
  <c r="L624" i="9"/>
  <c r="L459" i="9"/>
  <c r="L1083" i="9"/>
  <c r="L1555" i="9"/>
  <c r="L288" i="9"/>
  <c r="L1257" i="9"/>
  <c r="L906" i="9"/>
  <c r="L968" i="9"/>
  <c r="L832" i="9"/>
  <c r="L328" i="9"/>
  <c r="L1796" i="9"/>
  <c r="L1871" i="9"/>
  <c r="L845" i="9"/>
  <c r="L275" i="9"/>
  <c r="L1335" i="9"/>
  <c r="L1494" i="9"/>
  <c r="L356" i="9"/>
  <c r="L1156" i="9"/>
  <c r="L379" i="9"/>
  <c r="L1260" i="9"/>
  <c r="L689" i="9"/>
  <c r="L1956" i="9"/>
  <c r="L1828" i="9"/>
  <c r="L380" i="9"/>
  <c r="L1702" i="9"/>
  <c r="L691" i="9"/>
  <c r="L1332" i="9"/>
  <c r="L495" i="9"/>
  <c r="L1955" i="9"/>
  <c r="L1400" i="9"/>
  <c r="L348" i="9"/>
  <c r="L894" i="9"/>
  <c r="L1774" i="9"/>
  <c r="L401" i="9"/>
  <c r="L514" i="9"/>
  <c r="L500" i="9"/>
  <c r="L1907" i="9"/>
  <c r="L753" i="9"/>
  <c r="L1922" i="9"/>
  <c r="L988" i="9"/>
  <c r="L719" i="9"/>
  <c r="L783" i="9"/>
  <c r="L296" i="9"/>
  <c r="L1501" i="9"/>
  <c r="L1429" i="9"/>
  <c r="L739" i="9"/>
  <c r="L353" i="9"/>
  <c r="L1329" i="9"/>
  <c r="L858" i="9"/>
  <c r="L1653" i="9"/>
  <c r="L1368" i="9"/>
  <c r="L587" i="9"/>
  <c r="L1228" i="9"/>
  <c r="L1853" i="9"/>
  <c r="L1267" i="9"/>
  <c r="L1399" i="9"/>
  <c r="L1566" i="9"/>
  <c r="L1757" i="9"/>
  <c r="L1106" i="9"/>
  <c r="L1805" i="9"/>
  <c r="L1135" i="9"/>
  <c r="L1988" i="9"/>
  <c r="L1251" i="9"/>
  <c r="L1209" i="9"/>
  <c r="L1898" i="9"/>
  <c r="L663" i="9"/>
  <c r="L871" i="9"/>
  <c r="L1546" i="9"/>
  <c r="L1843" i="9"/>
  <c r="L1773" i="9"/>
  <c r="L456" i="9"/>
  <c r="L449" i="9"/>
  <c r="L1995" i="9"/>
  <c r="L854" i="9"/>
  <c r="L1038" i="9"/>
  <c r="L273" i="9"/>
  <c r="L1701" i="9"/>
  <c r="L1471" i="9"/>
  <c r="L1575" i="9"/>
  <c r="L1345" i="9"/>
  <c r="L648" i="9"/>
  <c r="L764" i="9"/>
  <c r="L1989" i="9"/>
  <c r="L1975" i="9"/>
  <c r="L1967" i="9"/>
  <c r="L1641" i="9"/>
  <c r="L1177" i="9"/>
  <c r="L570" i="9"/>
  <c r="L360" i="9"/>
  <c r="L1870" i="9"/>
  <c r="L1317" i="9"/>
  <c r="L1516" i="9"/>
  <c r="L1790" i="9"/>
  <c r="L761" i="9"/>
  <c r="L758" i="9"/>
  <c r="L1755" i="9"/>
  <c r="L1294" i="9"/>
  <c r="L1603" i="9"/>
  <c r="L1854" i="9"/>
  <c r="L1272" i="9"/>
  <c r="L1189" i="9"/>
  <c r="L722" i="9"/>
  <c r="L1875" i="9"/>
  <c r="L455" i="9"/>
  <c r="L329" i="9"/>
  <c r="L1652" i="9"/>
  <c r="L770" i="9"/>
  <c r="L981" i="9"/>
  <c r="L803" i="9"/>
  <c r="L1308" i="9"/>
  <c r="L1933" i="9"/>
  <c r="L1191" i="9"/>
  <c r="L1014" i="9"/>
  <c r="L1865" i="9"/>
  <c r="L1950" i="9"/>
  <c r="L1949" i="9"/>
  <c r="L1448" i="9"/>
  <c r="L1628" i="9"/>
  <c r="L1969" i="9"/>
  <c r="L1147" i="9"/>
  <c r="L315" i="9"/>
  <c r="L864" i="9"/>
  <c r="L903" i="9"/>
  <c r="L420" i="9"/>
  <c r="L1203" i="9"/>
  <c r="L1584" i="9"/>
  <c r="L778" i="9"/>
  <c r="L1277" i="9"/>
  <c r="L1241" i="9"/>
  <c r="L1363" i="9"/>
  <c r="L428" i="9"/>
  <c r="L827" i="9"/>
  <c r="L1258" i="9"/>
  <c r="L1599" i="9"/>
  <c r="L1227" i="9"/>
  <c r="L352" i="9"/>
  <c r="L733" i="9"/>
  <c r="L1305" i="9"/>
  <c r="L1622" i="9"/>
  <c r="L1748" i="9"/>
  <c r="L909" i="9"/>
  <c r="L613" i="9"/>
  <c r="L1240" i="9"/>
</calcChain>
</file>

<file path=xl/sharedStrings.xml><?xml version="1.0" encoding="utf-8"?>
<sst xmlns="http://schemas.openxmlformats.org/spreadsheetml/2006/main" count="754" uniqueCount="252">
  <si>
    <t>액상 잉크 Lot 추적 관리 시스템</t>
  </si>
  <si>
    <t>📊 시트 구성</t>
  </si>
  <si>
    <t xml:space="preserve">  • Spec_Binder: Binder 사양 기준 (PBHAv1.0, SBCT, SCRA)</t>
  </si>
  <si>
    <t xml:space="preserve">  • Spec_Single_HEMA: HEMA 단일색 잉크 점도 기준 (21종)</t>
  </si>
  <si>
    <t xml:space="preserve">  • Spec_Single_Silicone: Silicone 단일색 잉크 점도 기준 (18종)</t>
  </si>
  <si>
    <t xml:space="preserve">  • 기준LAB: 착색력 기준 L*a*b* 값</t>
  </si>
  <si>
    <t xml:space="preserve">  • 단일색_착색력: 착색력 측정 및 ΔE 자동 계산</t>
  </si>
  <si>
    <t xml:space="preserve">  • 단일색_수입검사: 단일색 잉크 입고 검사 (Lot 자동생성, 판정 자동)</t>
  </si>
  <si>
    <t xml:space="preserve">  • 바인더_제조_입고: Binder 제조/입고 관리 (Lot 자동, 판정 자동)</t>
  </si>
  <si>
    <t xml:space="preserve">  • Lot규칙_단일색: Lot 번호 부여 규칙</t>
  </si>
  <si>
    <t>✅ 자동화 기능</t>
  </si>
  <si>
    <t xml:space="preserve">  • Lot 번호 자동 생성 (날짜 기반)</t>
  </si>
  <si>
    <t xml:space="preserve">  • 점도 판정 자동 (Spec 기준 조회)</t>
  </si>
  <si>
    <t xml:space="preserve">  • ΔE 자동 계산 (√((ΔL*)²+(Δa*)²+(Δb*)²))</t>
  </si>
  <si>
    <t xml:space="preserve">  • Binder 추적 (단일색 잉크 → 사용 Binder Lot)</t>
  </si>
  <si>
    <t>바인더명</t>
  </si>
  <si>
    <t>시험항목</t>
  </si>
  <si>
    <t>시험조건</t>
  </si>
  <si>
    <t>기준값</t>
  </si>
  <si>
    <t>하한</t>
  </si>
  <si>
    <t>상한</t>
  </si>
  <si>
    <t>비고</t>
  </si>
  <si>
    <t>Lot부여규칙</t>
  </si>
  <si>
    <t>PBHAv1.0</t>
  </si>
  <si>
    <t>UV 흡광도</t>
  </si>
  <si>
    <t>405 nm</t>
  </si>
  <si>
    <t>≤ 0.40</t>
  </si>
  <si>
    <t>HEMA용, 외주(SM Tech)</t>
  </si>
  <si>
    <t>PCB+YYYYMMDD-##</t>
  </si>
  <si>
    <t>점도(cP)</t>
  </si>
  <si>
    <t>25 °C</t>
  </si>
  <si>
    <t>410 ± 50</t>
  </si>
  <si>
    <t>Brookfield 기준</t>
  </si>
  <si>
    <t>PBHBv1.0</t>
  </si>
  <si>
    <t>HEMA용, 내부/신규</t>
  </si>
  <si>
    <t>SBCT</t>
  </si>
  <si>
    <t>170~220</t>
  </si>
  <si>
    <t>Silicone Binder 1</t>
  </si>
  <si>
    <t>SBCT+YYYYMMDD</t>
  </si>
  <si>
    <t>SCRA</t>
  </si>
  <si>
    <t>50~70</t>
  </si>
  <si>
    <t>SCRA+YYYYMMDD</t>
  </si>
  <si>
    <t>색상군</t>
  </si>
  <si>
    <t>제품코드</t>
  </si>
  <si>
    <t>점도기준(cP)</t>
  </si>
  <si>
    <t>허용편차(±)</t>
  </si>
  <si>
    <t>BinderType</t>
  </si>
  <si>
    <t>Black</t>
  </si>
  <si>
    <t>PL-835-1</t>
  </si>
  <si>
    <t>PL-835-1(H)</t>
  </si>
  <si>
    <t>PL-850</t>
  </si>
  <si>
    <t>White</t>
  </si>
  <si>
    <t>PL-700-2</t>
  </si>
  <si>
    <t>PL-735</t>
  </si>
  <si>
    <t>NPL-700-2</t>
  </si>
  <si>
    <t>NPL-735</t>
  </si>
  <si>
    <t>Blue</t>
  </si>
  <si>
    <t>PL-550</t>
  </si>
  <si>
    <t>PL-580</t>
  </si>
  <si>
    <t>PL-580-2</t>
  </si>
  <si>
    <t>PL-580-2(H)</t>
  </si>
  <si>
    <t>NPL-580-2</t>
  </si>
  <si>
    <t>Green</t>
  </si>
  <si>
    <t>PL-435</t>
  </si>
  <si>
    <t>Yellow</t>
  </si>
  <si>
    <t>PL-345-2</t>
  </si>
  <si>
    <t>PL-345-3</t>
  </si>
  <si>
    <t>NPL-345-3</t>
  </si>
  <si>
    <t>Red</t>
  </si>
  <si>
    <t>PL-150-2</t>
  </si>
  <si>
    <t>NPL-150-2</t>
  </si>
  <si>
    <t>Pink</t>
  </si>
  <si>
    <t>PL-135</t>
  </si>
  <si>
    <t>NPL-135</t>
  </si>
  <si>
    <t>NPL-835-1</t>
  </si>
  <si>
    <t>SL-850</t>
  </si>
  <si>
    <t>SL-830</t>
  </si>
  <si>
    <t>SL-820-1</t>
  </si>
  <si>
    <t>SL-820</t>
  </si>
  <si>
    <t>NSL-850</t>
  </si>
  <si>
    <t>SL-700</t>
  </si>
  <si>
    <t>SL-700-1</t>
  </si>
  <si>
    <t>NSL-700-1</t>
  </si>
  <si>
    <t>NSL-735</t>
  </si>
  <si>
    <t>SL-550</t>
  </si>
  <si>
    <t>SL-550-1</t>
  </si>
  <si>
    <t>NSL-550</t>
  </si>
  <si>
    <t>SL-345</t>
  </si>
  <si>
    <t>SL-345-1</t>
  </si>
  <si>
    <t>NSL-345</t>
  </si>
  <si>
    <t>SL-150</t>
  </si>
  <si>
    <t>SL-150-1</t>
  </si>
  <si>
    <t>NSL-150</t>
  </si>
  <si>
    <t>기준_L*</t>
  </si>
  <si>
    <t>기준_a*</t>
  </si>
  <si>
    <t>기준_b*</t>
  </si>
  <si>
    <t>기준출처</t>
  </si>
  <si>
    <t>설명</t>
  </si>
  <si>
    <t>값</t>
  </si>
  <si>
    <t>형식</t>
  </si>
  <si>
    <t>PL/NPL + (색상코드) + YYMMDD + 2자리 일련번호</t>
  </si>
  <si>
    <t>색상→코드 매핑</t>
  </si>
  <si>
    <t>Black=B, White=W, Blue=U, Green=G, Yellow=Y, Red=R, Pink=P</t>
  </si>
  <si>
    <t>예시(PL-835-1, Black, 2025-04-15)</t>
  </si>
  <si>
    <t>PLB25041501</t>
  </si>
  <si>
    <t>예시(NPL-835-1, Black, 2025-04-15)</t>
  </si>
  <si>
    <t>NPLB25041501</t>
  </si>
  <si>
    <t>Silicone 형식</t>
  </si>
  <si>
    <t>SL + (색상코드: B/W/U/G/Y/R/P) + YYMMDD + 2자리 일련번호</t>
  </si>
  <si>
    <t>예시(SL-850, Black, 2025-10-24)</t>
  </si>
  <si>
    <t>SLB25102401</t>
  </si>
  <si>
    <t>예시(SL-700, White, 2025-10-24)</t>
  </si>
  <si>
    <t>SLW25102401</t>
  </si>
  <si>
    <t>예시(SL-550, Blue, 2025-10-24)</t>
  </si>
  <si>
    <t>SLU25102401</t>
  </si>
  <si>
    <t>입고일</t>
  </si>
  <si>
    <t>단일색잉크 Lot</t>
  </si>
  <si>
    <t>사용된 바인더 Lot</t>
  </si>
  <si>
    <t>BinderType(자동)</t>
  </si>
  <si>
    <t>점도측정값(cP)</t>
  </si>
  <si>
    <t>점도하한</t>
  </si>
  <si>
    <t>점도상한</t>
  </si>
  <si>
    <t>점도판정</t>
  </si>
  <si>
    <t>착색력_L*</t>
  </si>
  <si>
    <t>착색력_a*</t>
  </si>
  <si>
    <t>착색력_b*</t>
  </si>
  <si>
    <t>UV상한</t>
  </si>
  <si>
    <t>제조/입고일</t>
  </si>
  <si>
    <t>Lot(자동)</t>
  </si>
  <si>
    <t>UV흡광도(선택)</t>
  </si>
  <si>
    <t>판정</t>
  </si>
  <si>
    <t>항목</t>
  </si>
  <si>
    <t>내용</t>
  </si>
  <si>
    <t>파일 목적</t>
  </si>
  <si>
    <t>액상 잉크 Lot 추적 및 Spec 기준/측정 기록 관리 (Binder→단일색 잉크 중심)</t>
  </si>
  <si>
    <t>HEMA 바인더 매핑</t>
  </si>
  <si>
    <t>PL- 계열 → PBHAv1.0, NPL- 계열 → PBHBv1.0</t>
  </si>
  <si>
    <t>HEMA 단일색 Lot 규칙</t>
  </si>
  <si>
    <t>Lot규칙_단일색 시트 참조. 단일색_수입검사에 'Lot(제안)' 자동 생성 열 제공.</t>
  </si>
  <si>
    <t>Binder Spec</t>
  </si>
  <si>
    <t>PBHAv1.0 UV≤0.40, 점도 410±50; SBCT 170~220; SCRA 50~70 (25°C)</t>
  </si>
  <si>
    <t>Silicone 잉크 구분</t>
  </si>
  <si>
    <t>Silicone Ink 1=SBCT 기반, Silicone Ink 3=SCRA 기반. Spec_Single_Silicone의 BinderType 컬럼에서 설정.</t>
  </si>
  <si>
    <t>자동화 포인트</t>
  </si>
  <si>
    <t>단일색_수입검사: 제품코드→점도 하한/상한 자동 조회·판정. 단일색_착색력: ΔE 계산. 바인더_제조_입고: Lot 자동.</t>
  </si>
  <si>
    <t>수정 이력</t>
  </si>
  <si>
    <t>Binder_Visc 시트에 UV상한 컬럼 추가. 바인더_제조_입고 F열 판정 수식 완전 재작성 (단순화).</t>
  </si>
  <si>
    <t>HEMA</t>
  </si>
  <si>
    <t>320 ± 80</t>
    <phoneticPr fontId="4" type="noConversion"/>
  </si>
  <si>
    <t>≤ 0.10</t>
    <phoneticPr fontId="4" type="noConversion"/>
  </si>
  <si>
    <t>PBHBv1.0</t>
    <phoneticPr fontId="4" type="noConversion"/>
  </si>
  <si>
    <t>BIH+YYYYMMDD-##</t>
    <phoneticPr fontId="4" type="noConversion"/>
  </si>
  <si>
    <t>BIH+YYYYMMDD-##</t>
    <phoneticPr fontId="4" type="noConversion"/>
  </si>
  <si>
    <t>Silicone Binder 2,3</t>
    <phoneticPr fontId="4" type="noConversion"/>
  </si>
  <si>
    <t>PBHBv1.0</t>
    <phoneticPr fontId="4" type="noConversion"/>
  </si>
  <si>
    <t>NPL-345-2</t>
    <phoneticPr fontId="4" type="noConversion"/>
  </si>
  <si>
    <t>잉크타입
(HEMA/Silicone)</t>
    <phoneticPr fontId="4" type="noConversion"/>
  </si>
  <si>
    <t>바인더제조처
(내부/외주)</t>
    <phoneticPr fontId="4" type="noConversion"/>
  </si>
  <si>
    <t>외주</t>
  </si>
  <si>
    <t>NPL-345-2</t>
  </si>
  <si>
    <t>Silicone</t>
  </si>
  <si>
    <t>외주</t>
    <phoneticPr fontId="4" type="noConversion"/>
  </si>
  <si>
    <t>외주</t>
    <phoneticPr fontId="4" type="noConversion"/>
  </si>
  <si>
    <t>외주</t>
    <phoneticPr fontId="4" type="noConversion"/>
  </si>
  <si>
    <t>NPL-345-2</t>
    <phoneticPr fontId="4" type="noConversion"/>
  </si>
  <si>
    <t>PCB20251031-02</t>
    <phoneticPr fontId="4" type="noConversion"/>
  </si>
  <si>
    <t>PCB20251101-01</t>
    <phoneticPr fontId="4" type="noConversion"/>
  </si>
  <si>
    <t>PCB20251031-02</t>
    <phoneticPr fontId="4" type="noConversion"/>
  </si>
  <si>
    <t>BIH20251113-01</t>
    <phoneticPr fontId="4" type="noConversion"/>
  </si>
  <si>
    <t>PCB20251030-02</t>
    <phoneticPr fontId="4" type="noConversion"/>
  </si>
  <si>
    <t>PCB20251027-02</t>
    <phoneticPr fontId="4" type="noConversion"/>
  </si>
  <si>
    <t>PCB20251028-01</t>
    <phoneticPr fontId="4" type="noConversion"/>
  </si>
  <si>
    <t>PCB20251029-01</t>
    <phoneticPr fontId="4" type="noConversion"/>
  </si>
  <si>
    <t>PCB20251028-02</t>
    <phoneticPr fontId="4" type="noConversion"/>
  </si>
  <si>
    <t>PCB20251016-01</t>
    <phoneticPr fontId="4" type="noConversion"/>
  </si>
  <si>
    <t>PCB20250930-02</t>
    <phoneticPr fontId="4" type="noConversion"/>
  </si>
  <si>
    <t>PCB20250930-01</t>
    <phoneticPr fontId="4" type="noConversion"/>
  </si>
  <si>
    <t>PCB20250930-02</t>
    <phoneticPr fontId="4" type="noConversion"/>
  </si>
  <si>
    <t>PCB20250930-02</t>
    <phoneticPr fontId="4" type="noConversion"/>
  </si>
  <si>
    <t>PCB20250930-02</t>
    <phoneticPr fontId="4" type="noConversion"/>
  </si>
  <si>
    <t>PCBB20251101-02</t>
    <phoneticPr fontId="4" type="noConversion"/>
  </si>
  <si>
    <t>외주</t>
    <phoneticPr fontId="4" type="noConversion"/>
  </si>
  <si>
    <t>PCBB20251102-01</t>
    <phoneticPr fontId="4" type="noConversion"/>
  </si>
  <si>
    <t>PCB20251111-01</t>
    <phoneticPr fontId="4" type="noConversion"/>
  </si>
  <si>
    <t>외주</t>
    <phoneticPr fontId="4" type="noConversion"/>
  </si>
  <si>
    <t>PCB20251114-01</t>
    <phoneticPr fontId="4" type="noConversion"/>
  </si>
  <si>
    <t>외주</t>
    <phoneticPr fontId="4" type="noConversion"/>
  </si>
  <si>
    <t>PCB20251101-02</t>
    <phoneticPr fontId="4" type="noConversion"/>
  </si>
  <si>
    <t>PCB20251104-02</t>
    <phoneticPr fontId="4" type="noConversion"/>
  </si>
  <si>
    <t>PCB20251111-02</t>
    <phoneticPr fontId="4" type="noConversion"/>
  </si>
  <si>
    <t>PCB20251107-01</t>
    <phoneticPr fontId="4" type="noConversion"/>
  </si>
  <si>
    <t>외주</t>
    <phoneticPr fontId="4" type="noConversion"/>
  </si>
  <si>
    <t>외주</t>
    <phoneticPr fontId="4" type="noConversion"/>
  </si>
  <si>
    <t>PCB20251117-01</t>
    <phoneticPr fontId="4" type="noConversion"/>
  </si>
  <si>
    <t>외주</t>
    <phoneticPr fontId="4" type="noConversion"/>
  </si>
  <si>
    <t>PCB20251117-02</t>
    <phoneticPr fontId="4" type="noConversion"/>
  </si>
  <si>
    <t>PCB20251119-01</t>
    <phoneticPr fontId="4" type="noConversion"/>
  </si>
  <si>
    <t>PCB20251114-01</t>
    <phoneticPr fontId="4" type="noConversion"/>
  </si>
  <si>
    <t>경화됨</t>
    <phoneticPr fontId="4" type="noConversion"/>
  </si>
  <si>
    <t>PCB20251119-02</t>
    <phoneticPr fontId="4" type="noConversion"/>
  </si>
  <si>
    <t>외주</t>
    <phoneticPr fontId="4" type="noConversion"/>
  </si>
  <si>
    <t>PCB20251119-02</t>
    <phoneticPr fontId="4" type="noConversion"/>
  </si>
  <si>
    <t>PCB20251121-02</t>
    <phoneticPr fontId="4" type="noConversion"/>
  </si>
  <si>
    <t>PCB20251121-02</t>
    <phoneticPr fontId="4" type="noConversion"/>
  </si>
  <si>
    <t>외주</t>
    <phoneticPr fontId="4" type="noConversion"/>
  </si>
  <si>
    <t>PCB20251114-01</t>
    <phoneticPr fontId="12" type="noConversion"/>
  </si>
  <si>
    <t>PCB20251117-01</t>
    <phoneticPr fontId="12" type="noConversion"/>
  </si>
  <si>
    <t>PCB20251117-02</t>
    <phoneticPr fontId="12" type="noConversion"/>
  </si>
  <si>
    <t>PCB20251119-01</t>
    <phoneticPr fontId="12" type="noConversion"/>
  </si>
  <si>
    <t>PCB20251119-02</t>
    <phoneticPr fontId="12" type="noConversion"/>
  </si>
  <si>
    <t>PCB20251121-01</t>
    <phoneticPr fontId="12" type="noConversion"/>
  </si>
  <si>
    <t>PCB20251121-02</t>
    <phoneticPr fontId="12" type="noConversion"/>
  </si>
  <si>
    <t>PCB20251128-01</t>
    <phoneticPr fontId="12" type="noConversion"/>
  </si>
  <si>
    <t>PCB20251128-02</t>
    <phoneticPr fontId="12" type="noConversion"/>
  </si>
  <si>
    <t>PCB20251203-01</t>
    <phoneticPr fontId="12" type="noConversion"/>
  </si>
  <si>
    <t>PCB20251203-02</t>
    <phoneticPr fontId="12" type="noConversion"/>
  </si>
  <si>
    <t>PCB20251205-01</t>
    <phoneticPr fontId="12" type="noConversion"/>
  </si>
  <si>
    <t>PCB20251205-02</t>
    <phoneticPr fontId="12" type="noConversion"/>
  </si>
  <si>
    <t>PCB20251208-01</t>
    <phoneticPr fontId="12" type="noConversion"/>
  </si>
  <si>
    <t>PCB20251208-02</t>
    <phoneticPr fontId="12" type="noConversion"/>
  </si>
  <si>
    <t>PCB20251212-01</t>
    <phoneticPr fontId="12" type="noConversion"/>
  </si>
  <si>
    <t>PCB20251212-02</t>
    <phoneticPr fontId="12" type="noConversion"/>
  </si>
  <si>
    <t>PCB20251215-01</t>
    <phoneticPr fontId="12" type="noConversion"/>
  </si>
  <si>
    <t>PCB20251215-02</t>
    <phoneticPr fontId="12" type="noConversion"/>
  </si>
  <si>
    <t>PCB20251218-01</t>
    <phoneticPr fontId="12" type="noConversion"/>
  </si>
  <si>
    <t>PCB20251218-02</t>
    <phoneticPr fontId="12" type="noConversion"/>
  </si>
  <si>
    <t>PCB20251222-01</t>
    <phoneticPr fontId="12" type="noConversion"/>
  </si>
  <si>
    <t>PCB20251222-02</t>
    <phoneticPr fontId="12" type="noConversion"/>
  </si>
  <si>
    <t>HEMA</t>
    <phoneticPr fontId="4" type="noConversion"/>
  </si>
  <si>
    <t>Black</t>
    <phoneticPr fontId="4" type="noConversion"/>
  </si>
  <si>
    <t>PL-835-1</t>
    <phoneticPr fontId="4" type="noConversion"/>
  </si>
  <si>
    <t>외주</t>
    <phoneticPr fontId="4" type="noConversion"/>
  </si>
  <si>
    <t>Red</t>
    <phoneticPr fontId="4" type="noConversion"/>
  </si>
  <si>
    <t>PL-150-2</t>
    <phoneticPr fontId="4" type="noConversion"/>
  </si>
  <si>
    <t>외주</t>
    <phoneticPr fontId="4" type="noConversion"/>
  </si>
  <si>
    <t>Yellow</t>
    <phoneticPr fontId="4" type="noConversion"/>
  </si>
  <si>
    <t>PL-345-2</t>
    <phoneticPr fontId="4" type="noConversion"/>
  </si>
  <si>
    <t>PCB2025-1119-02</t>
    <phoneticPr fontId="4" type="noConversion"/>
  </si>
  <si>
    <t>PCB20251121-02</t>
    <phoneticPr fontId="4" type="noConversion"/>
  </si>
  <si>
    <t>PCB20251212-01</t>
    <phoneticPr fontId="4" type="noConversion"/>
  </si>
  <si>
    <t>White</t>
    <phoneticPr fontId="4" type="noConversion"/>
  </si>
  <si>
    <t>PL-700-2</t>
    <phoneticPr fontId="4" type="noConversion"/>
  </si>
  <si>
    <t>PCB20251212-02</t>
    <phoneticPr fontId="4" type="noConversion"/>
  </si>
  <si>
    <t>외주</t>
    <phoneticPr fontId="4" type="noConversion"/>
  </si>
  <si>
    <t>PL-735</t>
    <phoneticPr fontId="4" type="noConversion"/>
  </si>
  <si>
    <t>PCB20251212-01</t>
    <phoneticPr fontId="4" type="noConversion"/>
  </si>
  <si>
    <t>외주</t>
    <phoneticPr fontId="4" type="noConversion"/>
  </si>
  <si>
    <t>Pink</t>
    <phoneticPr fontId="4" type="noConversion"/>
  </si>
  <si>
    <t>PL-135</t>
    <phoneticPr fontId="4" type="noConversion"/>
  </si>
  <si>
    <t>PCB20251215-01</t>
    <phoneticPr fontId="4" type="noConversion"/>
  </si>
  <si>
    <t>Green</t>
    <phoneticPr fontId="4" type="noConversion"/>
  </si>
  <si>
    <t>PL-435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</si>
</sst>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\ h:mm:ss"/>
    <numFmt numFmtId="177" formatCode="0.000000"/>
    <numFmt numFmtId="178" formatCode="0.0"/>
  </numFmts>
  <fonts count="1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6"/>
      <color rgb="FF0070C0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3" fillId="4" borderId="5" applyNumberFormat="0" applyAlignment="0" applyProtection="0">
      <alignment vertical="center"/>
    </xf>
  </cellStyleXfs>
  <cellXfs count="48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Border="1" applyAlignment="1">
      <alignment horizontal="center" vertical="center"/>
    </xf>
    <xf numFmtId="14" fontId="9" fillId="0" borderId="0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0" fillId="0" borderId="0" xfId="0"/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77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wrapText="1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 wrapText="1"/>
    </xf>
    <xf numFmtId="177" fontId="0" fillId="0" borderId="0" xfId="0" applyNumberFormat="1" applyFont="1" applyAlignment="1">
      <alignment horizontal="center"/>
    </xf>
    <xf numFmtId="177" fontId="7" fillId="0" borderId="0" xfId="0" applyNumberFormat="1" applyFont="1" applyAlignment="1">
      <alignment horizontal="center"/>
    </xf>
    <xf numFmtId="0" fontId="13" fillId="4" borderId="5" xfId="1" applyAlignment="1">
      <alignment horizontal="center" vertical="center"/>
    </xf>
    <xf numFmtId="0" fontId="2" fillId="0" borderId="0" xfId="0" applyFont="1"/>
    <xf numFmtId="0" fontId="0" fillId="0" borderId="0" xfId="0"/>
  </cellXfs>
  <cellStyles count="2">
    <cellStyle name="계산" xfId="1" builtinId="22"/>
    <cellStyle name="표준" xfId="0" builtinId="0"/>
  </cellStyles>
  <dxfs count="5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workbookViewId="0">
      <selection activeCell="A17" sqref="A17"/>
    </sheetView>
  </sheetViews>
  <sheetFormatPr defaultRowHeight="16.5" x14ac:dyDescent="0.3"/>
  <cols>
    <col min="1" max="1" width="60" customWidth="1"/>
  </cols>
  <sheetData>
    <row r="1" spans="1:5" ht="26.25" x14ac:dyDescent="0.5">
      <c r="A1" s="46" t="s">
        <v>0</v>
      </c>
      <c r="B1" s="47"/>
      <c r="C1" s="47"/>
      <c r="D1" s="47"/>
      <c r="E1" s="47"/>
    </row>
    <row r="4" spans="1:5" ht="17.25" x14ac:dyDescent="0.3">
      <c r="A4" s="1" t="s">
        <v>1</v>
      </c>
    </row>
    <row r="5" spans="1:5" x14ac:dyDescent="0.3">
      <c r="A5" t="s">
        <v>2</v>
      </c>
    </row>
    <row r="6" spans="1:5" x14ac:dyDescent="0.3">
      <c r="A6" t="s">
        <v>3</v>
      </c>
    </row>
    <row r="7" spans="1:5" x14ac:dyDescent="0.3">
      <c r="A7" t="s">
        <v>4</v>
      </c>
    </row>
    <row r="8" spans="1:5" x14ac:dyDescent="0.3">
      <c r="A8" t="s">
        <v>5</v>
      </c>
    </row>
    <row r="9" spans="1:5" x14ac:dyDescent="0.3">
      <c r="A9" t="s">
        <v>6</v>
      </c>
    </row>
    <row r="10" spans="1:5" x14ac:dyDescent="0.3">
      <c r="A10" t="s">
        <v>7</v>
      </c>
    </row>
    <row r="11" spans="1:5" x14ac:dyDescent="0.3">
      <c r="A11" t="s">
        <v>8</v>
      </c>
    </row>
    <row r="12" spans="1:5" x14ac:dyDescent="0.3">
      <c r="A12" t="s">
        <v>9</v>
      </c>
    </row>
    <row r="14" spans="1:5" ht="17.25" x14ac:dyDescent="0.3">
      <c r="A14" s="1" t="s">
        <v>10</v>
      </c>
    </row>
    <row r="15" spans="1:5" x14ac:dyDescent="0.3">
      <c r="A15" t="s">
        <v>11</v>
      </c>
    </row>
    <row r="16" spans="1:5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4"/>
  <sheetViews>
    <sheetView workbookViewId="0">
      <selection activeCell="D16" sqref="D16"/>
    </sheetView>
  </sheetViews>
  <sheetFormatPr defaultRowHeight="16.5" x14ac:dyDescent="0.3"/>
  <cols>
    <col min="1" max="2" width="12" customWidth="1"/>
    <col min="3" max="3" width="10" customWidth="1"/>
    <col min="4" max="4" width="12" customWidth="1"/>
    <col min="5" max="6" width="8" customWidth="1"/>
    <col min="7" max="7" width="25" customWidth="1"/>
    <col min="8" max="8" width="20" customWidth="1"/>
  </cols>
  <sheetData>
    <row r="1" spans="1:8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3">
      <c r="A2" t="s">
        <v>23</v>
      </c>
      <c r="B2" t="s">
        <v>24</v>
      </c>
      <c r="C2" t="s">
        <v>25</v>
      </c>
      <c r="D2" t="s">
        <v>26</v>
      </c>
      <c r="F2">
        <v>0.4</v>
      </c>
      <c r="G2" t="s">
        <v>27</v>
      </c>
      <c r="H2" t="s">
        <v>28</v>
      </c>
    </row>
    <row r="3" spans="1:8" x14ac:dyDescent="0.3">
      <c r="A3" t="s">
        <v>23</v>
      </c>
      <c r="B3" t="s">
        <v>29</v>
      </c>
      <c r="C3" t="s">
        <v>30</v>
      </c>
      <c r="D3" t="s">
        <v>31</v>
      </c>
      <c r="E3">
        <v>360</v>
      </c>
      <c r="F3">
        <v>460</v>
      </c>
      <c r="G3" t="s">
        <v>32</v>
      </c>
      <c r="H3" t="s">
        <v>28</v>
      </c>
    </row>
    <row r="4" spans="1:8" s="5" customFormat="1" x14ac:dyDescent="0.3">
      <c r="A4" s="5" t="s">
        <v>33</v>
      </c>
      <c r="B4" s="5" t="s">
        <v>24</v>
      </c>
      <c r="C4" s="5" t="s">
        <v>25</v>
      </c>
      <c r="D4" s="5" t="s">
        <v>149</v>
      </c>
      <c r="F4" s="5">
        <v>0.1</v>
      </c>
      <c r="G4" t="s">
        <v>34</v>
      </c>
      <c r="H4" s="5" t="s">
        <v>151</v>
      </c>
    </row>
    <row r="5" spans="1:8" x14ac:dyDescent="0.3">
      <c r="A5" t="s">
        <v>33</v>
      </c>
      <c r="B5" t="s">
        <v>29</v>
      </c>
      <c r="C5" s="5" t="s">
        <v>30</v>
      </c>
      <c r="D5" s="5" t="s">
        <v>148</v>
      </c>
      <c r="E5">
        <f>320-80</f>
        <v>240</v>
      </c>
      <c r="F5">
        <v>400</v>
      </c>
      <c r="G5" s="5" t="s">
        <v>32</v>
      </c>
      <c r="H5" s="5" t="s">
        <v>152</v>
      </c>
    </row>
    <row r="6" spans="1:8" x14ac:dyDescent="0.3">
      <c r="A6" t="s">
        <v>35</v>
      </c>
      <c r="B6" t="s">
        <v>29</v>
      </c>
      <c r="C6" t="s">
        <v>30</v>
      </c>
      <c r="D6" t="s">
        <v>36</v>
      </c>
      <c r="E6">
        <v>170</v>
      </c>
      <c r="F6">
        <v>220</v>
      </c>
      <c r="G6" t="s">
        <v>37</v>
      </c>
      <c r="H6" t="s">
        <v>38</v>
      </c>
    </row>
    <row r="7" spans="1:8" x14ac:dyDescent="0.3">
      <c r="A7" t="s">
        <v>39</v>
      </c>
      <c r="B7" t="s">
        <v>29</v>
      </c>
      <c r="C7" t="s">
        <v>30</v>
      </c>
      <c r="D7" t="s">
        <v>40</v>
      </c>
      <c r="E7">
        <v>50</v>
      </c>
      <c r="F7">
        <v>70</v>
      </c>
      <c r="G7" t="s">
        <v>153</v>
      </c>
      <c r="H7" t="s">
        <v>41</v>
      </c>
    </row>
    <row r="14" spans="1:8" x14ac:dyDescent="0.3">
      <c r="G14" s="5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1"/>
  <sheetViews>
    <sheetView workbookViewId="0">
      <selection activeCell="E1" sqref="E1"/>
    </sheetView>
  </sheetViews>
  <sheetFormatPr defaultRowHeight="16.5" x14ac:dyDescent="0.3"/>
  <cols>
    <col min="1" max="1" width="10" customWidth="1"/>
    <col min="2" max="2" width="14" customWidth="1"/>
    <col min="3" max="4" width="12" customWidth="1"/>
    <col min="5" max="6" width="10" customWidth="1"/>
    <col min="7" max="7" width="12" customWidth="1"/>
  </cols>
  <sheetData>
    <row r="1" spans="1:7" x14ac:dyDescent="0.3">
      <c r="A1" s="2" t="s">
        <v>42</v>
      </c>
      <c r="B1" s="2" t="s">
        <v>43</v>
      </c>
      <c r="C1" s="2" t="s">
        <v>44</v>
      </c>
      <c r="D1" s="2" t="s">
        <v>45</v>
      </c>
      <c r="E1" s="2" t="s">
        <v>19</v>
      </c>
      <c r="F1" s="2" t="s">
        <v>20</v>
      </c>
      <c r="G1" s="2" t="s">
        <v>46</v>
      </c>
    </row>
    <row r="2" spans="1:7" x14ac:dyDescent="0.3">
      <c r="A2" t="s">
        <v>47</v>
      </c>
      <c r="B2" t="s">
        <v>48</v>
      </c>
      <c r="C2">
        <v>75000</v>
      </c>
      <c r="D2">
        <v>15000</v>
      </c>
      <c r="E2">
        <v>60000</v>
      </c>
      <c r="F2">
        <v>90000</v>
      </c>
      <c r="G2" t="s">
        <v>23</v>
      </c>
    </row>
    <row r="3" spans="1:7" x14ac:dyDescent="0.3">
      <c r="A3" t="s">
        <v>47</v>
      </c>
      <c r="B3" t="s">
        <v>49</v>
      </c>
      <c r="C3">
        <v>75000</v>
      </c>
      <c r="D3">
        <v>15000</v>
      </c>
      <c r="E3">
        <v>60000</v>
      </c>
      <c r="F3">
        <v>90000</v>
      </c>
      <c r="G3" t="s">
        <v>23</v>
      </c>
    </row>
    <row r="4" spans="1:7" x14ac:dyDescent="0.3">
      <c r="A4" t="s">
        <v>47</v>
      </c>
      <c r="B4" t="s">
        <v>50</v>
      </c>
      <c r="C4">
        <v>75000</v>
      </c>
      <c r="D4">
        <v>15000</v>
      </c>
      <c r="E4">
        <v>60000</v>
      </c>
      <c r="F4">
        <v>90000</v>
      </c>
      <c r="G4" t="s">
        <v>23</v>
      </c>
    </row>
    <row r="5" spans="1:7" x14ac:dyDescent="0.3">
      <c r="A5" t="s">
        <v>51</v>
      </c>
      <c r="B5" t="s">
        <v>52</v>
      </c>
      <c r="C5">
        <v>19000</v>
      </c>
      <c r="D5">
        <v>5000</v>
      </c>
      <c r="E5">
        <v>14000</v>
      </c>
      <c r="F5">
        <v>24000</v>
      </c>
      <c r="G5" t="s">
        <v>23</v>
      </c>
    </row>
    <row r="6" spans="1:7" x14ac:dyDescent="0.3">
      <c r="A6" t="s">
        <v>51</v>
      </c>
      <c r="B6" t="s">
        <v>53</v>
      </c>
      <c r="C6">
        <v>16000</v>
      </c>
      <c r="D6">
        <v>5000</v>
      </c>
      <c r="E6">
        <v>11000</v>
      </c>
      <c r="F6">
        <v>21000</v>
      </c>
      <c r="G6" t="s">
        <v>23</v>
      </c>
    </row>
    <row r="7" spans="1:7" x14ac:dyDescent="0.3">
      <c r="A7" t="s">
        <v>51</v>
      </c>
      <c r="B7" t="s">
        <v>54</v>
      </c>
      <c r="C7">
        <v>19000</v>
      </c>
      <c r="D7">
        <v>5000</v>
      </c>
      <c r="E7">
        <v>14000</v>
      </c>
      <c r="F7">
        <v>24000</v>
      </c>
      <c r="G7" t="s">
        <v>150</v>
      </c>
    </row>
    <row r="8" spans="1:7" x14ac:dyDescent="0.3">
      <c r="A8" t="s">
        <v>51</v>
      </c>
      <c r="B8" t="s">
        <v>55</v>
      </c>
      <c r="C8">
        <v>16000</v>
      </c>
      <c r="D8">
        <v>5000</v>
      </c>
      <c r="E8">
        <v>11000</v>
      </c>
      <c r="F8">
        <v>21000</v>
      </c>
      <c r="G8" s="5" t="s">
        <v>150</v>
      </c>
    </row>
    <row r="9" spans="1:7" x14ac:dyDescent="0.3">
      <c r="A9" t="s">
        <v>56</v>
      </c>
      <c r="B9" t="s">
        <v>57</v>
      </c>
      <c r="C9">
        <v>35000</v>
      </c>
      <c r="D9">
        <v>5000</v>
      </c>
      <c r="E9">
        <v>30000</v>
      </c>
      <c r="F9">
        <v>40000</v>
      </c>
      <c r="G9" t="s">
        <v>23</v>
      </c>
    </row>
    <row r="10" spans="1:7" x14ac:dyDescent="0.3">
      <c r="A10" t="s">
        <v>56</v>
      </c>
      <c r="B10" t="s">
        <v>58</v>
      </c>
      <c r="C10">
        <v>63000</v>
      </c>
      <c r="D10">
        <v>10000</v>
      </c>
      <c r="E10">
        <v>53000</v>
      </c>
      <c r="F10">
        <v>73000</v>
      </c>
      <c r="G10" t="s">
        <v>23</v>
      </c>
    </row>
    <row r="11" spans="1:7" x14ac:dyDescent="0.3">
      <c r="A11" t="s">
        <v>56</v>
      </c>
      <c r="B11" t="s">
        <v>59</v>
      </c>
      <c r="C11">
        <v>63000</v>
      </c>
      <c r="D11">
        <v>10000</v>
      </c>
      <c r="E11">
        <v>53000</v>
      </c>
      <c r="F11">
        <v>73000</v>
      </c>
      <c r="G11" t="s">
        <v>23</v>
      </c>
    </row>
    <row r="12" spans="1:7" x14ac:dyDescent="0.3">
      <c r="A12" t="s">
        <v>56</v>
      </c>
      <c r="B12" t="s">
        <v>60</v>
      </c>
      <c r="C12">
        <v>63000</v>
      </c>
      <c r="D12">
        <v>10000</v>
      </c>
      <c r="E12">
        <v>53000</v>
      </c>
      <c r="F12">
        <v>73000</v>
      </c>
      <c r="G12" t="s">
        <v>23</v>
      </c>
    </row>
    <row r="13" spans="1:7" x14ac:dyDescent="0.3">
      <c r="A13" t="s">
        <v>56</v>
      </c>
      <c r="B13" t="s">
        <v>61</v>
      </c>
      <c r="C13">
        <v>63000</v>
      </c>
      <c r="D13">
        <v>10000</v>
      </c>
      <c r="E13">
        <v>53000</v>
      </c>
      <c r="F13">
        <v>73000</v>
      </c>
      <c r="G13" s="5" t="s">
        <v>150</v>
      </c>
    </row>
    <row r="14" spans="1:7" x14ac:dyDescent="0.3">
      <c r="A14" t="s">
        <v>62</v>
      </c>
      <c r="B14" t="s">
        <v>63</v>
      </c>
      <c r="C14">
        <v>7000</v>
      </c>
      <c r="D14">
        <v>3000</v>
      </c>
      <c r="E14">
        <v>4000</v>
      </c>
      <c r="F14">
        <v>10000</v>
      </c>
      <c r="G14" t="s">
        <v>23</v>
      </c>
    </row>
    <row r="15" spans="1:7" x14ac:dyDescent="0.3">
      <c r="A15" t="s">
        <v>64</v>
      </c>
      <c r="B15" t="s">
        <v>65</v>
      </c>
      <c r="C15">
        <v>25000</v>
      </c>
      <c r="D15">
        <v>5000</v>
      </c>
      <c r="E15">
        <v>20000</v>
      </c>
      <c r="F15">
        <v>30000</v>
      </c>
      <c r="G15" t="s">
        <v>23</v>
      </c>
    </row>
    <row r="16" spans="1:7" s="21" customFormat="1" x14ac:dyDescent="0.3">
      <c r="A16" t="s">
        <v>64</v>
      </c>
      <c r="B16" t="s">
        <v>66</v>
      </c>
      <c r="C16">
        <v>25000</v>
      </c>
      <c r="D16">
        <v>5000</v>
      </c>
      <c r="E16">
        <v>20000</v>
      </c>
      <c r="F16">
        <v>30000</v>
      </c>
      <c r="G16" t="s">
        <v>23</v>
      </c>
    </row>
    <row r="17" spans="1:7" x14ac:dyDescent="0.3">
      <c r="A17" s="21" t="s">
        <v>64</v>
      </c>
      <c r="B17" s="21" t="s">
        <v>164</v>
      </c>
      <c r="C17" s="21">
        <v>25000</v>
      </c>
      <c r="D17" s="21">
        <v>5000</v>
      </c>
      <c r="E17" s="21">
        <v>20000</v>
      </c>
      <c r="F17" s="21">
        <v>30000</v>
      </c>
      <c r="G17" s="21" t="s">
        <v>150</v>
      </c>
    </row>
    <row r="18" spans="1:7" x14ac:dyDescent="0.3">
      <c r="A18" t="s">
        <v>64</v>
      </c>
      <c r="B18" t="s">
        <v>67</v>
      </c>
      <c r="C18">
        <v>25000</v>
      </c>
      <c r="D18">
        <v>5000</v>
      </c>
      <c r="E18">
        <v>20000</v>
      </c>
      <c r="F18">
        <v>30000</v>
      </c>
      <c r="G18" s="5" t="s">
        <v>150</v>
      </c>
    </row>
    <row r="19" spans="1:7" x14ac:dyDescent="0.3">
      <c r="A19" t="s">
        <v>68</v>
      </c>
      <c r="B19" t="s">
        <v>69</v>
      </c>
      <c r="C19">
        <v>11000</v>
      </c>
      <c r="D19">
        <v>5000</v>
      </c>
      <c r="E19">
        <v>6000</v>
      </c>
      <c r="F19">
        <v>16000</v>
      </c>
      <c r="G19" t="s">
        <v>23</v>
      </c>
    </row>
    <row r="20" spans="1:7" x14ac:dyDescent="0.3">
      <c r="A20" t="s">
        <v>68</v>
      </c>
      <c r="B20" t="s">
        <v>70</v>
      </c>
      <c r="C20">
        <v>11000</v>
      </c>
      <c r="D20">
        <v>5000</v>
      </c>
      <c r="E20">
        <v>6000</v>
      </c>
      <c r="F20">
        <v>16000</v>
      </c>
      <c r="G20" s="5" t="s">
        <v>150</v>
      </c>
    </row>
    <row r="21" spans="1:7" x14ac:dyDescent="0.3">
      <c r="A21" t="s">
        <v>71</v>
      </c>
      <c r="B21" t="s">
        <v>72</v>
      </c>
      <c r="C21">
        <v>12000</v>
      </c>
      <c r="D21">
        <v>5000</v>
      </c>
      <c r="E21">
        <v>7000</v>
      </c>
      <c r="F21">
        <v>17000</v>
      </c>
      <c r="G21" t="s">
        <v>23</v>
      </c>
    </row>
    <row r="22" spans="1:7" x14ac:dyDescent="0.3">
      <c r="A22" t="s">
        <v>71</v>
      </c>
      <c r="B22" t="s">
        <v>73</v>
      </c>
      <c r="C22">
        <v>12000</v>
      </c>
      <c r="D22">
        <v>5000</v>
      </c>
      <c r="E22">
        <v>7000</v>
      </c>
      <c r="F22">
        <v>17000</v>
      </c>
      <c r="G22" s="5" t="s">
        <v>150</v>
      </c>
    </row>
    <row r="23" spans="1:7" x14ac:dyDescent="0.3">
      <c r="A23" t="s">
        <v>47</v>
      </c>
      <c r="B23" t="s">
        <v>74</v>
      </c>
      <c r="C23">
        <v>75000</v>
      </c>
      <c r="D23">
        <v>15000</v>
      </c>
      <c r="E23">
        <v>60000</v>
      </c>
      <c r="F23">
        <v>90000</v>
      </c>
      <c r="G23" s="5" t="s">
        <v>150</v>
      </c>
    </row>
    <row r="24" spans="1:7" x14ac:dyDescent="0.3">
      <c r="A24" t="s">
        <v>47</v>
      </c>
      <c r="B24" t="s">
        <v>75</v>
      </c>
      <c r="C24">
        <v>120000</v>
      </c>
      <c r="D24">
        <v>20000</v>
      </c>
      <c r="E24">
        <v>100000</v>
      </c>
      <c r="F24">
        <v>140000</v>
      </c>
      <c r="G24" t="s">
        <v>35</v>
      </c>
    </row>
    <row r="25" spans="1:7" x14ac:dyDescent="0.3">
      <c r="A25" t="s">
        <v>47</v>
      </c>
      <c r="B25" t="s">
        <v>76</v>
      </c>
      <c r="C25">
        <v>120000</v>
      </c>
      <c r="D25">
        <v>20000</v>
      </c>
      <c r="E25">
        <v>100000</v>
      </c>
      <c r="F25">
        <v>140000</v>
      </c>
      <c r="G25" t="s">
        <v>35</v>
      </c>
    </row>
    <row r="26" spans="1:7" x14ac:dyDescent="0.3">
      <c r="A26" t="s">
        <v>47</v>
      </c>
      <c r="B26" t="s">
        <v>77</v>
      </c>
      <c r="C26">
        <v>120000</v>
      </c>
      <c r="D26">
        <v>20000</v>
      </c>
      <c r="E26">
        <v>100000</v>
      </c>
      <c r="F26">
        <v>140000</v>
      </c>
      <c r="G26" t="s">
        <v>35</v>
      </c>
    </row>
    <row r="27" spans="1:7" x14ac:dyDescent="0.3">
      <c r="A27" t="s">
        <v>47</v>
      </c>
      <c r="B27" t="s">
        <v>78</v>
      </c>
      <c r="C27">
        <v>120000</v>
      </c>
      <c r="D27">
        <v>20000</v>
      </c>
      <c r="E27">
        <v>100000</v>
      </c>
      <c r="F27">
        <v>140000</v>
      </c>
      <c r="G27" t="s">
        <v>35</v>
      </c>
    </row>
    <row r="28" spans="1:7" x14ac:dyDescent="0.3">
      <c r="A28" t="s">
        <v>47</v>
      </c>
      <c r="B28" t="s">
        <v>79</v>
      </c>
      <c r="C28">
        <v>120000</v>
      </c>
      <c r="D28">
        <v>20000</v>
      </c>
      <c r="E28">
        <v>100000</v>
      </c>
      <c r="F28">
        <v>140000</v>
      </c>
      <c r="G28" s="5" t="s">
        <v>39</v>
      </c>
    </row>
    <row r="29" spans="1:7" x14ac:dyDescent="0.3">
      <c r="A29" t="s">
        <v>51</v>
      </c>
      <c r="B29" t="s">
        <v>80</v>
      </c>
      <c r="C29">
        <v>50000</v>
      </c>
      <c r="D29">
        <v>10000</v>
      </c>
      <c r="E29">
        <v>40000</v>
      </c>
      <c r="F29">
        <v>60000</v>
      </c>
      <c r="G29" t="s">
        <v>35</v>
      </c>
    </row>
    <row r="30" spans="1:7" x14ac:dyDescent="0.3">
      <c r="A30" t="s">
        <v>51</v>
      </c>
      <c r="B30" t="s">
        <v>81</v>
      </c>
      <c r="C30">
        <v>50000</v>
      </c>
      <c r="D30">
        <v>10000</v>
      </c>
      <c r="E30">
        <v>40000</v>
      </c>
      <c r="F30">
        <v>60000</v>
      </c>
      <c r="G30" t="s">
        <v>35</v>
      </c>
    </row>
    <row r="31" spans="1:7" x14ac:dyDescent="0.3">
      <c r="A31" t="s">
        <v>51</v>
      </c>
      <c r="B31" t="s">
        <v>82</v>
      </c>
      <c r="C31">
        <v>50000</v>
      </c>
      <c r="D31">
        <v>10000</v>
      </c>
      <c r="E31">
        <v>40000</v>
      </c>
      <c r="F31">
        <v>60000</v>
      </c>
      <c r="G31" s="5" t="s">
        <v>39</v>
      </c>
    </row>
    <row r="32" spans="1:7" x14ac:dyDescent="0.3">
      <c r="A32" t="s">
        <v>51</v>
      </c>
      <c r="B32" t="s">
        <v>83</v>
      </c>
      <c r="C32">
        <v>50000</v>
      </c>
      <c r="D32">
        <v>10000</v>
      </c>
      <c r="E32">
        <v>40000</v>
      </c>
      <c r="F32">
        <v>60000</v>
      </c>
      <c r="G32" s="5" t="s">
        <v>39</v>
      </c>
    </row>
    <row r="33" spans="1:7" x14ac:dyDescent="0.3">
      <c r="A33" t="s">
        <v>56</v>
      </c>
      <c r="B33" t="s">
        <v>84</v>
      </c>
      <c r="C33">
        <v>20000</v>
      </c>
      <c r="D33">
        <v>5000</v>
      </c>
      <c r="E33">
        <v>15000</v>
      </c>
      <c r="F33">
        <v>25000</v>
      </c>
      <c r="G33" s="5" t="s">
        <v>35</v>
      </c>
    </row>
    <row r="34" spans="1:7" x14ac:dyDescent="0.3">
      <c r="A34" t="s">
        <v>56</v>
      </c>
      <c r="B34" t="s">
        <v>85</v>
      </c>
      <c r="C34">
        <v>20000</v>
      </c>
      <c r="D34">
        <v>5000</v>
      </c>
      <c r="E34">
        <v>15000</v>
      </c>
      <c r="F34">
        <v>25000</v>
      </c>
      <c r="G34" s="5" t="s">
        <v>35</v>
      </c>
    </row>
    <row r="35" spans="1:7" x14ac:dyDescent="0.3">
      <c r="A35" t="s">
        <v>56</v>
      </c>
      <c r="B35" t="s">
        <v>86</v>
      </c>
      <c r="C35">
        <v>20000</v>
      </c>
      <c r="D35">
        <v>5000</v>
      </c>
      <c r="E35">
        <v>15000</v>
      </c>
      <c r="F35">
        <v>25000</v>
      </c>
      <c r="G35" s="5" t="s">
        <v>39</v>
      </c>
    </row>
    <row r="36" spans="1:7" x14ac:dyDescent="0.3">
      <c r="A36" t="s">
        <v>64</v>
      </c>
      <c r="B36" t="s">
        <v>87</v>
      </c>
      <c r="C36">
        <v>13000</v>
      </c>
      <c r="D36">
        <v>2000</v>
      </c>
      <c r="E36">
        <v>11000</v>
      </c>
      <c r="F36">
        <v>15000</v>
      </c>
      <c r="G36" s="5" t="s">
        <v>35</v>
      </c>
    </row>
    <row r="37" spans="1:7" x14ac:dyDescent="0.3">
      <c r="A37" t="s">
        <v>64</v>
      </c>
      <c r="B37" t="s">
        <v>88</v>
      </c>
      <c r="C37">
        <v>13000</v>
      </c>
      <c r="D37">
        <v>2000</v>
      </c>
      <c r="E37">
        <v>11000</v>
      </c>
      <c r="F37">
        <v>15000</v>
      </c>
      <c r="G37" s="5" t="s">
        <v>35</v>
      </c>
    </row>
    <row r="38" spans="1:7" x14ac:dyDescent="0.3">
      <c r="A38" t="s">
        <v>64</v>
      </c>
      <c r="B38" t="s">
        <v>89</v>
      </c>
      <c r="C38">
        <v>13000</v>
      </c>
      <c r="D38">
        <v>2000</v>
      </c>
      <c r="E38">
        <v>11000</v>
      </c>
      <c r="F38">
        <v>15000</v>
      </c>
      <c r="G38" s="5" t="s">
        <v>39</v>
      </c>
    </row>
    <row r="39" spans="1:7" x14ac:dyDescent="0.3">
      <c r="A39" t="s">
        <v>68</v>
      </c>
      <c r="B39" t="s">
        <v>90</v>
      </c>
      <c r="C39">
        <v>36000</v>
      </c>
      <c r="D39">
        <v>5000</v>
      </c>
      <c r="E39">
        <v>31000</v>
      </c>
      <c r="F39">
        <v>41000</v>
      </c>
      <c r="G39" s="5" t="s">
        <v>35</v>
      </c>
    </row>
    <row r="40" spans="1:7" x14ac:dyDescent="0.3">
      <c r="A40" t="s">
        <v>68</v>
      </c>
      <c r="B40" t="s">
        <v>91</v>
      </c>
      <c r="C40">
        <v>36000</v>
      </c>
      <c r="D40">
        <v>5000</v>
      </c>
      <c r="E40">
        <v>31000</v>
      </c>
      <c r="F40">
        <v>41000</v>
      </c>
      <c r="G40" s="5" t="s">
        <v>35</v>
      </c>
    </row>
    <row r="41" spans="1:7" x14ac:dyDescent="0.3">
      <c r="A41" t="s">
        <v>68</v>
      </c>
      <c r="B41" t="s">
        <v>92</v>
      </c>
      <c r="C41">
        <v>36000</v>
      </c>
      <c r="D41">
        <v>5000</v>
      </c>
      <c r="E41">
        <v>31000</v>
      </c>
      <c r="F41">
        <v>41000</v>
      </c>
      <c r="G41" s="5" t="s">
        <v>39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"/>
  <sheetViews>
    <sheetView workbookViewId="0">
      <selection activeCell="F11" sqref="F11"/>
    </sheetView>
  </sheetViews>
  <sheetFormatPr defaultRowHeight="16.5" x14ac:dyDescent="0.3"/>
  <cols>
    <col min="1" max="1" width="14" customWidth="1"/>
    <col min="2" max="4" width="10" customWidth="1"/>
    <col min="5" max="5" width="20" customWidth="1"/>
  </cols>
  <sheetData>
    <row r="1" spans="1:5" x14ac:dyDescent="0.3">
      <c r="A1" s="2" t="s">
        <v>43</v>
      </c>
      <c r="B1" s="2" t="s">
        <v>93</v>
      </c>
      <c r="C1" s="2" t="s">
        <v>94</v>
      </c>
      <c r="D1" s="2" t="s">
        <v>95</v>
      </c>
      <c r="E1" s="2" t="s">
        <v>96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9"/>
  <sheetViews>
    <sheetView topLeftCell="A25" workbookViewId="0">
      <selection activeCell="D39" sqref="D39"/>
    </sheetView>
  </sheetViews>
  <sheetFormatPr defaultRowHeight="16.5" x14ac:dyDescent="0.3"/>
  <cols>
    <col min="1" max="1" width="14" customWidth="1"/>
    <col min="2" max="2" width="13.125" customWidth="1"/>
    <col min="3" max="3" width="11.125" customWidth="1"/>
    <col min="4" max="4" width="10.5" customWidth="1"/>
  </cols>
  <sheetData>
    <row r="1" spans="1:1" x14ac:dyDescent="0.3">
      <c r="A1" t="s">
        <v>43</v>
      </c>
    </row>
    <row r="2" spans="1:1" x14ac:dyDescent="0.3">
      <c r="A2" t="s">
        <v>72</v>
      </c>
    </row>
    <row r="3" spans="1:1" x14ac:dyDescent="0.3">
      <c r="A3" t="s">
        <v>73</v>
      </c>
    </row>
    <row r="4" spans="1:1" x14ac:dyDescent="0.3">
      <c r="A4" t="s">
        <v>69</v>
      </c>
    </row>
    <row r="5" spans="1:1" x14ac:dyDescent="0.3">
      <c r="A5" t="s">
        <v>70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9" spans="1:1" x14ac:dyDescent="0.3">
      <c r="A9" t="s">
        <v>65</v>
      </c>
    </row>
    <row r="10" spans="1:1" x14ac:dyDescent="0.3">
      <c r="A10" t="s">
        <v>66</v>
      </c>
    </row>
    <row r="11" spans="1:1" x14ac:dyDescent="0.3">
      <c r="A11" s="5" t="s">
        <v>155</v>
      </c>
    </row>
    <row r="12" spans="1:1" x14ac:dyDescent="0.3">
      <c r="A12" s="5" t="s">
        <v>67</v>
      </c>
    </row>
    <row r="13" spans="1:1" x14ac:dyDescent="0.3">
      <c r="A13" t="s">
        <v>87</v>
      </c>
    </row>
    <row r="14" spans="1:1" x14ac:dyDescent="0.3">
      <c r="A14" t="s">
        <v>88</v>
      </c>
    </row>
    <row r="15" spans="1:1" x14ac:dyDescent="0.3">
      <c r="A15" t="s">
        <v>89</v>
      </c>
    </row>
    <row r="16" spans="1:1" x14ac:dyDescent="0.3">
      <c r="A16" t="s">
        <v>63</v>
      </c>
    </row>
    <row r="17" spans="1:1" x14ac:dyDescent="0.3">
      <c r="A17" t="s">
        <v>57</v>
      </c>
    </row>
    <row r="18" spans="1:1" x14ac:dyDescent="0.3">
      <c r="A18" s="5" t="s">
        <v>59</v>
      </c>
    </row>
    <row r="19" spans="1:1" x14ac:dyDescent="0.3">
      <c r="A19" s="5" t="s">
        <v>60</v>
      </c>
    </row>
    <row r="20" spans="1:1" x14ac:dyDescent="0.3">
      <c r="A20" t="s">
        <v>61</v>
      </c>
    </row>
    <row r="21" spans="1:1" x14ac:dyDescent="0.3">
      <c r="A21" t="s">
        <v>84</v>
      </c>
    </row>
    <row r="22" spans="1:1" x14ac:dyDescent="0.3">
      <c r="A22" t="s">
        <v>85</v>
      </c>
    </row>
    <row r="23" spans="1:1" x14ac:dyDescent="0.3">
      <c r="A23" t="s">
        <v>86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80</v>
      </c>
    </row>
    <row r="27" spans="1:1" x14ac:dyDescent="0.3">
      <c r="A27" t="s">
        <v>81</v>
      </c>
    </row>
    <row r="28" spans="1:1" x14ac:dyDescent="0.3">
      <c r="A28" t="s">
        <v>54</v>
      </c>
    </row>
    <row r="29" spans="1:1" x14ac:dyDescent="0.3">
      <c r="A29" t="s">
        <v>55</v>
      </c>
    </row>
    <row r="30" spans="1:1" x14ac:dyDescent="0.3">
      <c r="A30" t="s">
        <v>82</v>
      </c>
    </row>
    <row r="31" spans="1:1" x14ac:dyDescent="0.3">
      <c r="A31" t="s">
        <v>83</v>
      </c>
    </row>
    <row r="32" spans="1:1" x14ac:dyDescent="0.3">
      <c r="A32" t="s">
        <v>48</v>
      </c>
    </row>
    <row r="33" spans="1:1" x14ac:dyDescent="0.3">
      <c r="A33" t="s">
        <v>49</v>
      </c>
    </row>
    <row r="34" spans="1:1" x14ac:dyDescent="0.3">
      <c r="A34" t="s">
        <v>50</v>
      </c>
    </row>
    <row r="35" spans="1:1" x14ac:dyDescent="0.3">
      <c r="A35" t="s">
        <v>74</v>
      </c>
    </row>
    <row r="36" spans="1:1" x14ac:dyDescent="0.3">
      <c r="A36" t="s">
        <v>78</v>
      </c>
    </row>
    <row r="37" spans="1:1" x14ac:dyDescent="0.3">
      <c r="A37" t="s">
        <v>76</v>
      </c>
    </row>
    <row r="38" spans="1:1" x14ac:dyDescent="0.3">
      <c r="A38" t="s">
        <v>75</v>
      </c>
    </row>
    <row r="39" spans="1:1" x14ac:dyDescent="0.3">
      <c r="A39" t="s">
        <v>79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9"/>
  <sheetViews>
    <sheetView workbookViewId="0">
      <selection activeCell="B24" sqref="B24"/>
    </sheetView>
  </sheetViews>
  <sheetFormatPr defaultRowHeight="16.5" x14ac:dyDescent="0.3"/>
  <cols>
    <col min="1" max="1" width="35" customWidth="1"/>
    <col min="2" max="2" width="60" customWidth="1"/>
  </cols>
  <sheetData>
    <row r="1" spans="1:2" x14ac:dyDescent="0.3">
      <c r="A1" t="s">
        <v>97</v>
      </c>
      <c r="B1" t="s">
        <v>98</v>
      </c>
    </row>
    <row r="2" spans="1:2" x14ac:dyDescent="0.3">
      <c r="A2" t="s">
        <v>99</v>
      </c>
      <c r="B2" t="s">
        <v>100</v>
      </c>
    </row>
    <row r="3" spans="1:2" x14ac:dyDescent="0.3">
      <c r="A3" t="s">
        <v>101</v>
      </c>
      <c r="B3" t="s">
        <v>102</v>
      </c>
    </row>
    <row r="4" spans="1:2" x14ac:dyDescent="0.3">
      <c r="A4" t="s">
        <v>103</v>
      </c>
      <c r="B4" t="s">
        <v>104</v>
      </c>
    </row>
    <row r="5" spans="1:2" x14ac:dyDescent="0.3">
      <c r="A5" t="s">
        <v>105</v>
      </c>
      <c r="B5" t="s">
        <v>106</v>
      </c>
    </row>
    <row r="6" spans="1:2" x14ac:dyDescent="0.3">
      <c r="A6" t="s">
        <v>107</v>
      </c>
      <c r="B6" t="s">
        <v>108</v>
      </c>
    </row>
    <row r="7" spans="1:2" x14ac:dyDescent="0.3">
      <c r="A7" t="s">
        <v>109</v>
      </c>
      <c r="B7" t="s">
        <v>110</v>
      </c>
    </row>
    <row r="8" spans="1:2" x14ac:dyDescent="0.3">
      <c r="A8" t="s">
        <v>111</v>
      </c>
      <c r="B8" t="s">
        <v>112</v>
      </c>
    </row>
    <row r="9" spans="1:2" x14ac:dyDescent="0.3">
      <c r="A9" t="s">
        <v>113</v>
      </c>
      <c r="B9" t="s">
        <v>114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5"/>
  <sheetViews>
    <sheetView workbookViewId="0">
      <selection activeCell="J16" sqref="J16"/>
    </sheetView>
  </sheetViews>
  <sheetFormatPr defaultRowHeight="16.5" x14ac:dyDescent="0.3"/>
  <cols>
    <col min="1" max="1" width="12" customWidth="1"/>
    <col min="2" max="4" width="10" customWidth="1"/>
  </cols>
  <sheetData>
    <row r="1" spans="1:4" x14ac:dyDescent="0.3">
      <c r="A1" s="4" t="s">
        <v>15</v>
      </c>
      <c r="B1" s="4" t="s">
        <v>120</v>
      </c>
      <c r="C1" s="4" t="s">
        <v>121</v>
      </c>
      <c r="D1" s="4" t="s">
        <v>126</v>
      </c>
    </row>
    <row r="2" spans="1:4" x14ac:dyDescent="0.3">
      <c r="A2" t="s">
        <v>23</v>
      </c>
      <c r="B2">
        <v>360</v>
      </c>
      <c r="C2">
        <v>460</v>
      </c>
      <c r="D2">
        <v>0.4</v>
      </c>
    </row>
    <row r="3" spans="1:4" x14ac:dyDescent="0.3">
      <c r="A3" s="5" t="s">
        <v>154</v>
      </c>
      <c r="B3">
        <v>240</v>
      </c>
      <c r="C3">
        <v>400</v>
      </c>
      <c r="D3">
        <v>0.1</v>
      </c>
    </row>
    <row r="4" spans="1:4" x14ac:dyDescent="0.3">
      <c r="A4" t="s">
        <v>35</v>
      </c>
      <c r="B4">
        <v>170</v>
      </c>
      <c r="C4">
        <v>220</v>
      </c>
    </row>
    <row r="5" spans="1:4" x14ac:dyDescent="0.3">
      <c r="A5" t="s">
        <v>39</v>
      </c>
      <c r="B5">
        <v>50</v>
      </c>
      <c r="C5">
        <v>70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10"/>
  <sheetViews>
    <sheetView workbookViewId="0">
      <selection activeCell="D15" sqref="D15"/>
    </sheetView>
  </sheetViews>
  <sheetFormatPr defaultRowHeight="16.5" x14ac:dyDescent="0.3"/>
  <cols>
    <col min="1" max="1" width="20" customWidth="1"/>
    <col min="2" max="2" width="100" customWidth="1"/>
  </cols>
  <sheetData>
    <row r="1" spans="1:2" x14ac:dyDescent="0.3">
      <c r="A1" s="2" t="s">
        <v>131</v>
      </c>
      <c r="B1" s="2" t="s">
        <v>132</v>
      </c>
    </row>
    <row r="2" spans="1:2" x14ac:dyDescent="0.3">
      <c r="A2" t="s">
        <v>133</v>
      </c>
      <c r="B2" t="s">
        <v>134</v>
      </c>
    </row>
    <row r="3" spans="1:2" x14ac:dyDescent="0.3">
      <c r="A3" t="s">
        <v>135</v>
      </c>
      <c r="B3" t="s">
        <v>136</v>
      </c>
    </row>
    <row r="4" spans="1:2" x14ac:dyDescent="0.3">
      <c r="A4" t="s">
        <v>137</v>
      </c>
      <c r="B4" t="s">
        <v>138</v>
      </c>
    </row>
    <row r="5" spans="1:2" x14ac:dyDescent="0.3">
      <c r="A5" t="s">
        <v>139</v>
      </c>
      <c r="B5" t="s">
        <v>140</v>
      </c>
    </row>
    <row r="6" spans="1:2" x14ac:dyDescent="0.3">
      <c r="A6" t="s">
        <v>141</v>
      </c>
      <c r="B6" t="s">
        <v>142</v>
      </c>
    </row>
    <row r="7" spans="1:2" x14ac:dyDescent="0.3">
      <c r="A7" t="s">
        <v>143</v>
      </c>
      <c r="B7" t="s">
        <v>144</v>
      </c>
    </row>
    <row r="9" spans="1:2" x14ac:dyDescent="0.3">
      <c r="A9" t="s">
        <v>145</v>
      </c>
    </row>
    <row r="10" spans="1:2" x14ac:dyDescent="0.3">
      <c r="A10" t="s">
        <v>146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I2013"/>
  <sheetViews>
    <sheetView topLeftCell="A19" workbookViewId="0">
      <selection activeCell="H72" sqref="H72"/>
    </sheetView>
  </sheetViews>
  <sheetFormatPr defaultRowHeight="16.5" x14ac:dyDescent="0.3"/>
  <cols>
    <col min="1" max="1" width="14.25" customWidth="1"/>
    <col min="2" max="2" width="12" style="8" customWidth="1"/>
    <col min="3" max="3" width="20" style="8" customWidth="1"/>
    <col min="4" max="4" width="10" style="8" customWidth="1"/>
    <col min="5" max="5" width="14" style="8" customWidth="1"/>
    <col min="6" max="6" width="8" style="8" customWidth="1"/>
    <col min="7" max="7" width="34.125" customWidth="1"/>
  </cols>
  <sheetData>
    <row r="1" spans="1:7" x14ac:dyDescent="0.3">
      <c r="A1" s="2" t="s">
        <v>127</v>
      </c>
      <c r="B1" s="2" t="s">
        <v>15</v>
      </c>
      <c r="C1" s="2" t="s">
        <v>128</v>
      </c>
      <c r="D1" s="2" t="s">
        <v>29</v>
      </c>
      <c r="E1" s="2" t="s">
        <v>129</v>
      </c>
      <c r="F1" s="2" t="s">
        <v>130</v>
      </c>
      <c r="G1" s="2" t="s">
        <v>21</v>
      </c>
    </row>
    <row r="2" spans="1:7" x14ac:dyDescent="0.3">
      <c r="A2" s="6">
        <v>45880</v>
      </c>
      <c r="B2" s="7" t="s">
        <v>23</v>
      </c>
      <c r="C2" s="8" t="str">
        <f t="shared" ref="C2:C15" si="0">IF(B2="PBHAv1.0","PCB"&amp;TEXT(A2,"yyyymmdd")&amp;"-01",IF(B2="SBCT","SBCT"&amp;TEXT(A2,"yyyymmdd"),IF(B2="SCRA","SCRA"&amp;TEXT(A2,"yyyymmdd"),"")))</f>
        <v>PCB20250811-01</v>
      </c>
      <c r="D2" s="37">
        <f>(423.6+415.8+415.8)/3</f>
        <v>418.40000000000003</v>
      </c>
      <c r="E2" s="38">
        <v>2.8093E-2</v>
      </c>
      <c r="F2" s="7" t="str">
        <f t="shared" ref="F2:F11" si="1">IF(ISBLANK(B2),"",IF(B2="PBHAv1.0",IF(OR(ISBLANK(D2),ISBLANK(E2)),"",IF(AND(D2&gt;=360,D2&lt;=460,E2&lt;=0.4),"적합","부적합")),IF(ISBLANK(B2),"",IF(B2="PBHBv1.0",IF(OR(ISBLANK(D2),ISBLANK(E2)),"",IF(AND(D2&gt;=240,D2&lt;=400,E2&lt;=0.1),"적합","부적합")),IF(ISBLANK(D2),"",IF(B2="SBCT",IF(AND(D2&gt;=170,D2&lt;=220),"적합","부적합"),IF(B2="SCRA",IF(AND(D2&gt;=50,D2&lt;=70),"적합","부적합"),"")))))))</f>
        <v>적합</v>
      </c>
    </row>
    <row r="3" spans="1:7" s="5" customFormat="1" x14ac:dyDescent="0.3">
      <c r="A3" s="6">
        <v>45887</v>
      </c>
      <c r="B3" s="8" t="s">
        <v>33</v>
      </c>
      <c r="C3" s="8" t="str">
        <f>IF(B3="PBHAv1.0","PCB"&amp;TEXT(A3,"yyyymmdd")&amp;"-01",IF(B3="PBHBv1.0","NPCB"&amp;TEXT(A3,"yyyymmdd")&amp;"-01",IF(B3="SBCT","SBCT"&amp;TEXT(A3,"yyyymmdd"),IF(B3="SCRA","SCRA"&amp;TEXT(A3,"yyyymmdd"),""))))</f>
        <v>NPCB20250818-01</v>
      </c>
      <c r="D3" s="37">
        <f>(261.6+265.2+265.8)/3</f>
        <v>264.2</v>
      </c>
      <c r="E3" s="8">
        <v>3.852E-3</v>
      </c>
      <c r="F3" s="7" t="str">
        <f t="shared" si="1"/>
        <v>적합</v>
      </c>
    </row>
    <row r="4" spans="1:7" s="5" customFormat="1" x14ac:dyDescent="0.3">
      <c r="A4" s="6">
        <v>45887</v>
      </c>
      <c r="B4" s="8" t="s">
        <v>23</v>
      </c>
      <c r="C4" s="8" t="str">
        <f t="shared" ref="C4:C9" si="2">IF(B4="PBHAv1.0","PCB"&amp;TEXT(A4,"yyyymmdd")&amp;"-01",IF(B4="PBHBv1.0","BIH"&amp;TEXT(A4,"yyyymmdd")&amp;"-01",IF(B4="SBCT","SBCT"&amp;TEXT(A4,"yyyymmdd"),IF(B4="SCRA","SCRA"&amp;TEXT(A4,"yyyymmdd"),""))))</f>
        <v>PCB20250818-01</v>
      </c>
      <c r="D4" s="37">
        <v>410.4</v>
      </c>
      <c r="E4" s="8">
        <v>1.8726E-2</v>
      </c>
      <c r="F4" s="7" t="str">
        <f t="shared" si="1"/>
        <v>적합</v>
      </c>
    </row>
    <row r="5" spans="1:7" x14ac:dyDescent="0.3">
      <c r="A5" s="6">
        <v>45894</v>
      </c>
      <c r="B5" s="8" t="s">
        <v>23</v>
      </c>
      <c r="C5" s="8" t="str">
        <f t="shared" si="2"/>
        <v>PCB20250825-01</v>
      </c>
      <c r="D5" s="37">
        <f>(433.8+432.6+432)/3</f>
        <v>432.8</v>
      </c>
      <c r="E5" s="8">
        <v>2.1492000000000001E-2</v>
      </c>
      <c r="F5" s="7" t="str">
        <f t="shared" si="1"/>
        <v>적합</v>
      </c>
    </row>
    <row r="6" spans="1:7" x14ac:dyDescent="0.3">
      <c r="A6" s="6">
        <v>45894</v>
      </c>
      <c r="B6" s="8" t="s">
        <v>23</v>
      </c>
      <c r="C6" s="8" t="str">
        <f t="shared" si="2"/>
        <v>PCB20250825-01</v>
      </c>
      <c r="D6" s="37">
        <f>(434.4+433.2+433.2)/3</f>
        <v>433.59999999999997</v>
      </c>
      <c r="E6" s="8">
        <v>1.8332000000000001E-2</v>
      </c>
      <c r="F6" s="7" t="str">
        <f t="shared" si="1"/>
        <v>적합</v>
      </c>
    </row>
    <row r="7" spans="1:7" s="5" customFormat="1" x14ac:dyDescent="0.3">
      <c r="A7" s="6">
        <v>45897</v>
      </c>
      <c r="B7" s="8" t="s">
        <v>23</v>
      </c>
      <c r="C7" s="8" t="str">
        <f t="shared" si="2"/>
        <v>PCB20250828-01</v>
      </c>
      <c r="D7" s="37">
        <v>385.8</v>
      </c>
      <c r="E7" s="8">
        <v>1.5824000000000001E-2</v>
      </c>
      <c r="F7" s="7" t="str">
        <f t="shared" si="1"/>
        <v>적합</v>
      </c>
    </row>
    <row r="8" spans="1:7" s="5" customFormat="1" x14ac:dyDescent="0.3">
      <c r="A8" s="6">
        <v>45897</v>
      </c>
      <c r="B8" s="8" t="s">
        <v>23</v>
      </c>
      <c r="C8" s="8" t="str">
        <f t="shared" si="2"/>
        <v>PCB20250828-01</v>
      </c>
      <c r="D8" s="37">
        <v>390</v>
      </c>
      <c r="E8" s="8">
        <v>1.7604000000000002E-2</v>
      </c>
      <c r="F8" s="7" t="str">
        <f t="shared" si="1"/>
        <v>적합</v>
      </c>
    </row>
    <row r="9" spans="1:7" s="5" customFormat="1" x14ac:dyDescent="0.3">
      <c r="A9" s="6">
        <v>45898</v>
      </c>
      <c r="B9" s="8" t="s">
        <v>23</v>
      </c>
      <c r="C9" s="8" t="str">
        <f t="shared" si="2"/>
        <v>PCB20250829-01</v>
      </c>
      <c r="D9" s="37">
        <v>409.2</v>
      </c>
      <c r="E9" s="39">
        <v>1.5900000000000001E-2</v>
      </c>
      <c r="F9" s="7" t="str">
        <f t="shared" si="1"/>
        <v>적합</v>
      </c>
    </row>
    <row r="10" spans="1:7" s="5" customFormat="1" x14ac:dyDescent="0.3">
      <c r="A10" s="6">
        <v>45901</v>
      </c>
      <c r="B10" s="8" t="s">
        <v>33</v>
      </c>
      <c r="C10" s="8" t="str">
        <f>IF(B10="PBHAv1.0","PCB"&amp;TEXT(A10,"yyyymmdd")&amp;"-01",IF(B10="PBHBv1.0","NPCB"&amp;TEXT(A10,"yyyymmdd")&amp;"-01",IF(B10="SBCT","SBCT"&amp;TEXT(A10,"yyyymmdd"),IF(B10="SCRA","SCRA"&amp;TEXT(A10,"yyyymmdd"),""))))</f>
        <v>NPCB20250901-01</v>
      </c>
      <c r="D10" s="37">
        <f>(260.4+262.2+262.8)/3</f>
        <v>261.79999999999995</v>
      </c>
      <c r="E10" s="8">
        <v>6.5180000000000004E-3</v>
      </c>
      <c r="F10" s="7" t="str">
        <f t="shared" si="1"/>
        <v>적합</v>
      </c>
    </row>
    <row r="11" spans="1:7" s="5" customFormat="1" x14ac:dyDescent="0.3">
      <c r="A11" s="6">
        <v>45901</v>
      </c>
      <c r="B11" s="8" t="s">
        <v>33</v>
      </c>
      <c r="C11" s="8" t="str">
        <f>IF(B11="PBHAv1.0","PCB"&amp;TEXT(A11,"yyyymmdd")&amp;"-01",IF(B11="PBHBv1.0","NPCB"&amp;TEXT(A11,"yyyymmdd")&amp;"-01",IF(B11="SBCT","SBCT"&amp;TEXT(A11,"yyyymmdd"),IF(B11="SCRA","SCRA"&amp;TEXT(A11,"yyyymmdd"),""))))</f>
        <v>NPCB20250901-01</v>
      </c>
      <c r="D11" s="37">
        <f>(261+263.4+264)/3</f>
        <v>262.8</v>
      </c>
      <c r="E11" s="38">
        <v>6.5250000000000004E-3</v>
      </c>
      <c r="F11" s="7" t="str">
        <f t="shared" si="1"/>
        <v>적합</v>
      </c>
    </row>
    <row r="12" spans="1:7" x14ac:dyDescent="0.3">
      <c r="A12" s="6">
        <v>45902</v>
      </c>
      <c r="B12" s="8" t="s">
        <v>23</v>
      </c>
      <c r="C12" s="8" t="str">
        <f t="shared" si="0"/>
        <v>PCB20250902-01</v>
      </c>
      <c r="D12" s="37">
        <f>(388.2+389.4+397.8)/3</f>
        <v>391.79999999999995</v>
      </c>
      <c r="E12" s="38">
        <v>1.0118E-2</v>
      </c>
      <c r="F12" s="7" t="str">
        <f t="shared" ref="F12:F15" si="3">IF(ISBLANK(B12),"",IF(B12="PBHAv1.0",IF(OR(ISBLANK(D12),ISBLANK(E12)),"",IF(AND(D12&gt;=360,D12&lt;=460,E12&lt;=0.4),"적합","부적합")),IF(ISBLANK(D12),"",IF(B12="SBCT",IF(AND(D12&gt;=170,D12&lt;=220),"적합","부적합"),IF(B12="SCRA",IF(AND(D12&gt;=50,D12&lt;=70),"적합","부적합"),"")))))</f>
        <v>적합</v>
      </c>
    </row>
    <row r="13" spans="1:7" x14ac:dyDescent="0.3">
      <c r="A13" s="6">
        <v>45902</v>
      </c>
      <c r="B13" s="8" t="s">
        <v>23</v>
      </c>
      <c r="C13" s="8" t="str">
        <f t="shared" si="0"/>
        <v>PCB20250902-01</v>
      </c>
      <c r="D13" s="37">
        <f>(366+369.6+372)/3</f>
        <v>369.2</v>
      </c>
      <c r="E13" s="40">
        <v>1.474E-2</v>
      </c>
      <c r="F13" s="7" t="str">
        <f t="shared" si="3"/>
        <v>적합</v>
      </c>
    </row>
    <row r="14" spans="1:7" x14ac:dyDescent="0.3">
      <c r="A14" s="6">
        <v>45904</v>
      </c>
      <c r="B14" s="8" t="s">
        <v>23</v>
      </c>
      <c r="C14" s="8" t="str">
        <f>IF(B14="PBHAv1.0","PCB"&amp;TEXT(A14,"yyyymmdd")&amp;"-01",IF(B14="SBCT","SBCT"&amp;TEXT(A14,"yyyymmdd"),IF(B14="SCRA","SCRA"&amp;TEXT(A14,"yyyymmdd"),"")))</f>
        <v>PCB20250904-01</v>
      </c>
      <c r="D14" s="37">
        <f>(375+381.6+380.5)/3</f>
        <v>379.0333333333333</v>
      </c>
      <c r="E14" s="8">
        <v>8.633E-3</v>
      </c>
      <c r="F14" s="7" t="str">
        <f t="shared" si="3"/>
        <v>적합</v>
      </c>
    </row>
    <row r="15" spans="1:7" x14ac:dyDescent="0.3">
      <c r="A15" s="6">
        <v>45904</v>
      </c>
      <c r="B15" s="8" t="s">
        <v>23</v>
      </c>
      <c r="C15" s="8" t="str">
        <f t="shared" si="0"/>
        <v>PCB20250904-01</v>
      </c>
      <c r="D15" s="37">
        <f>(372.6+375.6+376.2)/3</f>
        <v>374.8</v>
      </c>
      <c r="E15" s="8">
        <v>9.9109999999999997E-3</v>
      </c>
      <c r="F15" s="7" t="str">
        <f t="shared" si="3"/>
        <v>적합</v>
      </c>
    </row>
    <row r="16" spans="1:7" s="5" customFormat="1" x14ac:dyDescent="0.3">
      <c r="A16" s="6">
        <v>45905</v>
      </c>
      <c r="B16" s="8" t="s">
        <v>33</v>
      </c>
      <c r="C16" s="8" t="str">
        <f t="shared" ref="C16:C58" si="4">IF(B16="PBHAv1.0","PCB"&amp;TEXT(A16,"yyyymmdd")&amp;"-01",IF(B16="PBHBv1.0","BIH"&amp;TEXT(A16,"yyyymmdd")&amp;"-01",IF(B16="SBCT","SBCT"&amp;TEXT(A16,"yyyymmdd"),IF(B16="SCRA","SCRA"&amp;TEXT(A16,"yyyymmdd"),""))))</f>
        <v>BIH20250905-01</v>
      </c>
      <c r="D16" s="37">
        <v>275.39999999999998</v>
      </c>
      <c r="E16" s="8">
        <v>2.101E-3</v>
      </c>
      <c r="F16" s="7" t="str">
        <f t="shared" ref="F16:F59" si="5">IF(ISBLANK(B16),"",IF(B16="PBHAv1.0",IF(OR(ISBLANK(D16),ISBLANK(E16)),"",IF(AND(D16&gt;=360,D16&lt;=460,E16&lt;=0.4),"적합","부적합")),IF(ISBLANK(B16),"",IF(B16="PBHBv1.0",IF(OR(ISBLANK(D16),ISBLANK(E16)),"",IF(AND(D16&gt;=240,D16&lt;=400,E16&lt;=0.1),"적합","부적합")),IF(ISBLANK(D16),"",IF(B16="SBCT",IF(AND(D16&gt;=170,D16&lt;=220),"적합","부적합"),IF(B16="SCRA",IF(AND(D16&gt;=50,D16&lt;=70),"적합","부적합"),"")))))))</f>
        <v>적합</v>
      </c>
    </row>
    <row r="17" spans="1:6" s="5" customFormat="1" x14ac:dyDescent="0.3">
      <c r="A17" s="6">
        <v>45905</v>
      </c>
      <c r="B17" s="8" t="s">
        <v>33</v>
      </c>
      <c r="C17" s="8" t="str">
        <f t="shared" si="4"/>
        <v>BIH20250905-01</v>
      </c>
      <c r="D17" s="37">
        <v>287.39999999999998</v>
      </c>
      <c r="E17" s="39">
        <v>9.3300000000000002E-4</v>
      </c>
      <c r="F17" s="7" t="str">
        <f t="shared" si="5"/>
        <v>적합</v>
      </c>
    </row>
    <row r="18" spans="1:6" x14ac:dyDescent="0.3">
      <c r="A18" s="6">
        <v>45908</v>
      </c>
      <c r="B18" s="8" t="s">
        <v>23</v>
      </c>
      <c r="C18" s="8" t="str">
        <f t="shared" si="4"/>
        <v>PCB20250908-01</v>
      </c>
      <c r="D18" s="37">
        <v>414.6</v>
      </c>
      <c r="E18" s="8">
        <v>9.4940000000000007E-3</v>
      </c>
      <c r="F18" s="7" t="str">
        <f t="shared" si="5"/>
        <v>적합</v>
      </c>
    </row>
    <row r="19" spans="1:6" x14ac:dyDescent="0.3">
      <c r="A19" s="6">
        <v>45908</v>
      </c>
      <c r="B19" s="8" t="s">
        <v>23</v>
      </c>
      <c r="C19" s="8" t="str">
        <f t="shared" si="4"/>
        <v>PCB20250908-01</v>
      </c>
      <c r="D19" s="37">
        <v>385.2</v>
      </c>
      <c r="E19" s="39">
        <v>1.0691000000000001E-2</v>
      </c>
      <c r="F19" s="7" t="str">
        <f t="shared" si="5"/>
        <v>적합</v>
      </c>
    </row>
    <row r="20" spans="1:6" x14ac:dyDescent="0.3">
      <c r="A20" s="6">
        <v>45909</v>
      </c>
      <c r="B20" s="8" t="s">
        <v>23</v>
      </c>
      <c r="C20" s="8" t="str">
        <f t="shared" si="4"/>
        <v>PCB20250909-01</v>
      </c>
      <c r="D20" s="37">
        <f>(382.8+369.6+368.4)/3</f>
        <v>373.60000000000008</v>
      </c>
      <c r="E20" s="8">
        <v>8.8739999999999999E-3</v>
      </c>
      <c r="F20" s="7" t="str">
        <f t="shared" si="5"/>
        <v>적합</v>
      </c>
    </row>
    <row r="21" spans="1:6" x14ac:dyDescent="0.3">
      <c r="A21" s="6">
        <v>45909</v>
      </c>
      <c r="B21" s="8" t="s">
        <v>23</v>
      </c>
      <c r="C21" s="8" t="str">
        <f t="shared" si="4"/>
        <v>PCB20250909-01</v>
      </c>
      <c r="D21" s="37">
        <f>(365.4+367.8+370.2)/3</f>
        <v>367.8</v>
      </c>
      <c r="E21" s="39">
        <v>7.5599999999999999E-3</v>
      </c>
      <c r="F21" s="7" t="str">
        <f t="shared" si="5"/>
        <v>적합</v>
      </c>
    </row>
    <row r="22" spans="1:6" x14ac:dyDescent="0.3">
      <c r="A22" s="6">
        <v>45911</v>
      </c>
      <c r="B22" s="8" t="s">
        <v>23</v>
      </c>
      <c r="C22" s="8" t="str">
        <f t="shared" si="4"/>
        <v>PCB20250911-01</v>
      </c>
      <c r="D22" s="37">
        <f>(391.2+391.8+391.7)/3</f>
        <v>391.56666666666666</v>
      </c>
      <c r="E22" s="8">
        <v>8.2419999999999993E-3</v>
      </c>
      <c r="F22" s="7" t="str">
        <f t="shared" si="5"/>
        <v>적합</v>
      </c>
    </row>
    <row r="23" spans="1:6" x14ac:dyDescent="0.3">
      <c r="A23" s="6">
        <v>45911</v>
      </c>
      <c r="B23" s="8" t="s">
        <v>23</v>
      </c>
      <c r="C23" s="8" t="str">
        <f t="shared" si="4"/>
        <v>PCB20250911-01</v>
      </c>
      <c r="D23" s="37">
        <f>(361.2+362.4+364.2)/3</f>
        <v>362.59999999999997</v>
      </c>
      <c r="E23" s="38">
        <v>1.1025999999999999E-2</v>
      </c>
      <c r="F23" s="7" t="str">
        <f t="shared" si="5"/>
        <v>적합</v>
      </c>
    </row>
    <row r="24" spans="1:6" x14ac:dyDescent="0.3">
      <c r="A24" s="6">
        <v>45910</v>
      </c>
      <c r="B24" s="8" t="s">
        <v>33</v>
      </c>
      <c r="C24" s="8" t="str">
        <f t="shared" si="4"/>
        <v>BIH20250910-01</v>
      </c>
      <c r="D24" s="37">
        <f>(269.4+270.6+271.8)/3</f>
        <v>270.59999999999997</v>
      </c>
      <c r="E24" s="8">
        <v>4.8820000000000001E-3</v>
      </c>
      <c r="F24" s="7" t="str">
        <f t="shared" si="5"/>
        <v>적합</v>
      </c>
    </row>
    <row r="25" spans="1:6" x14ac:dyDescent="0.3">
      <c r="A25" s="6">
        <v>45910</v>
      </c>
      <c r="B25" s="8" t="s">
        <v>33</v>
      </c>
      <c r="C25" s="8" t="str">
        <f t="shared" si="4"/>
        <v>BIH20250910-01</v>
      </c>
      <c r="D25" s="37">
        <f>(280.2+282.6+283.8)/3</f>
        <v>282.2</v>
      </c>
      <c r="E25" s="8">
        <v>4.006E-3</v>
      </c>
      <c r="F25" s="7" t="str">
        <f t="shared" si="5"/>
        <v>적합</v>
      </c>
    </row>
    <row r="26" spans="1:6" x14ac:dyDescent="0.3">
      <c r="A26" s="6">
        <v>45912</v>
      </c>
      <c r="B26" s="8" t="s">
        <v>33</v>
      </c>
      <c r="C26" s="8" t="str">
        <f t="shared" si="4"/>
        <v>BIH20250912-01</v>
      </c>
      <c r="D26" s="37">
        <f>(262.2+264+265.2)/3</f>
        <v>263.8</v>
      </c>
      <c r="E26" s="8">
        <v>4.019E-3</v>
      </c>
      <c r="F26" s="7" t="str">
        <f t="shared" si="5"/>
        <v>적합</v>
      </c>
    </row>
    <row r="27" spans="1:6" x14ac:dyDescent="0.3">
      <c r="A27" s="6">
        <v>45912</v>
      </c>
      <c r="B27" s="8" t="s">
        <v>33</v>
      </c>
      <c r="C27" s="8" t="str">
        <f t="shared" si="4"/>
        <v>BIH20250912-01</v>
      </c>
      <c r="D27" s="37">
        <f>(267.6+270.6+271.8)/3</f>
        <v>270</v>
      </c>
      <c r="E27" s="8">
        <v>5.2360000000000002E-3</v>
      </c>
      <c r="F27" s="7" t="str">
        <f t="shared" si="5"/>
        <v>적합</v>
      </c>
    </row>
    <row r="28" spans="1:6" x14ac:dyDescent="0.3">
      <c r="A28" s="6">
        <v>45930</v>
      </c>
      <c r="B28" s="8" t="s">
        <v>23</v>
      </c>
      <c r="C28" s="8" t="str">
        <f t="shared" si="4"/>
        <v>PCB20250930-01</v>
      </c>
      <c r="D28" s="37">
        <v>400.2</v>
      </c>
      <c r="E28" s="8">
        <v>1.2581E-2</v>
      </c>
      <c r="F28" s="7" t="str">
        <f t="shared" si="5"/>
        <v>적합</v>
      </c>
    </row>
    <row r="29" spans="1:6" x14ac:dyDescent="0.3">
      <c r="A29" s="6">
        <v>45930</v>
      </c>
      <c r="B29" s="8" t="s">
        <v>23</v>
      </c>
      <c r="C29" s="8" t="str">
        <f t="shared" si="4"/>
        <v>PCB20250930-01</v>
      </c>
      <c r="D29" s="37">
        <v>371.4</v>
      </c>
      <c r="E29" s="8">
        <v>1.1931000000000001E-2</v>
      </c>
      <c r="F29" s="7" t="str">
        <f t="shared" si="5"/>
        <v>적합</v>
      </c>
    </row>
    <row r="30" spans="1:6" x14ac:dyDescent="0.3">
      <c r="A30" s="6">
        <v>45945</v>
      </c>
      <c r="B30" s="8" t="s">
        <v>23</v>
      </c>
      <c r="C30" s="8" t="str">
        <f t="shared" si="4"/>
        <v>PCB20251015-01</v>
      </c>
      <c r="D30" s="37">
        <v>401.4</v>
      </c>
      <c r="E30" s="8">
        <v>7.0850000000000002E-3</v>
      </c>
      <c r="F30" s="7" t="str">
        <f t="shared" si="5"/>
        <v>적합</v>
      </c>
    </row>
    <row r="31" spans="1:6" x14ac:dyDescent="0.3">
      <c r="A31" s="6">
        <v>45945</v>
      </c>
      <c r="B31" s="8" t="s">
        <v>23</v>
      </c>
      <c r="C31" s="8" t="str">
        <f t="shared" si="4"/>
        <v>PCB20251015-01</v>
      </c>
      <c r="D31" s="37">
        <v>389.4</v>
      </c>
      <c r="E31" s="8">
        <v>6.1869999999999998E-3</v>
      </c>
      <c r="F31" s="7" t="str">
        <f t="shared" si="5"/>
        <v>적합</v>
      </c>
    </row>
    <row r="32" spans="1:6" x14ac:dyDescent="0.3">
      <c r="A32" s="6">
        <v>45946</v>
      </c>
      <c r="B32" s="8" t="s">
        <v>23</v>
      </c>
      <c r="C32" s="8" t="str">
        <f t="shared" si="4"/>
        <v>PCB20251016-01</v>
      </c>
      <c r="D32" s="37">
        <v>367.2</v>
      </c>
      <c r="E32" s="8">
        <v>7.5729999999999999E-3</v>
      </c>
      <c r="F32" s="7" t="str">
        <f t="shared" si="5"/>
        <v>적합</v>
      </c>
    </row>
    <row r="33" spans="1:9" x14ac:dyDescent="0.3">
      <c r="A33" s="6">
        <v>45946</v>
      </c>
      <c r="B33" s="8" t="s">
        <v>23</v>
      </c>
      <c r="C33" s="8" t="str">
        <f t="shared" si="4"/>
        <v>PCB20251016-01</v>
      </c>
      <c r="D33" s="41">
        <v>361.2</v>
      </c>
      <c r="E33" s="8">
        <v>2.5820000000000001E-3</v>
      </c>
      <c r="F33" s="7" t="str">
        <f t="shared" si="5"/>
        <v>적합</v>
      </c>
    </row>
    <row r="34" spans="1:9" x14ac:dyDescent="0.3">
      <c r="A34" s="6">
        <v>45951</v>
      </c>
      <c r="B34" s="8" t="s">
        <v>23</v>
      </c>
      <c r="C34" s="8" t="str">
        <f t="shared" si="4"/>
        <v>PCB20251021-01</v>
      </c>
      <c r="D34" s="41">
        <f>(368.4+367.2+367.2)/3</f>
        <v>367.59999999999997</v>
      </c>
      <c r="E34" s="8">
        <v>2.4892999999999998E-2</v>
      </c>
      <c r="F34" s="7" t="str">
        <f t="shared" si="5"/>
        <v>적합</v>
      </c>
    </row>
    <row r="35" spans="1:9" x14ac:dyDescent="0.3">
      <c r="A35" s="6">
        <v>45951</v>
      </c>
      <c r="B35" s="8" t="s">
        <v>23</v>
      </c>
      <c r="C35" s="8" t="str">
        <f t="shared" si="4"/>
        <v>PCB20251021-01</v>
      </c>
      <c r="D35" s="41">
        <f>(350.4+351.6+350.4)/3</f>
        <v>350.8</v>
      </c>
      <c r="E35" s="8">
        <v>2.5524999999999999E-2</v>
      </c>
      <c r="F35" s="7" t="str">
        <f t="shared" si="5"/>
        <v>부적합</v>
      </c>
    </row>
    <row r="36" spans="1:9" s="5" customFormat="1" x14ac:dyDescent="0.3">
      <c r="A36" s="6">
        <v>45953</v>
      </c>
      <c r="B36" s="8" t="s">
        <v>23</v>
      </c>
      <c r="C36" s="8" t="str">
        <f t="shared" si="4"/>
        <v>PCB20251023-01</v>
      </c>
      <c r="D36" s="41">
        <v>415.8</v>
      </c>
      <c r="E36" s="8">
        <v>7.8110000000000002E-3</v>
      </c>
      <c r="F36" s="7" t="str">
        <f t="shared" si="5"/>
        <v>적합</v>
      </c>
    </row>
    <row r="37" spans="1:9" s="5" customFormat="1" x14ac:dyDescent="0.3">
      <c r="A37" s="6">
        <v>45953</v>
      </c>
      <c r="B37" s="8" t="s">
        <v>23</v>
      </c>
      <c r="C37" s="8" t="str">
        <f t="shared" si="4"/>
        <v>PCB20251023-01</v>
      </c>
      <c r="D37" s="41">
        <v>388.8</v>
      </c>
      <c r="E37" s="8">
        <v>6.953E-3</v>
      </c>
      <c r="F37" s="7" t="str">
        <f t="shared" si="5"/>
        <v>적합</v>
      </c>
    </row>
    <row r="38" spans="1:9" x14ac:dyDescent="0.3">
      <c r="A38" s="6">
        <v>45957</v>
      </c>
      <c r="B38" s="8" t="s">
        <v>23</v>
      </c>
      <c r="C38" s="8" t="str">
        <f t="shared" si="4"/>
        <v>PCB20251027-01</v>
      </c>
      <c r="D38" s="42">
        <v>421.73</v>
      </c>
      <c r="E38" s="8">
        <v>1.3653E-2</v>
      </c>
      <c r="F38" s="7" t="str">
        <f t="shared" si="5"/>
        <v>적합</v>
      </c>
    </row>
    <row r="39" spans="1:9" x14ac:dyDescent="0.3">
      <c r="A39" s="6">
        <v>45957</v>
      </c>
      <c r="B39" s="8" t="s">
        <v>23</v>
      </c>
      <c r="C39" s="8" t="str">
        <f t="shared" si="4"/>
        <v>PCB20251027-01</v>
      </c>
      <c r="D39" s="42">
        <v>385.6</v>
      </c>
      <c r="E39" s="8">
        <v>9.9629999999999996E-3</v>
      </c>
      <c r="F39" s="7" t="str">
        <f t="shared" si="5"/>
        <v>적합</v>
      </c>
    </row>
    <row r="40" spans="1:9" x14ac:dyDescent="0.3">
      <c r="A40" s="6">
        <v>45958</v>
      </c>
      <c r="B40" s="8" t="s">
        <v>23</v>
      </c>
      <c r="C40" s="8" t="str">
        <f t="shared" si="4"/>
        <v>PCB20251028-01</v>
      </c>
      <c r="D40" s="42">
        <v>381.2</v>
      </c>
      <c r="E40" s="8">
        <v>1.7637E-2</v>
      </c>
      <c r="F40" s="7" t="str">
        <f t="shared" si="5"/>
        <v>적합</v>
      </c>
    </row>
    <row r="41" spans="1:9" x14ac:dyDescent="0.3">
      <c r="A41" s="6">
        <v>45958</v>
      </c>
      <c r="B41" s="8" t="s">
        <v>23</v>
      </c>
      <c r="C41" s="8" t="str">
        <f t="shared" si="4"/>
        <v>PCB20251028-01</v>
      </c>
      <c r="D41" s="42">
        <v>391.6</v>
      </c>
      <c r="E41" s="43">
        <v>1.3769999999999999E-2</v>
      </c>
      <c r="F41" s="7" t="str">
        <f t="shared" si="5"/>
        <v>적합</v>
      </c>
    </row>
    <row r="42" spans="1:9" x14ac:dyDescent="0.3">
      <c r="A42" s="6">
        <v>45959</v>
      </c>
      <c r="B42" s="8" t="s">
        <v>23</v>
      </c>
      <c r="C42" s="8" t="str">
        <f t="shared" si="4"/>
        <v>PCB20251029-01</v>
      </c>
      <c r="D42" s="42">
        <v>401.2</v>
      </c>
      <c r="E42" s="44">
        <v>1.2149999999999999E-2</v>
      </c>
      <c r="F42" s="7" t="str">
        <f t="shared" si="5"/>
        <v>적합</v>
      </c>
    </row>
    <row r="43" spans="1:9" x14ac:dyDescent="0.3">
      <c r="A43" s="6">
        <v>45959</v>
      </c>
      <c r="B43" s="8" t="s">
        <v>23</v>
      </c>
      <c r="C43" s="8" t="str">
        <f t="shared" si="4"/>
        <v>PCB20251029-01</v>
      </c>
      <c r="D43" s="42">
        <v>374.8</v>
      </c>
      <c r="E43" s="43">
        <v>7.9500000000000005E-3</v>
      </c>
      <c r="F43" s="7" t="str">
        <f t="shared" si="5"/>
        <v>적합</v>
      </c>
    </row>
    <row r="44" spans="1:9" x14ac:dyDescent="0.3">
      <c r="A44" s="6">
        <v>45960</v>
      </c>
      <c r="B44" s="8" t="s">
        <v>23</v>
      </c>
      <c r="C44" s="8" t="str">
        <f t="shared" si="4"/>
        <v>PCB20251030-01</v>
      </c>
      <c r="D44" s="42">
        <v>384.8</v>
      </c>
      <c r="E44" s="8">
        <v>7.1970000000000003E-3</v>
      </c>
      <c r="F44" s="7" t="str">
        <f t="shared" si="5"/>
        <v>적합</v>
      </c>
    </row>
    <row r="45" spans="1:9" x14ac:dyDescent="0.3">
      <c r="A45" s="6">
        <v>45960</v>
      </c>
      <c r="B45" s="8" t="s">
        <v>23</v>
      </c>
      <c r="C45" s="8" t="str">
        <f t="shared" si="4"/>
        <v>PCB20251030-01</v>
      </c>
      <c r="D45" s="42">
        <v>398</v>
      </c>
      <c r="E45" s="8">
        <v>5.4549999999999998E-3</v>
      </c>
      <c r="F45" s="7" t="str">
        <f t="shared" si="5"/>
        <v>적합</v>
      </c>
    </row>
    <row r="46" spans="1:9" x14ac:dyDescent="0.3">
      <c r="A46" s="6">
        <v>45961</v>
      </c>
      <c r="B46" s="8" t="s">
        <v>23</v>
      </c>
      <c r="C46" s="8" t="str">
        <f t="shared" si="4"/>
        <v>PCB20251031-01</v>
      </c>
      <c r="D46" s="42">
        <v>403.6</v>
      </c>
      <c r="E46" s="8">
        <v>4.156E-3</v>
      </c>
      <c r="F46" s="7" t="str">
        <f t="shared" si="5"/>
        <v>적합</v>
      </c>
    </row>
    <row r="47" spans="1:9" x14ac:dyDescent="0.3">
      <c r="A47" s="6">
        <v>45961</v>
      </c>
      <c r="B47" s="8" t="s">
        <v>23</v>
      </c>
      <c r="C47" s="8" t="str">
        <f t="shared" si="4"/>
        <v>PCB20251031-01</v>
      </c>
      <c r="D47" s="42">
        <v>393.6</v>
      </c>
      <c r="E47" s="8">
        <v>6.4140000000000004E-3</v>
      </c>
      <c r="F47" s="7" t="str">
        <f t="shared" si="5"/>
        <v>적합</v>
      </c>
    </row>
    <row r="48" spans="1:9" x14ac:dyDescent="0.3">
      <c r="A48" s="6">
        <v>45962</v>
      </c>
      <c r="B48" s="8" t="s">
        <v>23</v>
      </c>
      <c r="C48" s="8" t="str">
        <f t="shared" si="4"/>
        <v>PCB20251101-01</v>
      </c>
      <c r="D48" s="42">
        <v>388</v>
      </c>
      <c r="E48" s="8">
        <v>5.6820000000000004E-3</v>
      </c>
      <c r="F48" s="7" t="str">
        <f t="shared" si="5"/>
        <v>적합</v>
      </c>
      <c r="H48" s="9"/>
      <c r="I48" s="9"/>
    </row>
    <row r="49" spans="1:9" x14ac:dyDescent="0.3">
      <c r="A49" s="6">
        <v>45962</v>
      </c>
      <c r="B49" s="8" t="s">
        <v>23</v>
      </c>
      <c r="C49" s="8" t="str">
        <f t="shared" si="4"/>
        <v>PCB20251101-01</v>
      </c>
      <c r="D49" s="42">
        <v>387.2</v>
      </c>
      <c r="E49" s="8">
        <v>2.9640000000000001E-3</v>
      </c>
      <c r="F49" s="7" t="str">
        <f t="shared" si="5"/>
        <v>적합</v>
      </c>
      <c r="H49" s="9"/>
      <c r="I49" s="9"/>
    </row>
    <row r="50" spans="1:9" x14ac:dyDescent="0.3">
      <c r="A50" s="6">
        <v>45963</v>
      </c>
      <c r="B50" s="8" t="s">
        <v>23</v>
      </c>
      <c r="C50" s="8" t="str">
        <f t="shared" si="4"/>
        <v>PCB20251102-01</v>
      </c>
      <c r="D50" s="42">
        <v>374.8</v>
      </c>
      <c r="E50" s="8">
        <v>1.3569999999999999E-3</v>
      </c>
      <c r="F50" s="7" t="str">
        <f t="shared" si="5"/>
        <v>적합</v>
      </c>
      <c r="H50" s="9"/>
      <c r="I50" s="9"/>
    </row>
    <row r="51" spans="1:9" x14ac:dyDescent="0.3">
      <c r="A51" s="6">
        <v>45963</v>
      </c>
      <c r="B51" s="8" t="s">
        <v>23</v>
      </c>
      <c r="C51" s="8" t="str">
        <f t="shared" si="4"/>
        <v>PCB20251102-01</v>
      </c>
      <c r="D51" s="42">
        <v>370.8</v>
      </c>
      <c r="E51" s="8">
        <v>9.3259999999999992E-3</v>
      </c>
      <c r="F51" s="7" t="str">
        <f t="shared" si="5"/>
        <v>적합</v>
      </c>
      <c r="H51" s="9"/>
      <c r="I51" s="9"/>
    </row>
    <row r="52" spans="1:9" x14ac:dyDescent="0.3">
      <c r="A52" s="6">
        <v>45965</v>
      </c>
      <c r="B52" s="8" t="s">
        <v>23</v>
      </c>
      <c r="C52" s="8" t="str">
        <f t="shared" si="4"/>
        <v>PCB20251104-01</v>
      </c>
      <c r="D52" s="42">
        <v>380.17</v>
      </c>
      <c r="E52" s="8">
        <v>2.1554E-2</v>
      </c>
      <c r="F52" s="7" t="str">
        <f t="shared" si="5"/>
        <v>적합</v>
      </c>
      <c r="H52" s="9"/>
      <c r="I52" s="9"/>
    </row>
    <row r="53" spans="1:9" x14ac:dyDescent="0.3">
      <c r="A53" s="6">
        <v>45965</v>
      </c>
      <c r="B53" s="8" t="s">
        <v>23</v>
      </c>
      <c r="C53" s="8" t="str">
        <f t="shared" si="4"/>
        <v>PCB20251104-01</v>
      </c>
      <c r="D53" s="42">
        <v>397.13</v>
      </c>
      <c r="E53" s="8">
        <v>1.1485E-2</v>
      </c>
      <c r="F53" s="7" t="str">
        <f t="shared" si="5"/>
        <v>적합</v>
      </c>
      <c r="H53" s="9"/>
      <c r="I53" s="9"/>
    </row>
    <row r="54" spans="1:9" x14ac:dyDescent="0.3">
      <c r="A54" s="6">
        <v>45968</v>
      </c>
      <c r="B54" s="8" t="s">
        <v>23</v>
      </c>
      <c r="C54" s="8" t="str">
        <f t="shared" si="4"/>
        <v>PCB20251107-01</v>
      </c>
      <c r="D54" s="42">
        <v>371.7</v>
      </c>
      <c r="E54" s="8">
        <v>2.3222E-2</v>
      </c>
      <c r="F54" s="7" t="str">
        <f t="shared" si="5"/>
        <v>적합</v>
      </c>
      <c r="H54" s="9"/>
      <c r="I54" s="9"/>
    </row>
    <row r="55" spans="1:9" x14ac:dyDescent="0.3">
      <c r="A55" s="6">
        <v>45972</v>
      </c>
      <c r="B55" s="8" t="s">
        <v>23</v>
      </c>
      <c r="C55" s="8" t="str">
        <f t="shared" si="4"/>
        <v>PCB20251111-01</v>
      </c>
      <c r="D55" s="42">
        <v>388.67</v>
      </c>
      <c r="E55" s="8">
        <v>9.9249999999999998E-3</v>
      </c>
      <c r="F55" s="7" t="str">
        <f t="shared" si="5"/>
        <v>적합</v>
      </c>
    </row>
    <row r="56" spans="1:9" x14ac:dyDescent="0.3">
      <c r="A56" s="6">
        <v>45972</v>
      </c>
      <c r="B56" s="8" t="s">
        <v>23</v>
      </c>
      <c r="C56" s="8" t="str">
        <f t="shared" si="4"/>
        <v>PCB20251111-01</v>
      </c>
      <c r="D56" s="42">
        <v>405.2</v>
      </c>
      <c r="E56" s="8">
        <v>9.9740000000000002E-3</v>
      </c>
      <c r="F56" s="7" t="str">
        <f t="shared" si="5"/>
        <v>적합</v>
      </c>
    </row>
    <row r="57" spans="1:9" x14ac:dyDescent="0.3">
      <c r="A57" s="6">
        <v>45973</v>
      </c>
      <c r="B57" s="8" t="s">
        <v>33</v>
      </c>
      <c r="C57" s="8" t="str">
        <f t="shared" si="4"/>
        <v>BIH20251112-01</v>
      </c>
      <c r="D57" s="42">
        <v>336.8</v>
      </c>
      <c r="E57" s="8">
        <v>1.3292E-2</v>
      </c>
      <c r="F57" s="7" t="str">
        <f t="shared" si="5"/>
        <v>적합</v>
      </c>
    </row>
    <row r="58" spans="1:9" x14ac:dyDescent="0.3">
      <c r="A58" s="6">
        <v>45973</v>
      </c>
      <c r="B58" s="8" t="s">
        <v>33</v>
      </c>
      <c r="C58" s="8" t="str">
        <f t="shared" si="4"/>
        <v>BIH20251112-01</v>
      </c>
      <c r="D58" s="42">
        <v>344.5</v>
      </c>
      <c r="E58" s="8">
        <v>8.4060000000000003E-3</v>
      </c>
      <c r="F58" s="7" t="str">
        <f t="shared" si="5"/>
        <v>적합</v>
      </c>
    </row>
    <row r="59" spans="1:9" x14ac:dyDescent="0.3">
      <c r="A59" s="6">
        <v>45975</v>
      </c>
      <c r="B59" s="8" t="s">
        <v>23</v>
      </c>
      <c r="C59" s="28" t="s">
        <v>205</v>
      </c>
      <c r="D59" s="33">
        <v>386.8</v>
      </c>
      <c r="E59" s="8">
        <v>8.9870000000000002E-3</v>
      </c>
      <c r="F59" s="7" t="str">
        <f t="shared" si="5"/>
        <v>적합</v>
      </c>
    </row>
    <row r="60" spans="1:9" s="5" customFormat="1" x14ac:dyDescent="0.3">
      <c r="A60" s="6">
        <v>45978</v>
      </c>
      <c r="B60" s="8" t="s">
        <v>23</v>
      </c>
      <c r="C60" s="29" t="s">
        <v>206</v>
      </c>
      <c r="D60" s="33">
        <v>435.6</v>
      </c>
      <c r="E60" s="8">
        <v>9.4190000000000003E-3</v>
      </c>
      <c r="F60" s="8" t="str">
        <f t="shared" ref="F60" si="6">IF(ISBLANK(B60),"",IF(B60="PBHAv1.0",IF(OR(ISBLANK(D60),ISBLANK(E60)),"",IF(AND(D60&gt;=360,D60&lt;=460,E60&lt;=0.4),"적합","부적합")),IF(ISBLANK(D60),"",IF(B60="SBCT",IF(AND(D60&gt;=170,D60&lt;=220),"적합","부적합"),IF(B60="SCRA",IF(AND(D60&gt;=50,D60&lt;=70),"적합","부적합"),"")))))</f>
        <v>적합</v>
      </c>
    </row>
    <row r="61" spans="1:9" x14ac:dyDescent="0.3">
      <c r="A61" s="6">
        <v>45978</v>
      </c>
      <c r="B61" s="8" t="s">
        <v>23</v>
      </c>
      <c r="C61" s="29" t="s">
        <v>207</v>
      </c>
      <c r="D61" s="33">
        <v>448</v>
      </c>
      <c r="E61" s="8">
        <v>1.2987E-2</v>
      </c>
      <c r="F61" s="7" t="str">
        <f>IF(ISBLANK(B61),"",IF(B61="PBHAv1.0",IF(OR(ISBLANK(D61),ISBLANK(E61)),"",IF(AND(D61&gt;=360,D61&lt;=460,E61&lt;=0.4),"적합","부적합")),IF(ISBLANK(B61),"",IF(B61="PBHBv1.0",IF(OR(ISBLANK(D61),ISBLANK(E61)),"",IF(AND(D61&gt;=240,D61&lt;=400,E61&lt;=0.1),"적합","부적합")),IF(ISBLANK(D61),"",IF(B61="SBCT",IF(AND(D61&gt;=170,D61&lt;=220),"적합","부적합"),IF(B61="SCRA",IF(AND(D61&gt;=50,D61&lt;=70),"적합","부적합"),"")))))))</f>
        <v>적합</v>
      </c>
    </row>
    <row r="62" spans="1:9" s="5" customFormat="1" x14ac:dyDescent="0.3">
      <c r="A62" s="6">
        <v>45980</v>
      </c>
      <c r="B62" s="8" t="s">
        <v>23</v>
      </c>
      <c r="C62" s="29" t="s">
        <v>208</v>
      </c>
      <c r="D62" s="33">
        <v>446.4</v>
      </c>
      <c r="E62" s="8">
        <v>8.8400000000000006E-3</v>
      </c>
      <c r="F62" s="7" t="str">
        <f>IF(ISBLANK(B62),"",IF(B62="PBHAv1.0",IF(OR(ISBLANK(D62),ISBLANK(E62)),"",IF(AND(D62&gt;=360,D62&lt;=460,E62&lt;=0.4),"적합","부적합")),IF(ISBLANK(B62),"",IF(B62="PBHBv1.0",IF(OR(ISBLANK(D62),ISBLANK(E62)),"",IF(AND(D62&gt;=240,D62&lt;=400,E62&lt;=0.1),"적합","부적합")),IF(ISBLANK(D62),"",IF(B62="SBCT",IF(AND(D62&gt;=170,D62&lt;=220),"적합","부적합"),IF(B62="SCRA",IF(AND(D62&gt;=50,D62&lt;=70),"적합","부적합"),"")))))))</f>
        <v>적합</v>
      </c>
    </row>
    <row r="63" spans="1:9" s="5" customFormat="1" x14ac:dyDescent="0.3">
      <c r="A63" s="6">
        <v>45980</v>
      </c>
      <c r="B63" s="8" t="s">
        <v>23</v>
      </c>
      <c r="C63" s="29" t="s">
        <v>209</v>
      </c>
      <c r="D63" s="33">
        <v>434.4</v>
      </c>
      <c r="E63" s="8">
        <v>6.6039999999999996E-3</v>
      </c>
      <c r="F63" s="8" t="str">
        <f t="shared" ref="F63:F65" si="7">IF(ISBLANK(B63),"",IF(B63="PBHAv1.0",IF(OR(ISBLANK(D63),ISBLANK(E63)),"",IF(AND(D63&gt;=360,D63&lt;=460,E63&lt;=0.4),"적합","부적합")),IF(ISBLANK(D63),"",IF(B63="SBCT",IF(AND(D63&gt;=170,D63&lt;=220),"적합","부적합"),IF(B63="SCRA",IF(AND(D63&gt;=50,D63&lt;=70),"적합","부적합"),"")))))</f>
        <v>적합</v>
      </c>
    </row>
    <row r="64" spans="1:9" s="5" customFormat="1" x14ac:dyDescent="0.3">
      <c r="A64" s="6">
        <v>45982</v>
      </c>
      <c r="B64" s="8" t="s">
        <v>23</v>
      </c>
      <c r="C64" s="29" t="s">
        <v>210</v>
      </c>
      <c r="D64" s="33">
        <v>414</v>
      </c>
      <c r="E64" s="8">
        <v>4.9490000000000003E-3</v>
      </c>
      <c r="F64" s="7" t="str">
        <f>IF(ISBLANK(B64),"",IF(B64="PBHAv1.0",IF(OR(ISBLANK(D64),ISBLANK(E64)),"",IF(AND(D64&gt;=360,D64&lt;=460,E64&lt;=0.4),"적합","부적합")),IF(ISBLANK(B64),"",IF(B64="PBHBv1.0",IF(OR(ISBLANK(D64),ISBLANK(E64)),"",IF(AND(D64&gt;=240,D64&lt;=400,E64&lt;=0.1),"적합","부적합")),IF(ISBLANK(D64),"",IF(B64="SBCT",IF(AND(D64&gt;=170,D64&lt;=220),"적합","부적합"),IF(B64="SCRA",IF(AND(D64&gt;=50,D64&lt;=70),"적합","부적합"),"")))))))</f>
        <v>적합</v>
      </c>
    </row>
    <row r="65" spans="1:6" s="5" customFormat="1" x14ac:dyDescent="0.3">
      <c r="A65" s="6">
        <v>45982</v>
      </c>
      <c r="B65" s="8" t="s">
        <v>23</v>
      </c>
      <c r="C65" s="28" t="s">
        <v>211</v>
      </c>
      <c r="D65" s="33">
        <v>423.6</v>
      </c>
      <c r="E65" s="8">
        <v>6.5880000000000001E-3</v>
      </c>
      <c r="F65" s="8" t="str">
        <f t="shared" si="7"/>
        <v>적합</v>
      </c>
    </row>
    <row r="66" spans="1:6" s="5" customFormat="1" x14ac:dyDescent="0.3">
      <c r="A66" s="6">
        <v>45989</v>
      </c>
      <c r="B66" s="8" t="s">
        <v>23</v>
      </c>
      <c r="C66" s="29" t="s">
        <v>212</v>
      </c>
      <c r="D66" s="33">
        <v>414</v>
      </c>
      <c r="E66" s="8">
        <v>6.5880000000000001E-3</v>
      </c>
      <c r="F66" s="8" t="str">
        <f t="shared" ref="F66:F78" si="8">IF(ISBLANK(B66),"",IF(B66="PBHAv1.0",IF(OR(ISBLANK(D66),ISBLANK(E66)),"",IF(AND(D66&gt;=360,D66&lt;=460,E66&lt;=0.4),"적합","부적합")),IF(ISBLANK(D66),"",IF(B66="SBCT",IF(AND(D66&gt;=170,D66&lt;=220),"적합","부적합"),IF(B66="SCRA",IF(AND(D66&gt;=50,D66&lt;=70),"적합","부적합"),"")))))</f>
        <v>적합</v>
      </c>
    </row>
    <row r="67" spans="1:6" s="5" customFormat="1" x14ac:dyDescent="0.3">
      <c r="A67" s="6">
        <v>45989</v>
      </c>
      <c r="B67" s="8" t="s">
        <v>23</v>
      </c>
      <c r="C67" s="29" t="s">
        <v>213</v>
      </c>
      <c r="D67" s="33">
        <v>423.6</v>
      </c>
      <c r="E67" s="8">
        <v>8.4229999999999999E-3</v>
      </c>
      <c r="F67" s="8" t="str">
        <f t="shared" si="8"/>
        <v>적합</v>
      </c>
    </row>
    <row r="68" spans="1:6" s="5" customFormat="1" x14ac:dyDescent="0.3">
      <c r="A68" s="6">
        <v>45994</v>
      </c>
      <c r="B68" s="8" t="s">
        <v>23</v>
      </c>
      <c r="C68" s="29" t="s">
        <v>214</v>
      </c>
      <c r="D68" s="33">
        <v>420</v>
      </c>
      <c r="E68" s="8">
        <v>3.9341000000000003E-3</v>
      </c>
      <c r="F68" s="8" t="str">
        <f t="shared" si="8"/>
        <v>적합</v>
      </c>
    </row>
    <row r="69" spans="1:6" s="5" customFormat="1" x14ac:dyDescent="0.3">
      <c r="A69" s="6">
        <v>45994</v>
      </c>
      <c r="B69" s="8" t="s">
        <v>23</v>
      </c>
      <c r="C69" s="29" t="s">
        <v>215</v>
      </c>
      <c r="D69" s="33">
        <v>443.6</v>
      </c>
      <c r="E69" s="8">
        <v>3.5775999999999998E-3</v>
      </c>
      <c r="F69" s="8" t="str">
        <f t="shared" si="8"/>
        <v>적합</v>
      </c>
    </row>
    <row r="70" spans="1:6" s="5" customFormat="1" x14ac:dyDescent="0.3">
      <c r="A70" s="6">
        <v>45996</v>
      </c>
      <c r="B70" s="8" t="s">
        <v>23</v>
      </c>
      <c r="C70" s="29" t="s">
        <v>216</v>
      </c>
      <c r="D70" s="33">
        <v>445.2</v>
      </c>
      <c r="E70" s="8">
        <v>5.97286E-3</v>
      </c>
      <c r="F70" s="8" t="str">
        <f t="shared" si="8"/>
        <v>적합</v>
      </c>
    </row>
    <row r="71" spans="1:6" s="5" customFormat="1" x14ac:dyDescent="0.3">
      <c r="A71" s="6">
        <v>45996</v>
      </c>
      <c r="B71" s="8" t="s">
        <v>23</v>
      </c>
      <c r="C71" s="29" t="s">
        <v>217</v>
      </c>
      <c r="D71" s="33">
        <v>444</v>
      </c>
      <c r="E71" s="8">
        <v>5.3841899999999996E-3</v>
      </c>
      <c r="F71" s="8" t="str">
        <f t="shared" si="8"/>
        <v>적합</v>
      </c>
    </row>
    <row r="72" spans="1:6" s="5" customFormat="1" x14ac:dyDescent="0.3">
      <c r="A72" s="6">
        <v>45999</v>
      </c>
      <c r="B72" s="8" t="s">
        <v>23</v>
      </c>
      <c r="C72" s="29" t="s">
        <v>218</v>
      </c>
      <c r="D72" s="33">
        <v>426</v>
      </c>
      <c r="E72" s="8">
        <v>5.7864800000000001E-3</v>
      </c>
      <c r="F72" s="8" t="str">
        <f t="shared" si="8"/>
        <v>적합</v>
      </c>
    </row>
    <row r="73" spans="1:6" s="5" customFormat="1" x14ac:dyDescent="0.3">
      <c r="A73" s="6">
        <v>45999</v>
      </c>
      <c r="B73" s="8" t="s">
        <v>23</v>
      </c>
      <c r="C73" s="28" t="s">
        <v>219</v>
      </c>
      <c r="D73" s="33">
        <v>421.6</v>
      </c>
      <c r="E73" s="8">
        <v>4.4175799999999999E-3</v>
      </c>
      <c r="F73" s="8" t="str">
        <f t="shared" si="8"/>
        <v>적합</v>
      </c>
    </row>
    <row r="74" spans="1:6" s="5" customFormat="1" x14ac:dyDescent="0.3">
      <c r="A74" s="6">
        <v>46003</v>
      </c>
      <c r="B74" s="8" t="s">
        <v>23</v>
      </c>
      <c r="C74" s="29" t="s">
        <v>220</v>
      </c>
      <c r="D74" s="33">
        <v>427.2</v>
      </c>
      <c r="E74" s="8">
        <v>5.1799999999999997E-3</v>
      </c>
      <c r="F74" s="8" t="str">
        <f t="shared" si="8"/>
        <v>적합</v>
      </c>
    </row>
    <row r="75" spans="1:6" s="5" customFormat="1" ht="17.25" thickBot="1" x14ac:dyDescent="0.35">
      <c r="A75" s="6">
        <v>46003</v>
      </c>
      <c r="B75" s="8" t="s">
        <v>23</v>
      </c>
      <c r="C75" s="30" t="s">
        <v>221</v>
      </c>
      <c r="D75" s="34">
        <v>443.2</v>
      </c>
      <c r="E75" s="8">
        <v>3.0949999999999998E-2</v>
      </c>
      <c r="F75" s="8" t="str">
        <f t="shared" si="8"/>
        <v>적합</v>
      </c>
    </row>
    <row r="76" spans="1:6" s="5" customFormat="1" x14ac:dyDescent="0.3">
      <c r="A76" s="6">
        <v>46006</v>
      </c>
      <c r="B76" s="8" t="s">
        <v>23</v>
      </c>
      <c r="C76" s="31" t="s">
        <v>222</v>
      </c>
      <c r="D76" s="35">
        <v>384.4</v>
      </c>
      <c r="E76" s="8">
        <v>2.0000000000000001E-4</v>
      </c>
      <c r="F76" s="8" t="str">
        <f t="shared" si="8"/>
        <v>적합</v>
      </c>
    </row>
    <row r="77" spans="1:6" s="5" customFormat="1" x14ac:dyDescent="0.3">
      <c r="A77" s="6">
        <v>46006</v>
      </c>
      <c r="B77" s="8" t="s">
        <v>23</v>
      </c>
      <c r="C77" s="28" t="s">
        <v>223</v>
      </c>
      <c r="D77" s="33">
        <v>378</v>
      </c>
      <c r="E77" s="8">
        <v>1.2099999999999999E-3</v>
      </c>
      <c r="F77" s="8" t="str">
        <f t="shared" si="8"/>
        <v>적합</v>
      </c>
    </row>
    <row r="78" spans="1:6" s="5" customFormat="1" x14ac:dyDescent="0.3">
      <c r="A78" s="6">
        <v>46009</v>
      </c>
      <c r="B78" s="8" t="s">
        <v>23</v>
      </c>
      <c r="C78" s="29" t="s">
        <v>224</v>
      </c>
      <c r="D78" s="33">
        <v>397.6</v>
      </c>
      <c r="E78" s="8">
        <v>3.9336000000000003E-2</v>
      </c>
      <c r="F78" s="8" t="str">
        <f t="shared" si="8"/>
        <v>적합</v>
      </c>
    </row>
    <row r="79" spans="1:6" x14ac:dyDescent="0.3">
      <c r="A79" s="6">
        <v>46009</v>
      </c>
      <c r="B79" s="8" t="s">
        <v>23</v>
      </c>
      <c r="C79" s="28" t="s">
        <v>225</v>
      </c>
      <c r="D79" s="33">
        <v>439.2</v>
      </c>
      <c r="E79" s="8">
        <v>1.4718999999999999E-2</v>
      </c>
      <c r="F79" s="8" t="str">
        <f t="shared" ref="F79:F139" si="9">IF(ISBLANK(B79),"",IF(B79="PBHAv1.0",IF(OR(ISBLANK(D79),ISBLANK(E79)),"",IF(AND(D79&gt;=360,D79&lt;=460,E79&lt;=0.4),"적합","부적합")),IF(ISBLANK(D79),"",IF(B79="SBCT",IF(AND(D79&gt;=170,D79&lt;=220),"적합","부적합"),IF(B79="SCRA",IF(AND(D79&gt;=50,D79&lt;=70),"적합","부적합"),"")))))</f>
        <v>적합</v>
      </c>
    </row>
    <row r="80" spans="1:6" x14ac:dyDescent="0.3">
      <c r="A80" s="6">
        <v>46013</v>
      </c>
      <c r="B80" s="8" t="s">
        <v>23</v>
      </c>
      <c r="C80" s="29" t="s">
        <v>226</v>
      </c>
      <c r="D80" s="33">
        <v>441.2</v>
      </c>
      <c r="E80" s="8">
        <v>1.1434E-2</v>
      </c>
      <c r="F80" s="8" t="str">
        <f t="shared" si="9"/>
        <v>적합</v>
      </c>
    </row>
    <row r="81" spans="1:6" ht="17.25" thickBot="1" x14ac:dyDescent="0.35">
      <c r="A81" s="6">
        <v>46013</v>
      </c>
      <c r="B81" s="8" t="s">
        <v>23</v>
      </c>
      <c r="C81" s="32" t="s">
        <v>227</v>
      </c>
      <c r="D81" s="36">
        <v>414.4</v>
      </c>
      <c r="E81" s="8">
        <v>1.0206E-2</v>
      </c>
      <c r="F81" s="8" t="str">
        <f t="shared" si="9"/>
        <v>적합</v>
      </c>
    </row>
    <row r="82" spans="1:6" x14ac:dyDescent="0.3">
      <c r="C82" s="8" t="str">
        <f t="shared" ref="C82:C139" si="10">IF(B82="PBHAv1.0","PCB"&amp;TEXT(A82,"yyyymmdd")&amp;"-01",IF(B82="SBCT","SBCT"&amp;TEXT(A82,"yyyymmdd"),IF(B82="SCRA","SCRA"&amp;TEXT(A82,"yyyymmdd"),"")))</f>
        <v/>
      </c>
      <c r="F82" s="8" t="str">
        <f t="shared" si="9"/>
        <v/>
      </c>
    </row>
    <row r="83" spans="1:6" x14ac:dyDescent="0.3">
      <c r="C83" s="8" t="str">
        <f t="shared" si="10"/>
        <v/>
      </c>
      <c r="F83" s="8" t="str">
        <f t="shared" si="9"/>
        <v/>
      </c>
    </row>
    <row r="84" spans="1:6" x14ac:dyDescent="0.3">
      <c r="C84" s="8" t="str">
        <f t="shared" si="10"/>
        <v/>
      </c>
      <c r="F84" s="8" t="str">
        <f t="shared" si="9"/>
        <v/>
      </c>
    </row>
    <row r="85" spans="1:6" x14ac:dyDescent="0.3">
      <c r="C85" s="8" t="str">
        <f t="shared" si="10"/>
        <v/>
      </c>
      <c r="F85" s="8" t="str">
        <f t="shared" si="9"/>
        <v/>
      </c>
    </row>
    <row r="86" spans="1:6" x14ac:dyDescent="0.3">
      <c r="C86" s="8" t="str">
        <f t="shared" si="10"/>
        <v/>
      </c>
      <c r="F86" s="8" t="str">
        <f t="shared" si="9"/>
        <v/>
      </c>
    </row>
    <row r="87" spans="1:6" x14ac:dyDescent="0.3">
      <c r="C87" s="8" t="str">
        <f t="shared" si="10"/>
        <v/>
      </c>
      <c r="F87" s="8" t="str">
        <f t="shared" si="9"/>
        <v/>
      </c>
    </row>
    <row r="88" spans="1:6" x14ac:dyDescent="0.3">
      <c r="C88" s="8" t="str">
        <f t="shared" si="10"/>
        <v/>
      </c>
      <c r="F88" s="8" t="str">
        <f t="shared" si="9"/>
        <v/>
      </c>
    </row>
    <row r="89" spans="1:6" x14ac:dyDescent="0.3">
      <c r="C89" s="8" t="str">
        <f t="shared" si="10"/>
        <v/>
      </c>
      <c r="F89" s="8" t="str">
        <f t="shared" si="9"/>
        <v/>
      </c>
    </row>
    <row r="90" spans="1:6" x14ac:dyDescent="0.3">
      <c r="C90" s="8" t="str">
        <f t="shared" si="10"/>
        <v/>
      </c>
      <c r="F90" s="8" t="str">
        <f t="shared" si="9"/>
        <v/>
      </c>
    </row>
    <row r="91" spans="1:6" x14ac:dyDescent="0.3">
      <c r="C91" s="8" t="str">
        <f t="shared" si="10"/>
        <v/>
      </c>
      <c r="F91" s="8" t="str">
        <f t="shared" si="9"/>
        <v/>
      </c>
    </row>
    <row r="92" spans="1:6" x14ac:dyDescent="0.3">
      <c r="C92" s="8" t="str">
        <f t="shared" si="10"/>
        <v/>
      </c>
      <c r="F92" s="8" t="str">
        <f t="shared" si="9"/>
        <v/>
      </c>
    </row>
    <row r="93" spans="1:6" x14ac:dyDescent="0.3">
      <c r="C93" s="8" t="str">
        <f t="shared" si="10"/>
        <v/>
      </c>
      <c r="F93" s="8" t="str">
        <f t="shared" si="9"/>
        <v/>
      </c>
    </row>
    <row r="94" spans="1:6" x14ac:dyDescent="0.3">
      <c r="C94" s="8" t="str">
        <f t="shared" si="10"/>
        <v/>
      </c>
      <c r="F94" s="8" t="str">
        <f t="shared" si="9"/>
        <v/>
      </c>
    </row>
    <row r="95" spans="1:6" x14ac:dyDescent="0.3">
      <c r="C95" s="8" t="str">
        <f t="shared" si="10"/>
        <v/>
      </c>
      <c r="F95" s="8" t="str">
        <f t="shared" si="9"/>
        <v/>
      </c>
    </row>
    <row r="96" spans="1:6" x14ac:dyDescent="0.3">
      <c r="C96" s="8" t="str">
        <f t="shared" si="10"/>
        <v/>
      </c>
      <c r="F96" s="8" t="str">
        <f t="shared" si="9"/>
        <v/>
      </c>
    </row>
    <row r="97" spans="3:6" x14ac:dyDescent="0.3">
      <c r="C97" s="8" t="str">
        <f t="shared" si="10"/>
        <v/>
      </c>
      <c r="F97" s="8" t="str">
        <f t="shared" si="9"/>
        <v/>
      </c>
    </row>
    <row r="98" spans="3:6" x14ac:dyDescent="0.3">
      <c r="C98" s="8" t="str">
        <f t="shared" si="10"/>
        <v/>
      </c>
      <c r="F98" s="8" t="str">
        <f t="shared" si="9"/>
        <v/>
      </c>
    </row>
    <row r="99" spans="3:6" x14ac:dyDescent="0.3">
      <c r="C99" s="8" t="str">
        <f t="shared" si="10"/>
        <v/>
      </c>
      <c r="F99" s="8" t="str">
        <f t="shared" si="9"/>
        <v/>
      </c>
    </row>
    <row r="100" spans="3:6" x14ac:dyDescent="0.3">
      <c r="C100" s="8" t="str">
        <f t="shared" si="10"/>
        <v/>
      </c>
      <c r="F100" s="8" t="str">
        <f t="shared" si="9"/>
        <v/>
      </c>
    </row>
    <row r="101" spans="3:6" x14ac:dyDescent="0.3">
      <c r="C101" s="8" t="str">
        <f t="shared" si="10"/>
        <v/>
      </c>
      <c r="F101" s="8" t="str">
        <f t="shared" si="9"/>
        <v/>
      </c>
    </row>
    <row r="102" spans="3:6" x14ac:dyDescent="0.3">
      <c r="C102" s="8" t="str">
        <f t="shared" si="10"/>
        <v/>
      </c>
      <c r="F102" s="8" t="str">
        <f t="shared" si="9"/>
        <v/>
      </c>
    </row>
    <row r="103" spans="3:6" x14ac:dyDescent="0.3">
      <c r="C103" s="8" t="str">
        <f t="shared" si="10"/>
        <v/>
      </c>
      <c r="F103" s="8" t="str">
        <f t="shared" si="9"/>
        <v/>
      </c>
    </row>
    <row r="104" spans="3:6" x14ac:dyDescent="0.3">
      <c r="C104" s="8" t="str">
        <f t="shared" si="10"/>
        <v/>
      </c>
      <c r="F104" s="8" t="str">
        <f t="shared" si="9"/>
        <v/>
      </c>
    </row>
    <row r="105" spans="3:6" x14ac:dyDescent="0.3">
      <c r="C105" s="8" t="str">
        <f t="shared" si="10"/>
        <v/>
      </c>
      <c r="F105" s="8" t="str">
        <f t="shared" si="9"/>
        <v/>
      </c>
    </row>
    <row r="106" spans="3:6" x14ac:dyDescent="0.3">
      <c r="C106" s="8" t="str">
        <f t="shared" si="10"/>
        <v/>
      </c>
      <c r="F106" s="8" t="str">
        <f t="shared" si="9"/>
        <v/>
      </c>
    </row>
    <row r="107" spans="3:6" x14ac:dyDescent="0.3">
      <c r="C107" s="8" t="str">
        <f t="shared" si="10"/>
        <v/>
      </c>
      <c r="F107" s="8" t="str">
        <f t="shared" si="9"/>
        <v/>
      </c>
    </row>
    <row r="108" spans="3:6" x14ac:dyDescent="0.3">
      <c r="C108" s="8" t="str">
        <f t="shared" si="10"/>
        <v/>
      </c>
      <c r="F108" s="8" t="str">
        <f t="shared" si="9"/>
        <v/>
      </c>
    </row>
    <row r="109" spans="3:6" x14ac:dyDescent="0.3">
      <c r="C109" s="8" t="str">
        <f t="shared" si="10"/>
        <v/>
      </c>
      <c r="F109" s="8" t="str">
        <f t="shared" si="9"/>
        <v/>
      </c>
    </row>
    <row r="110" spans="3:6" x14ac:dyDescent="0.3">
      <c r="C110" s="8" t="str">
        <f t="shared" si="10"/>
        <v/>
      </c>
      <c r="F110" s="8" t="str">
        <f t="shared" si="9"/>
        <v/>
      </c>
    </row>
    <row r="111" spans="3:6" x14ac:dyDescent="0.3">
      <c r="C111" s="8" t="str">
        <f t="shared" si="10"/>
        <v/>
      </c>
      <c r="F111" s="8" t="str">
        <f t="shared" si="9"/>
        <v/>
      </c>
    </row>
    <row r="112" spans="3:6" x14ac:dyDescent="0.3">
      <c r="C112" s="8" t="str">
        <f t="shared" si="10"/>
        <v/>
      </c>
      <c r="F112" s="8" t="str">
        <f t="shared" si="9"/>
        <v/>
      </c>
    </row>
    <row r="113" spans="3:6" x14ac:dyDescent="0.3">
      <c r="C113" s="8" t="str">
        <f t="shared" si="10"/>
        <v/>
      </c>
      <c r="F113" s="8" t="str">
        <f t="shared" si="9"/>
        <v/>
      </c>
    </row>
    <row r="114" spans="3:6" x14ac:dyDescent="0.3">
      <c r="C114" s="8" t="str">
        <f t="shared" si="10"/>
        <v/>
      </c>
      <c r="F114" s="8" t="str">
        <f t="shared" si="9"/>
        <v/>
      </c>
    </row>
    <row r="115" spans="3:6" x14ac:dyDescent="0.3">
      <c r="C115" s="8" t="str">
        <f t="shared" si="10"/>
        <v/>
      </c>
      <c r="F115" s="8" t="str">
        <f t="shared" si="9"/>
        <v/>
      </c>
    </row>
    <row r="116" spans="3:6" x14ac:dyDescent="0.3">
      <c r="C116" s="8" t="str">
        <f t="shared" si="10"/>
        <v/>
      </c>
      <c r="F116" s="8" t="str">
        <f t="shared" si="9"/>
        <v/>
      </c>
    </row>
    <row r="117" spans="3:6" x14ac:dyDescent="0.3">
      <c r="C117" s="8" t="str">
        <f t="shared" si="10"/>
        <v/>
      </c>
      <c r="F117" s="8" t="str">
        <f t="shared" si="9"/>
        <v/>
      </c>
    </row>
    <row r="118" spans="3:6" x14ac:dyDescent="0.3">
      <c r="C118" s="8" t="str">
        <f t="shared" si="10"/>
        <v/>
      </c>
      <c r="F118" s="8" t="str">
        <f t="shared" si="9"/>
        <v/>
      </c>
    </row>
    <row r="119" spans="3:6" x14ac:dyDescent="0.3">
      <c r="C119" s="8" t="str">
        <f t="shared" si="10"/>
        <v/>
      </c>
      <c r="F119" s="8" t="str">
        <f t="shared" si="9"/>
        <v/>
      </c>
    </row>
    <row r="120" spans="3:6" x14ac:dyDescent="0.3">
      <c r="C120" s="8" t="str">
        <f t="shared" si="10"/>
        <v/>
      </c>
      <c r="F120" s="8" t="str">
        <f t="shared" si="9"/>
        <v/>
      </c>
    </row>
    <row r="121" spans="3:6" x14ac:dyDescent="0.3">
      <c r="C121" s="8" t="str">
        <f t="shared" si="10"/>
        <v/>
      </c>
      <c r="F121" s="8" t="str">
        <f t="shared" si="9"/>
        <v/>
      </c>
    </row>
    <row r="122" spans="3:6" x14ac:dyDescent="0.3">
      <c r="C122" s="8" t="str">
        <f t="shared" si="10"/>
        <v/>
      </c>
      <c r="F122" s="8" t="str">
        <f t="shared" si="9"/>
        <v/>
      </c>
    </row>
    <row r="123" spans="3:6" x14ac:dyDescent="0.3">
      <c r="C123" s="8" t="str">
        <f t="shared" si="10"/>
        <v/>
      </c>
      <c r="F123" s="8" t="str">
        <f t="shared" si="9"/>
        <v/>
      </c>
    </row>
    <row r="124" spans="3:6" x14ac:dyDescent="0.3">
      <c r="C124" s="8" t="str">
        <f t="shared" si="10"/>
        <v/>
      </c>
      <c r="F124" s="8" t="str">
        <f t="shared" si="9"/>
        <v/>
      </c>
    </row>
    <row r="125" spans="3:6" x14ac:dyDescent="0.3">
      <c r="C125" s="8" t="str">
        <f t="shared" si="10"/>
        <v/>
      </c>
      <c r="F125" s="8" t="str">
        <f t="shared" si="9"/>
        <v/>
      </c>
    </row>
    <row r="126" spans="3:6" x14ac:dyDescent="0.3">
      <c r="C126" s="8" t="str">
        <f t="shared" si="10"/>
        <v/>
      </c>
      <c r="F126" s="8" t="str">
        <f t="shared" si="9"/>
        <v/>
      </c>
    </row>
    <row r="127" spans="3:6" x14ac:dyDescent="0.3">
      <c r="C127" s="8" t="str">
        <f t="shared" si="10"/>
        <v/>
      </c>
      <c r="F127" s="8" t="str">
        <f t="shared" si="9"/>
        <v/>
      </c>
    </row>
    <row r="128" spans="3:6" x14ac:dyDescent="0.3">
      <c r="C128" s="8" t="str">
        <f t="shared" si="10"/>
        <v/>
      </c>
      <c r="F128" s="8" t="str">
        <f t="shared" si="9"/>
        <v/>
      </c>
    </row>
    <row r="129" spans="3:6" x14ac:dyDescent="0.3">
      <c r="C129" s="8" t="str">
        <f t="shared" si="10"/>
        <v/>
      </c>
      <c r="F129" s="8" t="str">
        <f t="shared" si="9"/>
        <v/>
      </c>
    </row>
    <row r="130" spans="3:6" x14ac:dyDescent="0.3">
      <c r="C130" s="8" t="str">
        <f t="shared" si="10"/>
        <v/>
      </c>
      <c r="F130" s="8" t="str">
        <f t="shared" si="9"/>
        <v/>
      </c>
    </row>
    <row r="131" spans="3:6" x14ac:dyDescent="0.3">
      <c r="C131" s="8" t="str">
        <f t="shared" si="10"/>
        <v/>
      </c>
      <c r="F131" s="8" t="str">
        <f t="shared" si="9"/>
        <v/>
      </c>
    </row>
    <row r="132" spans="3:6" x14ac:dyDescent="0.3">
      <c r="C132" s="8" t="str">
        <f t="shared" si="10"/>
        <v/>
      </c>
      <c r="F132" s="8" t="str">
        <f t="shared" si="9"/>
        <v/>
      </c>
    </row>
    <row r="133" spans="3:6" x14ac:dyDescent="0.3">
      <c r="C133" s="8" t="str">
        <f t="shared" si="10"/>
        <v/>
      </c>
      <c r="F133" s="8" t="str">
        <f t="shared" si="9"/>
        <v/>
      </c>
    </row>
    <row r="134" spans="3:6" x14ac:dyDescent="0.3">
      <c r="C134" s="8" t="str">
        <f t="shared" si="10"/>
        <v/>
      </c>
      <c r="F134" s="8" t="str">
        <f t="shared" si="9"/>
        <v/>
      </c>
    </row>
    <row r="135" spans="3:6" x14ac:dyDescent="0.3">
      <c r="C135" s="8" t="str">
        <f t="shared" si="10"/>
        <v/>
      </c>
      <c r="F135" s="8" t="str">
        <f t="shared" si="9"/>
        <v/>
      </c>
    </row>
    <row r="136" spans="3:6" x14ac:dyDescent="0.3">
      <c r="C136" s="8" t="str">
        <f t="shared" si="10"/>
        <v/>
      </c>
      <c r="F136" s="8" t="str">
        <f t="shared" si="9"/>
        <v/>
      </c>
    </row>
    <row r="137" spans="3:6" x14ac:dyDescent="0.3">
      <c r="C137" s="8" t="str">
        <f t="shared" si="10"/>
        <v/>
      </c>
      <c r="F137" s="8" t="str">
        <f t="shared" si="9"/>
        <v/>
      </c>
    </row>
    <row r="138" spans="3:6" x14ac:dyDescent="0.3">
      <c r="C138" s="8" t="str">
        <f t="shared" si="10"/>
        <v/>
      </c>
      <c r="F138" s="8" t="str">
        <f t="shared" si="9"/>
        <v/>
      </c>
    </row>
    <row r="139" spans="3:6" x14ac:dyDescent="0.3">
      <c r="C139" s="8" t="str">
        <f t="shared" si="10"/>
        <v/>
      </c>
      <c r="F139" s="8" t="str">
        <f t="shared" si="9"/>
        <v/>
      </c>
    </row>
    <row r="140" spans="3:6" x14ac:dyDescent="0.3">
      <c r="C140" s="8" t="str">
        <f t="shared" ref="C140:C203" si="11">IF(B140="PBHAv1.0","PCB"&amp;TEXT(A140,"yyyymmdd")&amp;"-01",IF(B140="SBCT","SBCT"&amp;TEXT(A140,"yyyymmdd"),IF(B140="SCRA","SCRA"&amp;TEXT(A140,"yyyymmdd"),"")))</f>
        <v/>
      </c>
      <c r="F140" s="8" t="str">
        <f t="shared" ref="F140:F203" si="12">IF(ISBLANK(B140),"",IF(B140="PBHAv1.0",IF(OR(ISBLANK(D140),ISBLANK(E140)),"",IF(AND(D140&gt;=360,D140&lt;=460,E140&lt;=0.4),"적합","부적합")),IF(ISBLANK(D140),"",IF(B140="SBCT",IF(AND(D140&gt;=170,D140&lt;=220),"적합","부적합"),IF(B140="SCRA",IF(AND(D140&gt;=50,D140&lt;=70),"적합","부적합"),"")))))</f>
        <v/>
      </c>
    </row>
    <row r="141" spans="3:6" x14ac:dyDescent="0.3">
      <c r="C141" s="8" t="str">
        <f t="shared" si="11"/>
        <v/>
      </c>
      <c r="F141" s="8" t="str">
        <f t="shared" si="12"/>
        <v/>
      </c>
    </row>
    <row r="142" spans="3:6" x14ac:dyDescent="0.3">
      <c r="C142" s="8" t="str">
        <f t="shared" si="11"/>
        <v/>
      </c>
      <c r="F142" s="8" t="str">
        <f t="shared" si="12"/>
        <v/>
      </c>
    </row>
    <row r="143" spans="3:6" x14ac:dyDescent="0.3">
      <c r="C143" s="8" t="str">
        <f t="shared" si="11"/>
        <v/>
      </c>
      <c r="F143" s="8" t="str">
        <f t="shared" si="12"/>
        <v/>
      </c>
    </row>
    <row r="144" spans="3:6" x14ac:dyDescent="0.3">
      <c r="C144" s="8" t="str">
        <f t="shared" si="11"/>
        <v/>
      </c>
      <c r="F144" s="8" t="str">
        <f t="shared" si="12"/>
        <v/>
      </c>
    </row>
    <row r="145" spans="3:6" x14ac:dyDescent="0.3">
      <c r="C145" s="8" t="str">
        <f t="shared" si="11"/>
        <v/>
      </c>
      <c r="F145" s="8" t="str">
        <f t="shared" si="12"/>
        <v/>
      </c>
    </row>
    <row r="146" spans="3:6" x14ac:dyDescent="0.3">
      <c r="C146" s="8" t="str">
        <f t="shared" si="11"/>
        <v/>
      </c>
      <c r="F146" s="8" t="str">
        <f t="shared" si="12"/>
        <v/>
      </c>
    </row>
    <row r="147" spans="3:6" x14ac:dyDescent="0.3">
      <c r="C147" s="8" t="str">
        <f t="shared" si="11"/>
        <v/>
      </c>
      <c r="F147" s="8" t="str">
        <f t="shared" si="12"/>
        <v/>
      </c>
    </row>
    <row r="148" spans="3:6" x14ac:dyDescent="0.3">
      <c r="C148" s="8" t="str">
        <f t="shared" si="11"/>
        <v/>
      </c>
      <c r="F148" s="8" t="str">
        <f t="shared" si="12"/>
        <v/>
      </c>
    </row>
    <row r="149" spans="3:6" x14ac:dyDescent="0.3">
      <c r="C149" s="8" t="str">
        <f t="shared" si="11"/>
        <v/>
      </c>
      <c r="F149" s="8" t="str">
        <f t="shared" si="12"/>
        <v/>
      </c>
    </row>
    <row r="150" spans="3:6" x14ac:dyDescent="0.3">
      <c r="C150" s="8" t="str">
        <f t="shared" si="11"/>
        <v/>
      </c>
      <c r="F150" s="8" t="str">
        <f t="shared" si="12"/>
        <v/>
      </c>
    </row>
    <row r="151" spans="3:6" x14ac:dyDescent="0.3">
      <c r="C151" s="8" t="str">
        <f t="shared" si="11"/>
        <v/>
      </c>
      <c r="F151" s="8" t="str">
        <f t="shared" si="12"/>
        <v/>
      </c>
    </row>
    <row r="152" spans="3:6" x14ac:dyDescent="0.3">
      <c r="C152" s="8" t="str">
        <f t="shared" si="11"/>
        <v/>
      </c>
      <c r="F152" s="8" t="str">
        <f t="shared" si="12"/>
        <v/>
      </c>
    </row>
    <row r="153" spans="3:6" x14ac:dyDescent="0.3">
      <c r="C153" s="8" t="str">
        <f t="shared" si="11"/>
        <v/>
      </c>
      <c r="F153" s="8" t="str">
        <f t="shared" si="12"/>
        <v/>
      </c>
    </row>
    <row r="154" spans="3:6" x14ac:dyDescent="0.3">
      <c r="C154" s="8" t="str">
        <f t="shared" si="11"/>
        <v/>
      </c>
      <c r="F154" s="8" t="str">
        <f t="shared" si="12"/>
        <v/>
      </c>
    </row>
    <row r="155" spans="3:6" x14ac:dyDescent="0.3">
      <c r="C155" s="8" t="str">
        <f t="shared" si="11"/>
        <v/>
      </c>
      <c r="F155" s="8" t="str">
        <f t="shared" si="12"/>
        <v/>
      </c>
    </row>
    <row r="156" spans="3:6" x14ac:dyDescent="0.3">
      <c r="C156" s="8" t="str">
        <f t="shared" si="11"/>
        <v/>
      </c>
      <c r="F156" s="8" t="str">
        <f t="shared" si="12"/>
        <v/>
      </c>
    </row>
    <row r="157" spans="3:6" x14ac:dyDescent="0.3">
      <c r="C157" s="8" t="str">
        <f t="shared" si="11"/>
        <v/>
      </c>
      <c r="F157" s="8" t="str">
        <f t="shared" si="12"/>
        <v/>
      </c>
    </row>
    <row r="158" spans="3:6" x14ac:dyDescent="0.3">
      <c r="C158" s="8" t="str">
        <f t="shared" si="11"/>
        <v/>
      </c>
      <c r="F158" s="8" t="str">
        <f t="shared" si="12"/>
        <v/>
      </c>
    </row>
    <row r="159" spans="3:6" x14ac:dyDescent="0.3">
      <c r="C159" s="8" t="str">
        <f t="shared" si="11"/>
        <v/>
      </c>
      <c r="F159" s="8" t="str">
        <f t="shared" si="12"/>
        <v/>
      </c>
    </row>
    <row r="160" spans="3:6" x14ac:dyDescent="0.3">
      <c r="C160" s="8" t="str">
        <f t="shared" si="11"/>
        <v/>
      </c>
      <c r="F160" s="8" t="str">
        <f t="shared" si="12"/>
        <v/>
      </c>
    </row>
    <row r="161" spans="3:6" x14ac:dyDescent="0.3">
      <c r="C161" s="8" t="str">
        <f t="shared" si="11"/>
        <v/>
      </c>
      <c r="F161" s="8" t="str">
        <f t="shared" si="12"/>
        <v/>
      </c>
    </row>
    <row r="162" spans="3:6" x14ac:dyDescent="0.3">
      <c r="C162" s="8" t="str">
        <f t="shared" si="11"/>
        <v/>
      </c>
      <c r="F162" s="8" t="str">
        <f t="shared" si="12"/>
        <v/>
      </c>
    </row>
    <row r="163" spans="3:6" x14ac:dyDescent="0.3">
      <c r="C163" s="8" t="str">
        <f t="shared" si="11"/>
        <v/>
      </c>
      <c r="F163" s="8" t="str">
        <f t="shared" si="12"/>
        <v/>
      </c>
    </row>
    <row r="164" spans="3:6" x14ac:dyDescent="0.3">
      <c r="C164" s="8" t="str">
        <f t="shared" si="11"/>
        <v/>
      </c>
      <c r="F164" s="8" t="str">
        <f t="shared" si="12"/>
        <v/>
      </c>
    </row>
    <row r="165" spans="3:6" x14ac:dyDescent="0.3">
      <c r="C165" s="8" t="str">
        <f t="shared" si="11"/>
        <v/>
      </c>
      <c r="F165" s="8" t="str">
        <f t="shared" si="12"/>
        <v/>
      </c>
    </row>
    <row r="166" spans="3:6" x14ac:dyDescent="0.3">
      <c r="C166" s="8" t="str">
        <f t="shared" si="11"/>
        <v/>
      </c>
      <c r="F166" s="8" t="str">
        <f t="shared" si="12"/>
        <v/>
      </c>
    </row>
    <row r="167" spans="3:6" x14ac:dyDescent="0.3">
      <c r="C167" s="8" t="str">
        <f t="shared" si="11"/>
        <v/>
      </c>
      <c r="F167" s="8" t="str">
        <f t="shared" si="12"/>
        <v/>
      </c>
    </row>
    <row r="168" spans="3:6" x14ac:dyDescent="0.3">
      <c r="C168" s="8" t="str">
        <f t="shared" si="11"/>
        <v/>
      </c>
      <c r="F168" s="8" t="str">
        <f t="shared" si="12"/>
        <v/>
      </c>
    </row>
    <row r="169" spans="3:6" x14ac:dyDescent="0.3">
      <c r="C169" s="8" t="str">
        <f t="shared" si="11"/>
        <v/>
      </c>
      <c r="F169" s="8" t="str">
        <f t="shared" si="12"/>
        <v/>
      </c>
    </row>
    <row r="170" spans="3:6" x14ac:dyDescent="0.3">
      <c r="C170" s="8" t="str">
        <f t="shared" si="11"/>
        <v/>
      </c>
      <c r="F170" s="8" t="str">
        <f t="shared" si="12"/>
        <v/>
      </c>
    </row>
    <row r="171" spans="3:6" x14ac:dyDescent="0.3">
      <c r="C171" s="8" t="str">
        <f t="shared" si="11"/>
        <v/>
      </c>
      <c r="F171" s="8" t="str">
        <f t="shared" si="12"/>
        <v/>
      </c>
    </row>
    <row r="172" spans="3:6" x14ac:dyDescent="0.3">
      <c r="C172" s="8" t="str">
        <f t="shared" si="11"/>
        <v/>
      </c>
      <c r="F172" s="8" t="str">
        <f t="shared" si="12"/>
        <v/>
      </c>
    </row>
    <row r="173" spans="3:6" x14ac:dyDescent="0.3">
      <c r="C173" s="8" t="str">
        <f t="shared" si="11"/>
        <v/>
      </c>
      <c r="F173" s="8" t="str">
        <f t="shared" si="12"/>
        <v/>
      </c>
    </row>
    <row r="174" spans="3:6" x14ac:dyDescent="0.3">
      <c r="C174" s="8" t="str">
        <f t="shared" si="11"/>
        <v/>
      </c>
      <c r="F174" s="8" t="str">
        <f t="shared" si="12"/>
        <v/>
      </c>
    </row>
    <row r="175" spans="3:6" x14ac:dyDescent="0.3">
      <c r="C175" s="8" t="str">
        <f t="shared" si="11"/>
        <v/>
      </c>
      <c r="F175" s="8" t="str">
        <f t="shared" si="12"/>
        <v/>
      </c>
    </row>
    <row r="176" spans="3:6" x14ac:dyDescent="0.3">
      <c r="C176" s="8" t="str">
        <f t="shared" si="11"/>
        <v/>
      </c>
      <c r="F176" s="8" t="str">
        <f t="shared" si="12"/>
        <v/>
      </c>
    </row>
    <row r="177" spans="3:6" x14ac:dyDescent="0.3">
      <c r="C177" s="8" t="str">
        <f t="shared" si="11"/>
        <v/>
      </c>
      <c r="F177" s="8" t="str">
        <f t="shared" si="12"/>
        <v/>
      </c>
    </row>
    <row r="178" spans="3:6" x14ac:dyDescent="0.3">
      <c r="C178" s="8" t="str">
        <f t="shared" si="11"/>
        <v/>
      </c>
      <c r="F178" s="8" t="str">
        <f t="shared" si="12"/>
        <v/>
      </c>
    </row>
    <row r="179" spans="3:6" x14ac:dyDescent="0.3">
      <c r="C179" s="8" t="str">
        <f t="shared" si="11"/>
        <v/>
      </c>
      <c r="F179" s="8" t="str">
        <f t="shared" si="12"/>
        <v/>
      </c>
    </row>
    <row r="180" spans="3:6" x14ac:dyDescent="0.3">
      <c r="C180" s="8" t="str">
        <f t="shared" si="11"/>
        <v/>
      </c>
      <c r="F180" s="8" t="str">
        <f t="shared" si="12"/>
        <v/>
      </c>
    </row>
    <row r="181" spans="3:6" x14ac:dyDescent="0.3">
      <c r="C181" s="8" t="str">
        <f t="shared" si="11"/>
        <v/>
      </c>
      <c r="F181" s="8" t="str">
        <f t="shared" si="12"/>
        <v/>
      </c>
    </row>
    <row r="182" spans="3:6" x14ac:dyDescent="0.3">
      <c r="C182" s="8" t="str">
        <f t="shared" si="11"/>
        <v/>
      </c>
      <c r="F182" s="8" t="str">
        <f t="shared" si="12"/>
        <v/>
      </c>
    </row>
    <row r="183" spans="3:6" x14ac:dyDescent="0.3">
      <c r="C183" s="8" t="str">
        <f t="shared" si="11"/>
        <v/>
      </c>
      <c r="F183" s="8" t="str">
        <f t="shared" si="12"/>
        <v/>
      </c>
    </row>
    <row r="184" spans="3:6" x14ac:dyDescent="0.3">
      <c r="C184" s="8" t="str">
        <f t="shared" si="11"/>
        <v/>
      </c>
      <c r="F184" s="8" t="str">
        <f t="shared" si="12"/>
        <v/>
      </c>
    </row>
    <row r="185" spans="3:6" x14ac:dyDescent="0.3">
      <c r="C185" s="8" t="str">
        <f t="shared" si="11"/>
        <v/>
      </c>
      <c r="F185" s="8" t="str">
        <f t="shared" si="12"/>
        <v/>
      </c>
    </row>
    <row r="186" spans="3:6" x14ac:dyDescent="0.3">
      <c r="C186" s="8" t="str">
        <f t="shared" si="11"/>
        <v/>
      </c>
      <c r="F186" s="8" t="str">
        <f t="shared" si="12"/>
        <v/>
      </c>
    </row>
    <row r="187" spans="3:6" x14ac:dyDescent="0.3">
      <c r="C187" s="8" t="str">
        <f t="shared" si="11"/>
        <v/>
      </c>
      <c r="F187" s="8" t="str">
        <f t="shared" si="12"/>
        <v/>
      </c>
    </row>
    <row r="188" spans="3:6" x14ac:dyDescent="0.3">
      <c r="C188" s="8" t="str">
        <f t="shared" si="11"/>
        <v/>
      </c>
      <c r="F188" s="8" t="str">
        <f t="shared" si="12"/>
        <v/>
      </c>
    </row>
    <row r="189" spans="3:6" x14ac:dyDescent="0.3">
      <c r="C189" s="8" t="str">
        <f t="shared" si="11"/>
        <v/>
      </c>
      <c r="F189" s="8" t="str">
        <f t="shared" si="12"/>
        <v/>
      </c>
    </row>
    <row r="190" spans="3:6" x14ac:dyDescent="0.3">
      <c r="C190" s="8" t="str">
        <f t="shared" si="11"/>
        <v/>
      </c>
      <c r="F190" s="8" t="str">
        <f t="shared" si="12"/>
        <v/>
      </c>
    </row>
    <row r="191" spans="3:6" x14ac:dyDescent="0.3">
      <c r="C191" s="8" t="str">
        <f t="shared" si="11"/>
        <v/>
      </c>
      <c r="F191" s="8" t="str">
        <f t="shared" si="12"/>
        <v/>
      </c>
    </row>
    <row r="192" spans="3:6" x14ac:dyDescent="0.3">
      <c r="C192" s="8" t="str">
        <f t="shared" si="11"/>
        <v/>
      </c>
      <c r="F192" s="8" t="str">
        <f t="shared" si="12"/>
        <v/>
      </c>
    </row>
    <row r="193" spans="3:6" x14ac:dyDescent="0.3">
      <c r="C193" s="8" t="str">
        <f t="shared" si="11"/>
        <v/>
      </c>
      <c r="F193" s="8" t="str">
        <f t="shared" si="12"/>
        <v/>
      </c>
    </row>
    <row r="194" spans="3:6" x14ac:dyDescent="0.3">
      <c r="C194" s="8" t="str">
        <f t="shared" si="11"/>
        <v/>
      </c>
      <c r="F194" s="8" t="str">
        <f t="shared" si="12"/>
        <v/>
      </c>
    </row>
    <row r="195" spans="3:6" x14ac:dyDescent="0.3">
      <c r="C195" s="8" t="str">
        <f t="shared" si="11"/>
        <v/>
      </c>
      <c r="F195" s="8" t="str">
        <f t="shared" si="12"/>
        <v/>
      </c>
    </row>
    <row r="196" spans="3:6" x14ac:dyDescent="0.3">
      <c r="C196" s="8" t="str">
        <f t="shared" si="11"/>
        <v/>
      </c>
      <c r="F196" s="8" t="str">
        <f t="shared" si="12"/>
        <v/>
      </c>
    </row>
    <row r="197" spans="3:6" x14ac:dyDescent="0.3">
      <c r="C197" s="8" t="str">
        <f t="shared" si="11"/>
        <v/>
      </c>
      <c r="F197" s="8" t="str">
        <f t="shared" si="12"/>
        <v/>
      </c>
    </row>
    <row r="198" spans="3:6" x14ac:dyDescent="0.3">
      <c r="C198" s="8" t="str">
        <f t="shared" si="11"/>
        <v/>
      </c>
      <c r="F198" s="8" t="str">
        <f t="shared" si="12"/>
        <v/>
      </c>
    </row>
    <row r="199" spans="3:6" x14ac:dyDescent="0.3">
      <c r="C199" s="8" t="str">
        <f t="shared" si="11"/>
        <v/>
      </c>
      <c r="F199" s="8" t="str">
        <f t="shared" si="12"/>
        <v/>
      </c>
    </row>
    <row r="200" spans="3:6" x14ac:dyDescent="0.3">
      <c r="C200" s="8" t="str">
        <f t="shared" si="11"/>
        <v/>
      </c>
      <c r="F200" s="8" t="str">
        <f t="shared" si="12"/>
        <v/>
      </c>
    </row>
    <row r="201" spans="3:6" x14ac:dyDescent="0.3">
      <c r="C201" s="8" t="str">
        <f t="shared" si="11"/>
        <v/>
      </c>
      <c r="F201" s="8" t="str">
        <f t="shared" si="12"/>
        <v/>
      </c>
    </row>
    <row r="202" spans="3:6" x14ac:dyDescent="0.3">
      <c r="C202" s="8" t="str">
        <f t="shared" si="11"/>
        <v/>
      </c>
      <c r="F202" s="8" t="str">
        <f t="shared" si="12"/>
        <v/>
      </c>
    </row>
    <row r="203" spans="3:6" x14ac:dyDescent="0.3">
      <c r="C203" s="8" t="str">
        <f t="shared" si="11"/>
        <v/>
      </c>
      <c r="F203" s="8" t="str">
        <f t="shared" si="12"/>
        <v/>
      </c>
    </row>
    <row r="204" spans="3:6" x14ac:dyDescent="0.3">
      <c r="C204" s="8" t="str">
        <f t="shared" ref="C204:C267" si="13">IF(B204="PBHAv1.0","PCB"&amp;TEXT(A204,"yyyymmdd")&amp;"-01",IF(B204="SBCT","SBCT"&amp;TEXT(A204,"yyyymmdd"),IF(B204="SCRA","SCRA"&amp;TEXT(A204,"yyyymmdd"),"")))</f>
        <v/>
      </c>
      <c r="F204" s="8" t="str">
        <f t="shared" ref="F204:F267" si="14">IF(ISBLANK(B204),"",IF(B204="PBHAv1.0",IF(OR(ISBLANK(D204),ISBLANK(E204)),"",IF(AND(D204&gt;=360,D204&lt;=460,E204&lt;=0.4),"적합","부적합")),IF(ISBLANK(D204),"",IF(B204="SBCT",IF(AND(D204&gt;=170,D204&lt;=220),"적합","부적합"),IF(B204="SCRA",IF(AND(D204&gt;=50,D204&lt;=70),"적합","부적합"),"")))))</f>
        <v/>
      </c>
    </row>
    <row r="205" spans="3:6" x14ac:dyDescent="0.3">
      <c r="C205" s="8" t="str">
        <f t="shared" si="13"/>
        <v/>
      </c>
      <c r="F205" s="8" t="str">
        <f t="shared" si="14"/>
        <v/>
      </c>
    </row>
    <row r="206" spans="3:6" x14ac:dyDescent="0.3">
      <c r="C206" s="8" t="str">
        <f t="shared" si="13"/>
        <v/>
      </c>
      <c r="F206" s="8" t="str">
        <f t="shared" si="14"/>
        <v/>
      </c>
    </row>
    <row r="207" spans="3:6" x14ac:dyDescent="0.3">
      <c r="C207" s="8" t="str">
        <f t="shared" si="13"/>
        <v/>
      </c>
      <c r="F207" s="8" t="str">
        <f t="shared" si="14"/>
        <v/>
      </c>
    </row>
    <row r="208" spans="3:6" x14ac:dyDescent="0.3">
      <c r="C208" s="8" t="str">
        <f t="shared" si="13"/>
        <v/>
      </c>
      <c r="F208" s="8" t="str">
        <f t="shared" si="14"/>
        <v/>
      </c>
    </row>
    <row r="209" spans="3:6" x14ac:dyDescent="0.3">
      <c r="C209" s="8" t="str">
        <f t="shared" si="13"/>
        <v/>
      </c>
      <c r="F209" s="8" t="str">
        <f t="shared" si="14"/>
        <v/>
      </c>
    </row>
    <row r="210" spans="3:6" x14ac:dyDescent="0.3">
      <c r="C210" s="8" t="str">
        <f t="shared" si="13"/>
        <v/>
      </c>
      <c r="F210" s="8" t="str">
        <f t="shared" si="14"/>
        <v/>
      </c>
    </row>
    <row r="211" spans="3:6" x14ac:dyDescent="0.3">
      <c r="C211" s="8" t="str">
        <f t="shared" si="13"/>
        <v/>
      </c>
      <c r="F211" s="8" t="str">
        <f t="shared" si="14"/>
        <v/>
      </c>
    </row>
    <row r="212" spans="3:6" x14ac:dyDescent="0.3">
      <c r="C212" s="8" t="str">
        <f t="shared" si="13"/>
        <v/>
      </c>
      <c r="F212" s="8" t="str">
        <f t="shared" si="14"/>
        <v/>
      </c>
    </row>
    <row r="213" spans="3:6" x14ac:dyDescent="0.3">
      <c r="C213" s="8" t="str">
        <f t="shared" si="13"/>
        <v/>
      </c>
      <c r="F213" s="8" t="str">
        <f t="shared" si="14"/>
        <v/>
      </c>
    </row>
    <row r="214" spans="3:6" x14ac:dyDescent="0.3">
      <c r="C214" s="8" t="str">
        <f t="shared" si="13"/>
        <v/>
      </c>
      <c r="F214" s="8" t="str">
        <f t="shared" si="14"/>
        <v/>
      </c>
    </row>
    <row r="215" spans="3:6" x14ac:dyDescent="0.3">
      <c r="C215" s="8" t="str">
        <f t="shared" si="13"/>
        <v/>
      </c>
      <c r="F215" s="8" t="str">
        <f t="shared" si="14"/>
        <v/>
      </c>
    </row>
    <row r="216" spans="3:6" x14ac:dyDescent="0.3">
      <c r="C216" s="8" t="str">
        <f t="shared" si="13"/>
        <v/>
      </c>
      <c r="F216" s="8" t="str">
        <f t="shared" si="14"/>
        <v/>
      </c>
    </row>
    <row r="217" spans="3:6" x14ac:dyDescent="0.3">
      <c r="C217" s="8" t="str">
        <f t="shared" si="13"/>
        <v/>
      </c>
      <c r="F217" s="8" t="str">
        <f t="shared" si="14"/>
        <v/>
      </c>
    </row>
    <row r="218" spans="3:6" x14ac:dyDescent="0.3">
      <c r="C218" s="8" t="str">
        <f t="shared" si="13"/>
        <v/>
      </c>
      <c r="F218" s="8" t="str">
        <f t="shared" si="14"/>
        <v/>
      </c>
    </row>
    <row r="219" spans="3:6" x14ac:dyDescent="0.3">
      <c r="C219" s="8" t="str">
        <f t="shared" si="13"/>
        <v/>
      </c>
      <c r="F219" s="8" t="str">
        <f t="shared" si="14"/>
        <v/>
      </c>
    </row>
    <row r="220" spans="3:6" x14ac:dyDescent="0.3">
      <c r="C220" s="8" t="str">
        <f t="shared" si="13"/>
        <v/>
      </c>
      <c r="F220" s="8" t="str">
        <f t="shared" si="14"/>
        <v/>
      </c>
    </row>
    <row r="221" spans="3:6" x14ac:dyDescent="0.3">
      <c r="C221" s="8" t="str">
        <f t="shared" si="13"/>
        <v/>
      </c>
      <c r="F221" s="8" t="str">
        <f t="shared" si="14"/>
        <v/>
      </c>
    </row>
    <row r="222" spans="3:6" x14ac:dyDescent="0.3">
      <c r="C222" s="8" t="str">
        <f t="shared" si="13"/>
        <v/>
      </c>
      <c r="F222" s="8" t="str">
        <f t="shared" si="14"/>
        <v/>
      </c>
    </row>
    <row r="223" spans="3:6" x14ac:dyDescent="0.3">
      <c r="C223" s="8" t="str">
        <f t="shared" si="13"/>
        <v/>
      </c>
      <c r="F223" s="8" t="str">
        <f t="shared" si="14"/>
        <v/>
      </c>
    </row>
    <row r="224" spans="3:6" x14ac:dyDescent="0.3">
      <c r="C224" s="8" t="str">
        <f t="shared" si="13"/>
        <v/>
      </c>
      <c r="F224" s="8" t="str">
        <f t="shared" si="14"/>
        <v/>
      </c>
    </row>
    <row r="225" spans="3:6" x14ac:dyDescent="0.3">
      <c r="C225" s="8" t="str">
        <f t="shared" si="13"/>
        <v/>
      </c>
      <c r="F225" s="8" t="str">
        <f t="shared" si="14"/>
        <v/>
      </c>
    </row>
    <row r="226" spans="3:6" x14ac:dyDescent="0.3">
      <c r="C226" s="8" t="str">
        <f t="shared" si="13"/>
        <v/>
      </c>
      <c r="F226" s="8" t="str">
        <f t="shared" si="14"/>
        <v/>
      </c>
    </row>
    <row r="227" spans="3:6" x14ac:dyDescent="0.3">
      <c r="C227" s="8" t="str">
        <f t="shared" si="13"/>
        <v/>
      </c>
      <c r="F227" s="8" t="str">
        <f t="shared" si="14"/>
        <v/>
      </c>
    </row>
    <row r="228" spans="3:6" x14ac:dyDescent="0.3">
      <c r="C228" s="8" t="str">
        <f t="shared" si="13"/>
        <v/>
      </c>
      <c r="F228" s="8" t="str">
        <f t="shared" si="14"/>
        <v/>
      </c>
    </row>
    <row r="229" spans="3:6" x14ac:dyDescent="0.3">
      <c r="C229" s="8" t="str">
        <f t="shared" si="13"/>
        <v/>
      </c>
      <c r="F229" s="8" t="str">
        <f t="shared" si="14"/>
        <v/>
      </c>
    </row>
    <row r="230" spans="3:6" x14ac:dyDescent="0.3">
      <c r="C230" s="8" t="str">
        <f t="shared" si="13"/>
        <v/>
      </c>
      <c r="F230" s="8" t="str">
        <f t="shared" si="14"/>
        <v/>
      </c>
    </row>
    <row r="231" spans="3:6" x14ac:dyDescent="0.3">
      <c r="C231" s="8" t="str">
        <f t="shared" si="13"/>
        <v/>
      </c>
      <c r="F231" s="8" t="str">
        <f t="shared" si="14"/>
        <v/>
      </c>
    </row>
    <row r="232" spans="3:6" x14ac:dyDescent="0.3">
      <c r="C232" s="8" t="str">
        <f t="shared" si="13"/>
        <v/>
      </c>
      <c r="F232" s="8" t="str">
        <f t="shared" si="14"/>
        <v/>
      </c>
    </row>
    <row r="233" spans="3:6" x14ac:dyDescent="0.3">
      <c r="C233" s="8" t="str">
        <f t="shared" si="13"/>
        <v/>
      </c>
      <c r="F233" s="8" t="str">
        <f t="shared" si="14"/>
        <v/>
      </c>
    </row>
    <row r="234" spans="3:6" x14ac:dyDescent="0.3">
      <c r="C234" s="8" t="str">
        <f t="shared" si="13"/>
        <v/>
      </c>
      <c r="F234" s="8" t="str">
        <f t="shared" si="14"/>
        <v/>
      </c>
    </row>
    <row r="235" spans="3:6" x14ac:dyDescent="0.3">
      <c r="C235" s="8" t="str">
        <f t="shared" si="13"/>
        <v/>
      </c>
      <c r="F235" s="8" t="str">
        <f t="shared" si="14"/>
        <v/>
      </c>
    </row>
    <row r="236" spans="3:6" x14ac:dyDescent="0.3">
      <c r="C236" s="8" t="str">
        <f t="shared" si="13"/>
        <v/>
      </c>
      <c r="F236" s="8" t="str">
        <f t="shared" si="14"/>
        <v/>
      </c>
    </row>
    <row r="237" spans="3:6" x14ac:dyDescent="0.3">
      <c r="C237" s="8" t="str">
        <f t="shared" si="13"/>
        <v/>
      </c>
      <c r="F237" s="8" t="str">
        <f t="shared" si="14"/>
        <v/>
      </c>
    </row>
    <row r="238" spans="3:6" x14ac:dyDescent="0.3">
      <c r="C238" s="8" t="str">
        <f t="shared" si="13"/>
        <v/>
      </c>
      <c r="F238" s="8" t="str">
        <f t="shared" si="14"/>
        <v/>
      </c>
    </row>
    <row r="239" spans="3:6" x14ac:dyDescent="0.3">
      <c r="C239" s="8" t="str">
        <f t="shared" si="13"/>
        <v/>
      </c>
      <c r="F239" s="8" t="str">
        <f t="shared" si="14"/>
        <v/>
      </c>
    </row>
    <row r="240" spans="3:6" x14ac:dyDescent="0.3">
      <c r="C240" s="8" t="str">
        <f t="shared" si="13"/>
        <v/>
      </c>
      <c r="F240" s="8" t="str">
        <f t="shared" si="14"/>
        <v/>
      </c>
    </row>
    <row r="241" spans="3:6" x14ac:dyDescent="0.3">
      <c r="C241" s="8" t="str">
        <f t="shared" si="13"/>
        <v/>
      </c>
      <c r="F241" s="8" t="str">
        <f t="shared" si="14"/>
        <v/>
      </c>
    </row>
    <row r="242" spans="3:6" x14ac:dyDescent="0.3">
      <c r="C242" s="8" t="str">
        <f t="shared" si="13"/>
        <v/>
      </c>
      <c r="F242" s="8" t="str">
        <f t="shared" si="14"/>
        <v/>
      </c>
    </row>
    <row r="243" spans="3:6" x14ac:dyDescent="0.3">
      <c r="C243" s="8" t="str">
        <f t="shared" si="13"/>
        <v/>
      </c>
      <c r="F243" s="8" t="str">
        <f t="shared" si="14"/>
        <v/>
      </c>
    </row>
    <row r="244" spans="3:6" x14ac:dyDescent="0.3">
      <c r="C244" s="8" t="str">
        <f t="shared" si="13"/>
        <v/>
      </c>
      <c r="F244" s="8" t="str">
        <f t="shared" si="14"/>
        <v/>
      </c>
    </row>
    <row r="245" spans="3:6" x14ac:dyDescent="0.3">
      <c r="C245" s="8" t="str">
        <f t="shared" si="13"/>
        <v/>
      </c>
      <c r="F245" s="8" t="str">
        <f t="shared" si="14"/>
        <v/>
      </c>
    </row>
    <row r="246" spans="3:6" x14ac:dyDescent="0.3">
      <c r="C246" s="8" t="str">
        <f t="shared" si="13"/>
        <v/>
      </c>
      <c r="F246" s="8" t="str">
        <f t="shared" si="14"/>
        <v/>
      </c>
    </row>
    <row r="247" spans="3:6" x14ac:dyDescent="0.3">
      <c r="C247" s="8" t="str">
        <f t="shared" si="13"/>
        <v/>
      </c>
      <c r="F247" s="8" t="str">
        <f t="shared" si="14"/>
        <v/>
      </c>
    </row>
    <row r="248" spans="3:6" x14ac:dyDescent="0.3">
      <c r="C248" s="8" t="str">
        <f t="shared" si="13"/>
        <v/>
      </c>
      <c r="F248" s="8" t="str">
        <f t="shared" si="14"/>
        <v/>
      </c>
    </row>
    <row r="249" spans="3:6" x14ac:dyDescent="0.3">
      <c r="C249" s="8" t="str">
        <f t="shared" si="13"/>
        <v/>
      </c>
      <c r="F249" s="8" t="str">
        <f t="shared" si="14"/>
        <v/>
      </c>
    </row>
    <row r="250" spans="3:6" x14ac:dyDescent="0.3">
      <c r="C250" s="8" t="str">
        <f t="shared" si="13"/>
        <v/>
      </c>
      <c r="F250" s="8" t="str">
        <f t="shared" si="14"/>
        <v/>
      </c>
    </row>
    <row r="251" spans="3:6" x14ac:dyDescent="0.3">
      <c r="C251" s="8" t="str">
        <f t="shared" si="13"/>
        <v/>
      </c>
      <c r="F251" s="8" t="str">
        <f t="shared" si="14"/>
        <v/>
      </c>
    </row>
    <row r="252" spans="3:6" x14ac:dyDescent="0.3">
      <c r="C252" s="8" t="str">
        <f t="shared" si="13"/>
        <v/>
      </c>
      <c r="F252" s="8" t="str">
        <f t="shared" si="14"/>
        <v/>
      </c>
    </row>
    <row r="253" spans="3:6" x14ac:dyDescent="0.3">
      <c r="C253" s="8" t="str">
        <f t="shared" si="13"/>
        <v/>
      </c>
      <c r="F253" s="8" t="str">
        <f t="shared" si="14"/>
        <v/>
      </c>
    </row>
    <row r="254" spans="3:6" x14ac:dyDescent="0.3">
      <c r="C254" s="8" t="str">
        <f t="shared" si="13"/>
        <v/>
      </c>
      <c r="F254" s="8" t="str">
        <f t="shared" si="14"/>
        <v/>
      </c>
    </row>
    <row r="255" spans="3:6" x14ac:dyDescent="0.3">
      <c r="C255" s="8" t="str">
        <f t="shared" si="13"/>
        <v/>
      </c>
      <c r="F255" s="8" t="str">
        <f t="shared" si="14"/>
        <v/>
      </c>
    </row>
    <row r="256" spans="3:6" x14ac:dyDescent="0.3">
      <c r="C256" s="8" t="str">
        <f t="shared" si="13"/>
        <v/>
      </c>
      <c r="F256" s="8" t="str">
        <f t="shared" si="14"/>
        <v/>
      </c>
    </row>
    <row r="257" spans="3:6" x14ac:dyDescent="0.3">
      <c r="C257" s="8" t="str">
        <f t="shared" si="13"/>
        <v/>
      </c>
      <c r="F257" s="8" t="str">
        <f t="shared" si="14"/>
        <v/>
      </c>
    </row>
    <row r="258" spans="3:6" x14ac:dyDescent="0.3">
      <c r="C258" s="8" t="str">
        <f t="shared" si="13"/>
        <v/>
      </c>
      <c r="F258" s="8" t="str">
        <f t="shared" si="14"/>
        <v/>
      </c>
    </row>
    <row r="259" spans="3:6" x14ac:dyDescent="0.3">
      <c r="C259" s="8" t="str">
        <f t="shared" si="13"/>
        <v/>
      </c>
      <c r="F259" s="8" t="str">
        <f t="shared" si="14"/>
        <v/>
      </c>
    </row>
    <row r="260" spans="3:6" x14ac:dyDescent="0.3">
      <c r="C260" s="8" t="str">
        <f t="shared" si="13"/>
        <v/>
      </c>
      <c r="F260" s="8" t="str">
        <f t="shared" si="14"/>
        <v/>
      </c>
    </row>
    <row r="261" spans="3:6" x14ac:dyDescent="0.3">
      <c r="C261" s="8" t="str">
        <f t="shared" si="13"/>
        <v/>
      </c>
      <c r="F261" s="8" t="str">
        <f t="shared" si="14"/>
        <v/>
      </c>
    </row>
    <row r="262" spans="3:6" x14ac:dyDescent="0.3">
      <c r="C262" s="8" t="str">
        <f t="shared" si="13"/>
        <v/>
      </c>
      <c r="F262" s="8" t="str">
        <f t="shared" si="14"/>
        <v/>
      </c>
    </row>
    <row r="263" spans="3:6" x14ac:dyDescent="0.3">
      <c r="C263" s="8" t="str">
        <f t="shared" si="13"/>
        <v/>
      </c>
      <c r="F263" s="8" t="str">
        <f t="shared" si="14"/>
        <v/>
      </c>
    </row>
    <row r="264" spans="3:6" x14ac:dyDescent="0.3">
      <c r="C264" s="8" t="str">
        <f t="shared" si="13"/>
        <v/>
      </c>
      <c r="F264" s="8" t="str">
        <f t="shared" si="14"/>
        <v/>
      </c>
    </row>
    <row r="265" spans="3:6" x14ac:dyDescent="0.3">
      <c r="C265" s="8" t="str">
        <f t="shared" si="13"/>
        <v/>
      </c>
      <c r="F265" s="8" t="str">
        <f t="shared" si="14"/>
        <v/>
      </c>
    </row>
    <row r="266" spans="3:6" x14ac:dyDescent="0.3">
      <c r="C266" s="8" t="str">
        <f t="shared" si="13"/>
        <v/>
      </c>
      <c r="F266" s="8" t="str">
        <f t="shared" si="14"/>
        <v/>
      </c>
    </row>
    <row r="267" spans="3:6" x14ac:dyDescent="0.3">
      <c r="C267" s="8" t="str">
        <f t="shared" si="13"/>
        <v/>
      </c>
      <c r="F267" s="8" t="str">
        <f t="shared" si="14"/>
        <v/>
      </c>
    </row>
    <row r="268" spans="3:6" x14ac:dyDescent="0.3">
      <c r="C268" s="8" t="str">
        <f t="shared" ref="C268:C331" si="15">IF(B268="PBHAv1.0","PCB"&amp;TEXT(A268,"yyyymmdd")&amp;"-01",IF(B268="SBCT","SBCT"&amp;TEXT(A268,"yyyymmdd"),IF(B268="SCRA","SCRA"&amp;TEXT(A268,"yyyymmdd"),"")))</f>
        <v/>
      </c>
      <c r="F268" s="8" t="str">
        <f t="shared" ref="F268:F331" si="16">IF(ISBLANK(B268),"",IF(B268="PBHAv1.0",IF(OR(ISBLANK(D268),ISBLANK(E268)),"",IF(AND(D268&gt;=360,D268&lt;=460,E268&lt;=0.4),"적합","부적합")),IF(ISBLANK(D268),"",IF(B268="SBCT",IF(AND(D268&gt;=170,D268&lt;=220),"적합","부적합"),IF(B268="SCRA",IF(AND(D268&gt;=50,D268&lt;=70),"적합","부적합"),"")))))</f>
        <v/>
      </c>
    </row>
    <row r="269" spans="3:6" x14ac:dyDescent="0.3">
      <c r="C269" s="8" t="str">
        <f t="shared" si="15"/>
        <v/>
      </c>
      <c r="F269" s="8" t="str">
        <f t="shared" si="16"/>
        <v/>
      </c>
    </row>
    <row r="270" spans="3:6" x14ac:dyDescent="0.3">
      <c r="C270" s="8" t="str">
        <f t="shared" si="15"/>
        <v/>
      </c>
      <c r="F270" s="8" t="str">
        <f t="shared" si="16"/>
        <v/>
      </c>
    </row>
    <row r="271" spans="3:6" x14ac:dyDescent="0.3">
      <c r="C271" s="8" t="str">
        <f t="shared" si="15"/>
        <v/>
      </c>
      <c r="F271" s="8" t="str">
        <f t="shared" si="16"/>
        <v/>
      </c>
    </row>
    <row r="272" spans="3:6" x14ac:dyDescent="0.3">
      <c r="C272" s="8" t="str">
        <f t="shared" si="15"/>
        <v/>
      </c>
      <c r="F272" s="8" t="str">
        <f t="shared" si="16"/>
        <v/>
      </c>
    </row>
    <row r="273" spans="3:6" x14ac:dyDescent="0.3">
      <c r="C273" s="8" t="str">
        <f t="shared" si="15"/>
        <v/>
      </c>
      <c r="F273" s="8" t="str">
        <f t="shared" si="16"/>
        <v/>
      </c>
    </row>
    <row r="274" spans="3:6" x14ac:dyDescent="0.3">
      <c r="C274" s="8" t="str">
        <f t="shared" si="15"/>
        <v/>
      </c>
      <c r="F274" s="8" t="str">
        <f t="shared" si="16"/>
        <v/>
      </c>
    </row>
    <row r="275" spans="3:6" x14ac:dyDescent="0.3">
      <c r="C275" s="8" t="str">
        <f t="shared" si="15"/>
        <v/>
      </c>
      <c r="F275" s="8" t="str">
        <f t="shared" si="16"/>
        <v/>
      </c>
    </row>
    <row r="276" spans="3:6" x14ac:dyDescent="0.3">
      <c r="C276" s="8" t="str">
        <f t="shared" si="15"/>
        <v/>
      </c>
      <c r="F276" s="8" t="str">
        <f t="shared" si="16"/>
        <v/>
      </c>
    </row>
    <row r="277" spans="3:6" x14ac:dyDescent="0.3">
      <c r="C277" s="8" t="str">
        <f t="shared" si="15"/>
        <v/>
      </c>
      <c r="F277" s="8" t="str">
        <f t="shared" si="16"/>
        <v/>
      </c>
    </row>
    <row r="278" spans="3:6" x14ac:dyDescent="0.3">
      <c r="C278" s="8" t="str">
        <f t="shared" si="15"/>
        <v/>
      </c>
      <c r="F278" s="8" t="str">
        <f t="shared" si="16"/>
        <v/>
      </c>
    </row>
    <row r="279" spans="3:6" x14ac:dyDescent="0.3">
      <c r="C279" s="8" t="str">
        <f t="shared" si="15"/>
        <v/>
      </c>
      <c r="F279" s="8" t="str">
        <f t="shared" si="16"/>
        <v/>
      </c>
    </row>
    <row r="280" spans="3:6" x14ac:dyDescent="0.3">
      <c r="C280" s="8" t="str">
        <f t="shared" si="15"/>
        <v/>
      </c>
      <c r="F280" s="8" t="str">
        <f t="shared" si="16"/>
        <v/>
      </c>
    </row>
    <row r="281" spans="3:6" x14ac:dyDescent="0.3">
      <c r="C281" s="8" t="str">
        <f t="shared" si="15"/>
        <v/>
      </c>
      <c r="F281" s="8" t="str">
        <f t="shared" si="16"/>
        <v/>
      </c>
    </row>
    <row r="282" spans="3:6" x14ac:dyDescent="0.3">
      <c r="C282" s="8" t="str">
        <f t="shared" si="15"/>
        <v/>
      </c>
      <c r="F282" s="8" t="str">
        <f t="shared" si="16"/>
        <v/>
      </c>
    </row>
    <row r="283" spans="3:6" x14ac:dyDescent="0.3">
      <c r="C283" s="8" t="str">
        <f t="shared" si="15"/>
        <v/>
      </c>
      <c r="F283" s="8" t="str">
        <f t="shared" si="16"/>
        <v/>
      </c>
    </row>
    <row r="284" spans="3:6" x14ac:dyDescent="0.3">
      <c r="C284" s="8" t="str">
        <f t="shared" si="15"/>
        <v/>
      </c>
      <c r="F284" s="8" t="str">
        <f t="shared" si="16"/>
        <v/>
      </c>
    </row>
    <row r="285" spans="3:6" x14ac:dyDescent="0.3">
      <c r="C285" s="8" t="str">
        <f t="shared" si="15"/>
        <v/>
      </c>
      <c r="F285" s="8" t="str">
        <f t="shared" si="16"/>
        <v/>
      </c>
    </row>
    <row r="286" spans="3:6" x14ac:dyDescent="0.3">
      <c r="C286" s="8" t="str">
        <f t="shared" si="15"/>
        <v/>
      </c>
      <c r="F286" s="8" t="str">
        <f t="shared" si="16"/>
        <v/>
      </c>
    </row>
    <row r="287" spans="3:6" x14ac:dyDescent="0.3">
      <c r="C287" s="8" t="str">
        <f t="shared" si="15"/>
        <v/>
      </c>
      <c r="F287" s="8" t="str">
        <f t="shared" si="16"/>
        <v/>
      </c>
    </row>
    <row r="288" spans="3:6" x14ac:dyDescent="0.3">
      <c r="C288" s="8" t="str">
        <f t="shared" si="15"/>
        <v/>
      </c>
      <c r="F288" s="8" t="str">
        <f t="shared" si="16"/>
        <v/>
      </c>
    </row>
    <row r="289" spans="3:6" x14ac:dyDescent="0.3">
      <c r="C289" s="8" t="str">
        <f t="shared" si="15"/>
        <v/>
      </c>
      <c r="F289" s="8" t="str">
        <f t="shared" si="16"/>
        <v/>
      </c>
    </row>
    <row r="290" spans="3:6" x14ac:dyDescent="0.3">
      <c r="C290" s="8" t="str">
        <f t="shared" si="15"/>
        <v/>
      </c>
      <c r="F290" s="8" t="str">
        <f t="shared" si="16"/>
        <v/>
      </c>
    </row>
    <row r="291" spans="3:6" x14ac:dyDescent="0.3">
      <c r="C291" s="8" t="str">
        <f t="shared" si="15"/>
        <v/>
      </c>
      <c r="F291" s="8" t="str">
        <f t="shared" si="16"/>
        <v/>
      </c>
    </row>
    <row r="292" spans="3:6" x14ac:dyDescent="0.3">
      <c r="C292" s="8" t="str">
        <f t="shared" si="15"/>
        <v/>
      </c>
      <c r="F292" s="8" t="str">
        <f t="shared" si="16"/>
        <v/>
      </c>
    </row>
    <row r="293" spans="3:6" x14ac:dyDescent="0.3">
      <c r="C293" s="8" t="str">
        <f t="shared" si="15"/>
        <v/>
      </c>
      <c r="F293" s="8" t="str">
        <f t="shared" si="16"/>
        <v/>
      </c>
    </row>
    <row r="294" spans="3:6" x14ac:dyDescent="0.3">
      <c r="C294" s="8" t="str">
        <f t="shared" si="15"/>
        <v/>
      </c>
      <c r="F294" s="8" t="str">
        <f t="shared" si="16"/>
        <v/>
      </c>
    </row>
    <row r="295" spans="3:6" x14ac:dyDescent="0.3">
      <c r="C295" s="8" t="str">
        <f t="shared" si="15"/>
        <v/>
      </c>
      <c r="F295" s="8" t="str">
        <f t="shared" si="16"/>
        <v/>
      </c>
    </row>
    <row r="296" spans="3:6" x14ac:dyDescent="0.3">
      <c r="C296" s="8" t="str">
        <f t="shared" si="15"/>
        <v/>
      </c>
      <c r="F296" s="8" t="str">
        <f t="shared" si="16"/>
        <v/>
      </c>
    </row>
    <row r="297" spans="3:6" x14ac:dyDescent="0.3">
      <c r="C297" s="8" t="str">
        <f t="shared" si="15"/>
        <v/>
      </c>
      <c r="F297" s="8" t="str">
        <f t="shared" si="16"/>
        <v/>
      </c>
    </row>
    <row r="298" spans="3:6" x14ac:dyDescent="0.3">
      <c r="C298" s="8" t="str">
        <f t="shared" si="15"/>
        <v/>
      </c>
      <c r="F298" s="8" t="str">
        <f t="shared" si="16"/>
        <v/>
      </c>
    </row>
    <row r="299" spans="3:6" x14ac:dyDescent="0.3">
      <c r="C299" s="8" t="str">
        <f t="shared" si="15"/>
        <v/>
      </c>
      <c r="F299" s="8" t="str">
        <f t="shared" si="16"/>
        <v/>
      </c>
    </row>
    <row r="300" spans="3:6" x14ac:dyDescent="0.3">
      <c r="C300" s="8" t="str">
        <f t="shared" si="15"/>
        <v/>
      </c>
      <c r="F300" s="8" t="str">
        <f t="shared" si="16"/>
        <v/>
      </c>
    </row>
    <row r="301" spans="3:6" x14ac:dyDescent="0.3">
      <c r="C301" s="8" t="str">
        <f t="shared" si="15"/>
        <v/>
      </c>
      <c r="F301" s="8" t="str">
        <f t="shared" si="16"/>
        <v/>
      </c>
    </row>
    <row r="302" spans="3:6" x14ac:dyDescent="0.3">
      <c r="C302" s="8" t="str">
        <f t="shared" si="15"/>
        <v/>
      </c>
      <c r="F302" s="8" t="str">
        <f t="shared" si="16"/>
        <v/>
      </c>
    </row>
    <row r="303" spans="3:6" x14ac:dyDescent="0.3">
      <c r="C303" s="8" t="str">
        <f t="shared" si="15"/>
        <v/>
      </c>
      <c r="F303" s="8" t="str">
        <f t="shared" si="16"/>
        <v/>
      </c>
    </row>
    <row r="304" spans="3:6" x14ac:dyDescent="0.3">
      <c r="C304" s="8" t="str">
        <f t="shared" si="15"/>
        <v/>
      </c>
      <c r="F304" s="8" t="str">
        <f t="shared" si="16"/>
        <v/>
      </c>
    </row>
    <row r="305" spans="3:6" x14ac:dyDescent="0.3">
      <c r="C305" s="8" t="str">
        <f t="shared" si="15"/>
        <v/>
      </c>
      <c r="F305" s="8" t="str">
        <f t="shared" si="16"/>
        <v/>
      </c>
    </row>
    <row r="306" spans="3:6" x14ac:dyDescent="0.3">
      <c r="C306" s="8" t="str">
        <f t="shared" si="15"/>
        <v/>
      </c>
      <c r="F306" s="8" t="str">
        <f t="shared" si="16"/>
        <v/>
      </c>
    </row>
    <row r="307" spans="3:6" x14ac:dyDescent="0.3">
      <c r="C307" s="8" t="str">
        <f t="shared" si="15"/>
        <v/>
      </c>
      <c r="F307" s="8" t="str">
        <f t="shared" si="16"/>
        <v/>
      </c>
    </row>
    <row r="308" spans="3:6" x14ac:dyDescent="0.3">
      <c r="C308" s="8" t="str">
        <f t="shared" si="15"/>
        <v/>
      </c>
      <c r="F308" s="8" t="str">
        <f t="shared" si="16"/>
        <v/>
      </c>
    </row>
    <row r="309" spans="3:6" x14ac:dyDescent="0.3">
      <c r="C309" s="8" t="str">
        <f t="shared" si="15"/>
        <v/>
      </c>
      <c r="F309" s="8" t="str">
        <f t="shared" si="16"/>
        <v/>
      </c>
    </row>
    <row r="310" spans="3:6" x14ac:dyDescent="0.3">
      <c r="C310" s="8" t="str">
        <f t="shared" si="15"/>
        <v/>
      </c>
      <c r="F310" s="8" t="str">
        <f t="shared" si="16"/>
        <v/>
      </c>
    </row>
    <row r="311" spans="3:6" x14ac:dyDescent="0.3">
      <c r="C311" s="8" t="str">
        <f t="shared" si="15"/>
        <v/>
      </c>
      <c r="F311" s="8" t="str">
        <f t="shared" si="16"/>
        <v/>
      </c>
    </row>
    <row r="312" spans="3:6" x14ac:dyDescent="0.3">
      <c r="C312" s="8" t="str">
        <f t="shared" si="15"/>
        <v/>
      </c>
      <c r="F312" s="8" t="str">
        <f t="shared" si="16"/>
        <v/>
      </c>
    </row>
    <row r="313" spans="3:6" x14ac:dyDescent="0.3">
      <c r="C313" s="8" t="str">
        <f t="shared" si="15"/>
        <v/>
      </c>
      <c r="F313" s="8" t="str">
        <f t="shared" si="16"/>
        <v/>
      </c>
    </row>
    <row r="314" spans="3:6" x14ac:dyDescent="0.3">
      <c r="C314" s="8" t="str">
        <f t="shared" si="15"/>
        <v/>
      </c>
      <c r="F314" s="8" t="str">
        <f t="shared" si="16"/>
        <v/>
      </c>
    </row>
    <row r="315" spans="3:6" x14ac:dyDescent="0.3">
      <c r="C315" s="8" t="str">
        <f t="shared" si="15"/>
        <v/>
      </c>
      <c r="F315" s="8" t="str">
        <f t="shared" si="16"/>
        <v/>
      </c>
    </row>
    <row r="316" spans="3:6" x14ac:dyDescent="0.3">
      <c r="C316" s="8" t="str">
        <f t="shared" si="15"/>
        <v/>
      </c>
      <c r="F316" s="8" t="str">
        <f t="shared" si="16"/>
        <v/>
      </c>
    </row>
    <row r="317" spans="3:6" x14ac:dyDescent="0.3">
      <c r="C317" s="8" t="str">
        <f t="shared" si="15"/>
        <v/>
      </c>
      <c r="F317" s="8" t="str">
        <f t="shared" si="16"/>
        <v/>
      </c>
    </row>
    <row r="318" spans="3:6" x14ac:dyDescent="0.3">
      <c r="C318" s="8" t="str">
        <f t="shared" si="15"/>
        <v/>
      </c>
      <c r="F318" s="8" t="str">
        <f t="shared" si="16"/>
        <v/>
      </c>
    </row>
    <row r="319" spans="3:6" x14ac:dyDescent="0.3">
      <c r="C319" s="8" t="str">
        <f t="shared" si="15"/>
        <v/>
      </c>
      <c r="F319" s="8" t="str">
        <f t="shared" si="16"/>
        <v/>
      </c>
    </row>
    <row r="320" spans="3:6" x14ac:dyDescent="0.3">
      <c r="C320" s="8" t="str">
        <f t="shared" si="15"/>
        <v/>
      </c>
      <c r="F320" s="8" t="str">
        <f t="shared" si="16"/>
        <v/>
      </c>
    </row>
    <row r="321" spans="3:6" x14ac:dyDescent="0.3">
      <c r="C321" s="8" t="str">
        <f t="shared" si="15"/>
        <v/>
      </c>
      <c r="F321" s="8" t="str">
        <f t="shared" si="16"/>
        <v/>
      </c>
    </row>
    <row r="322" spans="3:6" x14ac:dyDescent="0.3">
      <c r="C322" s="8" t="str">
        <f t="shared" si="15"/>
        <v/>
      </c>
      <c r="F322" s="8" t="str">
        <f t="shared" si="16"/>
        <v/>
      </c>
    </row>
    <row r="323" spans="3:6" x14ac:dyDescent="0.3">
      <c r="C323" s="8" t="str">
        <f t="shared" si="15"/>
        <v/>
      </c>
      <c r="F323" s="8" t="str">
        <f t="shared" si="16"/>
        <v/>
      </c>
    </row>
    <row r="324" spans="3:6" x14ac:dyDescent="0.3">
      <c r="C324" s="8" t="str">
        <f t="shared" si="15"/>
        <v/>
      </c>
      <c r="F324" s="8" t="str">
        <f t="shared" si="16"/>
        <v/>
      </c>
    </row>
    <row r="325" spans="3:6" x14ac:dyDescent="0.3">
      <c r="C325" s="8" t="str">
        <f t="shared" si="15"/>
        <v/>
      </c>
      <c r="F325" s="8" t="str">
        <f t="shared" si="16"/>
        <v/>
      </c>
    </row>
    <row r="326" spans="3:6" x14ac:dyDescent="0.3">
      <c r="C326" s="8" t="str">
        <f t="shared" si="15"/>
        <v/>
      </c>
      <c r="F326" s="8" t="str">
        <f t="shared" si="16"/>
        <v/>
      </c>
    </row>
    <row r="327" spans="3:6" x14ac:dyDescent="0.3">
      <c r="C327" s="8" t="str">
        <f t="shared" si="15"/>
        <v/>
      </c>
      <c r="F327" s="8" t="str">
        <f t="shared" si="16"/>
        <v/>
      </c>
    </row>
    <row r="328" spans="3:6" x14ac:dyDescent="0.3">
      <c r="C328" s="8" t="str">
        <f t="shared" si="15"/>
        <v/>
      </c>
      <c r="F328" s="8" t="str">
        <f t="shared" si="16"/>
        <v/>
      </c>
    </row>
    <row r="329" spans="3:6" x14ac:dyDescent="0.3">
      <c r="C329" s="8" t="str">
        <f t="shared" si="15"/>
        <v/>
      </c>
      <c r="F329" s="8" t="str">
        <f t="shared" si="16"/>
        <v/>
      </c>
    </row>
    <row r="330" spans="3:6" x14ac:dyDescent="0.3">
      <c r="C330" s="8" t="str">
        <f t="shared" si="15"/>
        <v/>
      </c>
      <c r="F330" s="8" t="str">
        <f t="shared" si="16"/>
        <v/>
      </c>
    </row>
    <row r="331" spans="3:6" x14ac:dyDescent="0.3">
      <c r="C331" s="8" t="str">
        <f t="shared" si="15"/>
        <v/>
      </c>
      <c r="F331" s="8" t="str">
        <f t="shared" si="16"/>
        <v/>
      </c>
    </row>
    <row r="332" spans="3:6" x14ac:dyDescent="0.3">
      <c r="C332" s="8" t="str">
        <f t="shared" ref="C332:C395" si="17">IF(B332="PBHAv1.0","PCB"&amp;TEXT(A332,"yyyymmdd")&amp;"-01",IF(B332="SBCT","SBCT"&amp;TEXT(A332,"yyyymmdd"),IF(B332="SCRA","SCRA"&amp;TEXT(A332,"yyyymmdd"),"")))</f>
        <v/>
      </c>
      <c r="F332" s="8" t="str">
        <f t="shared" ref="F332:F395" si="18">IF(ISBLANK(B332),"",IF(B332="PBHAv1.0",IF(OR(ISBLANK(D332),ISBLANK(E332)),"",IF(AND(D332&gt;=360,D332&lt;=460,E332&lt;=0.4),"적합","부적합")),IF(ISBLANK(D332),"",IF(B332="SBCT",IF(AND(D332&gt;=170,D332&lt;=220),"적합","부적합"),IF(B332="SCRA",IF(AND(D332&gt;=50,D332&lt;=70),"적합","부적합"),"")))))</f>
        <v/>
      </c>
    </row>
    <row r="333" spans="3:6" x14ac:dyDescent="0.3">
      <c r="C333" s="8" t="str">
        <f t="shared" si="17"/>
        <v/>
      </c>
      <c r="F333" s="8" t="str">
        <f t="shared" si="18"/>
        <v/>
      </c>
    </row>
    <row r="334" spans="3:6" x14ac:dyDescent="0.3">
      <c r="C334" s="8" t="str">
        <f t="shared" si="17"/>
        <v/>
      </c>
      <c r="F334" s="8" t="str">
        <f t="shared" si="18"/>
        <v/>
      </c>
    </row>
    <row r="335" spans="3:6" x14ac:dyDescent="0.3">
      <c r="C335" s="8" t="str">
        <f t="shared" si="17"/>
        <v/>
      </c>
      <c r="F335" s="8" t="str">
        <f t="shared" si="18"/>
        <v/>
      </c>
    </row>
    <row r="336" spans="3:6" x14ac:dyDescent="0.3">
      <c r="C336" s="8" t="str">
        <f t="shared" si="17"/>
        <v/>
      </c>
      <c r="F336" s="8" t="str">
        <f t="shared" si="18"/>
        <v/>
      </c>
    </row>
    <row r="337" spans="3:6" x14ac:dyDescent="0.3">
      <c r="C337" s="8" t="str">
        <f t="shared" si="17"/>
        <v/>
      </c>
      <c r="F337" s="8" t="str">
        <f t="shared" si="18"/>
        <v/>
      </c>
    </row>
    <row r="338" spans="3:6" x14ac:dyDescent="0.3">
      <c r="C338" s="8" t="str">
        <f t="shared" si="17"/>
        <v/>
      </c>
      <c r="F338" s="8" t="str">
        <f t="shared" si="18"/>
        <v/>
      </c>
    </row>
    <row r="339" spans="3:6" x14ac:dyDescent="0.3">
      <c r="C339" s="8" t="str">
        <f t="shared" si="17"/>
        <v/>
      </c>
      <c r="F339" s="8" t="str">
        <f t="shared" si="18"/>
        <v/>
      </c>
    </row>
    <row r="340" spans="3:6" x14ac:dyDescent="0.3">
      <c r="C340" s="8" t="str">
        <f t="shared" si="17"/>
        <v/>
      </c>
      <c r="F340" s="8" t="str">
        <f t="shared" si="18"/>
        <v/>
      </c>
    </row>
    <row r="341" spans="3:6" x14ac:dyDescent="0.3">
      <c r="C341" s="8" t="str">
        <f t="shared" si="17"/>
        <v/>
      </c>
      <c r="F341" s="8" t="str">
        <f t="shared" si="18"/>
        <v/>
      </c>
    </row>
    <row r="342" spans="3:6" x14ac:dyDescent="0.3">
      <c r="C342" s="8" t="str">
        <f t="shared" si="17"/>
        <v/>
      </c>
      <c r="F342" s="8" t="str">
        <f t="shared" si="18"/>
        <v/>
      </c>
    </row>
    <row r="343" spans="3:6" x14ac:dyDescent="0.3">
      <c r="C343" s="8" t="str">
        <f t="shared" si="17"/>
        <v/>
      </c>
      <c r="F343" s="8" t="str">
        <f t="shared" si="18"/>
        <v/>
      </c>
    </row>
    <row r="344" spans="3:6" x14ac:dyDescent="0.3">
      <c r="C344" s="8" t="str">
        <f t="shared" si="17"/>
        <v/>
      </c>
      <c r="F344" s="8" t="str">
        <f t="shared" si="18"/>
        <v/>
      </c>
    </row>
    <row r="345" spans="3:6" x14ac:dyDescent="0.3">
      <c r="C345" s="8" t="str">
        <f t="shared" si="17"/>
        <v/>
      </c>
      <c r="F345" s="8" t="str">
        <f t="shared" si="18"/>
        <v/>
      </c>
    </row>
    <row r="346" spans="3:6" x14ac:dyDescent="0.3">
      <c r="C346" s="8" t="str">
        <f t="shared" si="17"/>
        <v/>
      </c>
      <c r="F346" s="8" t="str">
        <f t="shared" si="18"/>
        <v/>
      </c>
    </row>
    <row r="347" spans="3:6" x14ac:dyDescent="0.3">
      <c r="C347" s="8" t="str">
        <f t="shared" si="17"/>
        <v/>
      </c>
      <c r="F347" s="8" t="str">
        <f t="shared" si="18"/>
        <v/>
      </c>
    </row>
    <row r="348" spans="3:6" x14ac:dyDescent="0.3">
      <c r="C348" s="8" t="str">
        <f t="shared" si="17"/>
        <v/>
      </c>
      <c r="F348" s="8" t="str">
        <f t="shared" si="18"/>
        <v/>
      </c>
    </row>
    <row r="349" spans="3:6" x14ac:dyDescent="0.3">
      <c r="C349" s="8" t="str">
        <f t="shared" si="17"/>
        <v/>
      </c>
      <c r="F349" s="8" t="str">
        <f t="shared" si="18"/>
        <v/>
      </c>
    </row>
    <row r="350" spans="3:6" x14ac:dyDescent="0.3">
      <c r="C350" s="8" t="str">
        <f t="shared" si="17"/>
        <v/>
      </c>
      <c r="F350" s="8" t="str">
        <f t="shared" si="18"/>
        <v/>
      </c>
    </row>
    <row r="351" spans="3:6" x14ac:dyDescent="0.3">
      <c r="C351" s="8" t="str">
        <f t="shared" si="17"/>
        <v/>
      </c>
      <c r="F351" s="8" t="str">
        <f t="shared" si="18"/>
        <v/>
      </c>
    </row>
    <row r="352" spans="3:6" x14ac:dyDescent="0.3">
      <c r="C352" s="8" t="str">
        <f t="shared" si="17"/>
        <v/>
      </c>
      <c r="F352" s="8" t="str">
        <f t="shared" si="18"/>
        <v/>
      </c>
    </row>
    <row r="353" spans="3:6" x14ac:dyDescent="0.3">
      <c r="C353" s="8" t="str">
        <f t="shared" si="17"/>
        <v/>
      </c>
      <c r="F353" s="8" t="str">
        <f t="shared" si="18"/>
        <v/>
      </c>
    </row>
    <row r="354" spans="3:6" x14ac:dyDescent="0.3">
      <c r="C354" s="8" t="str">
        <f t="shared" si="17"/>
        <v/>
      </c>
      <c r="F354" s="8" t="str">
        <f t="shared" si="18"/>
        <v/>
      </c>
    </row>
    <row r="355" spans="3:6" x14ac:dyDescent="0.3">
      <c r="C355" s="8" t="str">
        <f t="shared" si="17"/>
        <v/>
      </c>
      <c r="F355" s="8" t="str">
        <f t="shared" si="18"/>
        <v/>
      </c>
    </row>
    <row r="356" spans="3:6" x14ac:dyDescent="0.3">
      <c r="C356" s="8" t="str">
        <f t="shared" si="17"/>
        <v/>
      </c>
      <c r="F356" s="8" t="str">
        <f t="shared" si="18"/>
        <v/>
      </c>
    </row>
    <row r="357" spans="3:6" x14ac:dyDescent="0.3">
      <c r="C357" s="8" t="str">
        <f t="shared" si="17"/>
        <v/>
      </c>
      <c r="F357" s="8" t="str">
        <f t="shared" si="18"/>
        <v/>
      </c>
    </row>
    <row r="358" spans="3:6" x14ac:dyDescent="0.3">
      <c r="C358" s="8" t="str">
        <f t="shared" si="17"/>
        <v/>
      </c>
      <c r="F358" s="8" t="str">
        <f t="shared" si="18"/>
        <v/>
      </c>
    </row>
    <row r="359" spans="3:6" x14ac:dyDescent="0.3">
      <c r="C359" s="8" t="str">
        <f t="shared" si="17"/>
        <v/>
      </c>
      <c r="F359" s="8" t="str">
        <f t="shared" si="18"/>
        <v/>
      </c>
    </row>
    <row r="360" spans="3:6" x14ac:dyDescent="0.3">
      <c r="C360" s="8" t="str">
        <f t="shared" si="17"/>
        <v/>
      </c>
      <c r="F360" s="8" t="str">
        <f t="shared" si="18"/>
        <v/>
      </c>
    </row>
    <row r="361" spans="3:6" x14ac:dyDescent="0.3">
      <c r="C361" s="8" t="str">
        <f t="shared" si="17"/>
        <v/>
      </c>
      <c r="F361" s="8" t="str">
        <f t="shared" si="18"/>
        <v/>
      </c>
    </row>
    <row r="362" spans="3:6" x14ac:dyDescent="0.3">
      <c r="C362" s="8" t="str">
        <f t="shared" si="17"/>
        <v/>
      </c>
      <c r="F362" s="8" t="str">
        <f t="shared" si="18"/>
        <v/>
      </c>
    </row>
    <row r="363" spans="3:6" x14ac:dyDescent="0.3">
      <c r="C363" s="8" t="str">
        <f t="shared" si="17"/>
        <v/>
      </c>
      <c r="F363" s="8" t="str">
        <f t="shared" si="18"/>
        <v/>
      </c>
    </row>
    <row r="364" spans="3:6" x14ac:dyDescent="0.3">
      <c r="C364" s="8" t="str">
        <f t="shared" si="17"/>
        <v/>
      </c>
      <c r="F364" s="8" t="str">
        <f t="shared" si="18"/>
        <v/>
      </c>
    </row>
    <row r="365" spans="3:6" x14ac:dyDescent="0.3">
      <c r="C365" s="8" t="str">
        <f t="shared" si="17"/>
        <v/>
      </c>
      <c r="F365" s="8" t="str">
        <f t="shared" si="18"/>
        <v/>
      </c>
    </row>
    <row r="366" spans="3:6" x14ac:dyDescent="0.3">
      <c r="C366" s="8" t="str">
        <f t="shared" si="17"/>
        <v/>
      </c>
      <c r="F366" s="8" t="str">
        <f t="shared" si="18"/>
        <v/>
      </c>
    </row>
    <row r="367" spans="3:6" x14ac:dyDescent="0.3">
      <c r="C367" s="8" t="str">
        <f t="shared" si="17"/>
        <v/>
      </c>
      <c r="F367" s="8" t="str">
        <f t="shared" si="18"/>
        <v/>
      </c>
    </row>
    <row r="368" spans="3:6" x14ac:dyDescent="0.3">
      <c r="C368" s="8" t="str">
        <f t="shared" si="17"/>
        <v/>
      </c>
      <c r="F368" s="8" t="str">
        <f t="shared" si="18"/>
        <v/>
      </c>
    </row>
    <row r="369" spans="3:6" x14ac:dyDescent="0.3">
      <c r="C369" s="8" t="str">
        <f t="shared" si="17"/>
        <v/>
      </c>
      <c r="F369" s="8" t="str">
        <f t="shared" si="18"/>
        <v/>
      </c>
    </row>
    <row r="370" spans="3:6" x14ac:dyDescent="0.3">
      <c r="C370" s="8" t="str">
        <f t="shared" si="17"/>
        <v/>
      </c>
      <c r="F370" s="8" t="str">
        <f t="shared" si="18"/>
        <v/>
      </c>
    </row>
    <row r="371" spans="3:6" x14ac:dyDescent="0.3">
      <c r="C371" s="8" t="str">
        <f t="shared" si="17"/>
        <v/>
      </c>
      <c r="F371" s="8" t="str">
        <f t="shared" si="18"/>
        <v/>
      </c>
    </row>
    <row r="372" spans="3:6" x14ac:dyDescent="0.3">
      <c r="C372" s="8" t="str">
        <f t="shared" si="17"/>
        <v/>
      </c>
      <c r="F372" s="8" t="str">
        <f t="shared" si="18"/>
        <v/>
      </c>
    </row>
    <row r="373" spans="3:6" x14ac:dyDescent="0.3">
      <c r="C373" s="8" t="str">
        <f t="shared" si="17"/>
        <v/>
      </c>
      <c r="F373" s="8" t="str">
        <f t="shared" si="18"/>
        <v/>
      </c>
    </row>
    <row r="374" spans="3:6" x14ac:dyDescent="0.3">
      <c r="C374" s="8" t="str">
        <f t="shared" si="17"/>
        <v/>
      </c>
      <c r="F374" s="8" t="str">
        <f t="shared" si="18"/>
        <v/>
      </c>
    </row>
    <row r="375" spans="3:6" x14ac:dyDescent="0.3">
      <c r="C375" s="8" t="str">
        <f t="shared" si="17"/>
        <v/>
      </c>
      <c r="F375" s="8" t="str">
        <f t="shared" si="18"/>
        <v/>
      </c>
    </row>
    <row r="376" spans="3:6" x14ac:dyDescent="0.3">
      <c r="C376" s="8" t="str">
        <f t="shared" si="17"/>
        <v/>
      </c>
      <c r="F376" s="8" t="str">
        <f t="shared" si="18"/>
        <v/>
      </c>
    </row>
    <row r="377" spans="3:6" x14ac:dyDescent="0.3">
      <c r="C377" s="8" t="str">
        <f t="shared" si="17"/>
        <v/>
      </c>
      <c r="F377" s="8" t="str">
        <f t="shared" si="18"/>
        <v/>
      </c>
    </row>
    <row r="378" spans="3:6" x14ac:dyDescent="0.3">
      <c r="C378" s="8" t="str">
        <f t="shared" si="17"/>
        <v/>
      </c>
      <c r="F378" s="8" t="str">
        <f t="shared" si="18"/>
        <v/>
      </c>
    </row>
    <row r="379" spans="3:6" x14ac:dyDescent="0.3">
      <c r="C379" s="8" t="str">
        <f t="shared" si="17"/>
        <v/>
      </c>
      <c r="F379" s="8" t="str">
        <f t="shared" si="18"/>
        <v/>
      </c>
    </row>
    <row r="380" spans="3:6" x14ac:dyDescent="0.3">
      <c r="C380" s="8" t="str">
        <f t="shared" si="17"/>
        <v/>
      </c>
      <c r="F380" s="8" t="str">
        <f t="shared" si="18"/>
        <v/>
      </c>
    </row>
    <row r="381" spans="3:6" x14ac:dyDescent="0.3">
      <c r="C381" s="8" t="str">
        <f t="shared" si="17"/>
        <v/>
      </c>
      <c r="F381" s="8" t="str">
        <f t="shared" si="18"/>
        <v/>
      </c>
    </row>
    <row r="382" spans="3:6" x14ac:dyDescent="0.3">
      <c r="C382" s="8" t="str">
        <f t="shared" si="17"/>
        <v/>
      </c>
      <c r="F382" s="8" t="str">
        <f t="shared" si="18"/>
        <v/>
      </c>
    </row>
    <row r="383" spans="3:6" x14ac:dyDescent="0.3">
      <c r="C383" s="8" t="str">
        <f t="shared" si="17"/>
        <v/>
      </c>
      <c r="F383" s="8" t="str">
        <f t="shared" si="18"/>
        <v/>
      </c>
    </row>
    <row r="384" spans="3:6" x14ac:dyDescent="0.3">
      <c r="C384" s="8" t="str">
        <f t="shared" si="17"/>
        <v/>
      </c>
      <c r="F384" s="8" t="str">
        <f t="shared" si="18"/>
        <v/>
      </c>
    </row>
    <row r="385" spans="3:6" x14ac:dyDescent="0.3">
      <c r="C385" s="8" t="str">
        <f t="shared" si="17"/>
        <v/>
      </c>
      <c r="F385" s="8" t="str">
        <f t="shared" si="18"/>
        <v/>
      </c>
    </row>
    <row r="386" spans="3:6" x14ac:dyDescent="0.3">
      <c r="C386" s="8" t="str">
        <f t="shared" si="17"/>
        <v/>
      </c>
      <c r="F386" s="8" t="str">
        <f t="shared" si="18"/>
        <v/>
      </c>
    </row>
    <row r="387" spans="3:6" x14ac:dyDescent="0.3">
      <c r="C387" s="8" t="str">
        <f t="shared" si="17"/>
        <v/>
      </c>
      <c r="F387" s="8" t="str">
        <f t="shared" si="18"/>
        <v/>
      </c>
    </row>
    <row r="388" spans="3:6" x14ac:dyDescent="0.3">
      <c r="C388" s="8" t="str">
        <f t="shared" si="17"/>
        <v/>
      </c>
      <c r="F388" s="8" t="str">
        <f t="shared" si="18"/>
        <v/>
      </c>
    </row>
    <row r="389" spans="3:6" x14ac:dyDescent="0.3">
      <c r="C389" s="8" t="str">
        <f t="shared" si="17"/>
        <v/>
      </c>
      <c r="F389" s="8" t="str">
        <f t="shared" si="18"/>
        <v/>
      </c>
    </row>
    <row r="390" spans="3:6" x14ac:dyDescent="0.3">
      <c r="C390" s="8" t="str">
        <f t="shared" si="17"/>
        <v/>
      </c>
      <c r="F390" s="8" t="str">
        <f t="shared" si="18"/>
        <v/>
      </c>
    </row>
    <row r="391" spans="3:6" x14ac:dyDescent="0.3">
      <c r="C391" s="8" t="str">
        <f t="shared" si="17"/>
        <v/>
      </c>
      <c r="F391" s="8" t="str">
        <f t="shared" si="18"/>
        <v/>
      </c>
    </row>
    <row r="392" spans="3:6" x14ac:dyDescent="0.3">
      <c r="C392" s="8" t="str">
        <f t="shared" si="17"/>
        <v/>
      </c>
      <c r="F392" s="8" t="str">
        <f t="shared" si="18"/>
        <v/>
      </c>
    </row>
    <row r="393" spans="3:6" x14ac:dyDescent="0.3">
      <c r="C393" s="8" t="str">
        <f t="shared" si="17"/>
        <v/>
      </c>
      <c r="F393" s="8" t="str">
        <f t="shared" si="18"/>
        <v/>
      </c>
    </row>
    <row r="394" spans="3:6" x14ac:dyDescent="0.3">
      <c r="C394" s="8" t="str">
        <f t="shared" si="17"/>
        <v/>
      </c>
      <c r="F394" s="8" t="str">
        <f t="shared" si="18"/>
        <v/>
      </c>
    </row>
    <row r="395" spans="3:6" x14ac:dyDescent="0.3">
      <c r="C395" s="8" t="str">
        <f t="shared" si="17"/>
        <v/>
      </c>
      <c r="F395" s="8" t="str">
        <f t="shared" si="18"/>
        <v/>
      </c>
    </row>
    <row r="396" spans="3:6" x14ac:dyDescent="0.3">
      <c r="C396" s="8" t="str">
        <f t="shared" ref="C396:C459" si="19">IF(B396="PBHAv1.0","PCB"&amp;TEXT(A396,"yyyymmdd")&amp;"-01",IF(B396="SBCT","SBCT"&amp;TEXT(A396,"yyyymmdd"),IF(B396="SCRA","SCRA"&amp;TEXT(A396,"yyyymmdd"),"")))</f>
        <v/>
      </c>
      <c r="F396" s="8" t="str">
        <f t="shared" ref="F396:F459" si="20">IF(ISBLANK(B396),"",IF(B396="PBHAv1.0",IF(OR(ISBLANK(D396),ISBLANK(E396)),"",IF(AND(D396&gt;=360,D396&lt;=460,E396&lt;=0.4),"적합","부적합")),IF(ISBLANK(D396),"",IF(B396="SBCT",IF(AND(D396&gt;=170,D396&lt;=220),"적합","부적합"),IF(B396="SCRA",IF(AND(D396&gt;=50,D396&lt;=70),"적합","부적합"),"")))))</f>
        <v/>
      </c>
    </row>
    <row r="397" spans="3:6" x14ac:dyDescent="0.3">
      <c r="C397" s="8" t="str">
        <f t="shared" si="19"/>
        <v/>
      </c>
      <c r="F397" s="8" t="str">
        <f t="shared" si="20"/>
        <v/>
      </c>
    </row>
    <row r="398" spans="3:6" x14ac:dyDescent="0.3">
      <c r="C398" s="8" t="str">
        <f t="shared" si="19"/>
        <v/>
      </c>
      <c r="F398" s="8" t="str">
        <f t="shared" si="20"/>
        <v/>
      </c>
    </row>
    <row r="399" spans="3:6" x14ac:dyDescent="0.3">
      <c r="C399" s="8" t="str">
        <f t="shared" si="19"/>
        <v/>
      </c>
      <c r="F399" s="8" t="str">
        <f t="shared" si="20"/>
        <v/>
      </c>
    </row>
    <row r="400" spans="3:6" x14ac:dyDescent="0.3">
      <c r="C400" s="8" t="str">
        <f t="shared" si="19"/>
        <v/>
      </c>
      <c r="F400" s="8" t="str">
        <f t="shared" si="20"/>
        <v/>
      </c>
    </row>
    <row r="401" spans="3:6" x14ac:dyDescent="0.3">
      <c r="C401" s="8" t="str">
        <f t="shared" si="19"/>
        <v/>
      </c>
      <c r="F401" s="8" t="str">
        <f t="shared" si="20"/>
        <v/>
      </c>
    </row>
    <row r="402" spans="3:6" x14ac:dyDescent="0.3">
      <c r="C402" s="8" t="str">
        <f t="shared" si="19"/>
        <v/>
      </c>
      <c r="F402" s="8" t="str">
        <f t="shared" si="20"/>
        <v/>
      </c>
    </row>
    <row r="403" spans="3:6" x14ac:dyDescent="0.3">
      <c r="C403" s="8" t="str">
        <f t="shared" si="19"/>
        <v/>
      </c>
      <c r="F403" s="8" t="str">
        <f t="shared" si="20"/>
        <v/>
      </c>
    </row>
    <row r="404" spans="3:6" x14ac:dyDescent="0.3">
      <c r="C404" s="8" t="str">
        <f t="shared" si="19"/>
        <v/>
      </c>
      <c r="F404" s="8" t="str">
        <f t="shared" si="20"/>
        <v/>
      </c>
    </row>
    <row r="405" spans="3:6" x14ac:dyDescent="0.3">
      <c r="C405" s="8" t="str">
        <f t="shared" si="19"/>
        <v/>
      </c>
      <c r="F405" s="8" t="str">
        <f t="shared" si="20"/>
        <v/>
      </c>
    </row>
    <row r="406" spans="3:6" x14ac:dyDescent="0.3">
      <c r="C406" s="8" t="str">
        <f t="shared" si="19"/>
        <v/>
      </c>
      <c r="F406" s="8" t="str">
        <f t="shared" si="20"/>
        <v/>
      </c>
    </row>
    <row r="407" spans="3:6" x14ac:dyDescent="0.3">
      <c r="C407" s="8" t="str">
        <f t="shared" si="19"/>
        <v/>
      </c>
      <c r="F407" s="8" t="str">
        <f t="shared" si="20"/>
        <v/>
      </c>
    </row>
    <row r="408" spans="3:6" x14ac:dyDescent="0.3">
      <c r="C408" s="8" t="str">
        <f t="shared" si="19"/>
        <v/>
      </c>
      <c r="F408" s="8" t="str">
        <f t="shared" si="20"/>
        <v/>
      </c>
    </row>
    <row r="409" spans="3:6" x14ac:dyDescent="0.3">
      <c r="C409" s="8" t="str">
        <f t="shared" si="19"/>
        <v/>
      </c>
      <c r="F409" s="8" t="str">
        <f t="shared" si="20"/>
        <v/>
      </c>
    </row>
    <row r="410" spans="3:6" x14ac:dyDescent="0.3">
      <c r="C410" s="8" t="str">
        <f t="shared" si="19"/>
        <v/>
      </c>
      <c r="F410" s="8" t="str">
        <f t="shared" si="20"/>
        <v/>
      </c>
    </row>
    <row r="411" spans="3:6" x14ac:dyDescent="0.3">
      <c r="C411" s="8" t="str">
        <f t="shared" si="19"/>
        <v/>
      </c>
      <c r="F411" s="8" t="str">
        <f t="shared" si="20"/>
        <v/>
      </c>
    </row>
    <row r="412" spans="3:6" x14ac:dyDescent="0.3">
      <c r="C412" s="8" t="str">
        <f t="shared" si="19"/>
        <v/>
      </c>
      <c r="F412" s="8" t="str">
        <f t="shared" si="20"/>
        <v/>
      </c>
    </row>
    <row r="413" spans="3:6" x14ac:dyDescent="0.3">
      <c r="C413" s="8" t="str">
        <f t="shared" si="19"/>
        <v/>
      </c>
      <c r="F413" s="8" t="str">
        <f t="shared" si="20"/>
        <v/>
      </c>
    </row>
    <row r="414" spans="3:6" x14ac:dyDescent="0.3">
      <c r="C414" s="8" t="str">
        <f t="shared" si="19"/>
        <v/>
      </c>
      <c r="F414" s="8" t="str">
        <f t="shared" si="20"/>
        <v/>
      </c>
    </row>
    <row r="415" spans="3:6" x14ac:dyDescent="0.3">
      <c r="C415" s="8" t="str">
        <f t="shared" si="19"/>
        <v/>
      </c>
      <c r="F415" s="8" t="str">
        <f t="shared" si="20"/>
        <v/>
      </c>
    </row>
    <row r="416" spans="3:6" x14ac:dyDescent="0.3">
      <c r="C416" s="8" t="str">
        <f t="shared" si="19"/>
        <v/>
      </c>
      <c r="F416" s="8" t="str">
        <f t="shared" si="20"/>
        <v/>
      </c>
    </row>
    <row r="417" spans="3:6" x14ac:dyDescent="0.3">
      <c r="C417" s="8" t="str">
        <f t="shared" si="19"/>
        <v/>
      </c>
      <c r="F417" s="8" t="str">
        <f t="shared" si="20"/>
        <v/>
      </c>
    </row>
    <row r="418" spans="3:6" x14ac:dyDescent="0.3">
      <c r="C418" s="8" t="str">
        <f t="shared" si="19"/>
        <v/>
      </c>
      <c r="F418" s="8" t="str">
        <f t="shared" si="20"/>
        <v/>
      </c>
    </row>
    <row r="419" spans="3:6" x14ac:dyDescent="0.3">
      <c r="C419" s="8" t="str">
        <f t="shared" si="19"/>
        <v/>
      </c>
      <c r="F419" s="8" t="str">
        <f t="shared" si="20"/>
        <v/>
      </c>
    </row>
    <row r="420" spans="3:6" x14ac:dyDescent="0.3">
      <c r="C420" s="8" t="str">
        <f t="shared" si="19"/>
        <v/>
      </c>
      <c r="F420" s="8" t="str">
        <f t="shared" si="20"/>
        <v/>
      </c>
    </row>
    <row r="421" spans="3:6" x14ac:dyDescent="0.3">
      <c r="C421" s="8" t="str">
        <f t="shared" si="19"/>
        <v/>
      </c>
      <c r="F421" s="8" t="str">
        <f t="shared" si="20"/>
        <v/>
      </c>
    </row>
    <row r="422" spans="3:6" x14ac:dyDescent="0.3">
      <c r="C422" s="8" t="str">
        <f t="shared" si="19"/>
        <v/>
      </c>
      <c r="F422" s="8" t="str">
        <f t="shared" si="20"/>
        <v/>
      </c>
    </row>
    <row r="423" spans="3:6" x14ac:dyDescent="0.3">
      <c r="C423" s="8" t="str">
        <f t="shared" si="19"/>
        <v/>
      </c>
      <c r="F423" s="8" t="str">
        <f t="shared" si="20"/>
        <v/>
      </c>
    </row>
    <row r="424" spans="3:6" x14ac:dyDescent="0.3">
      <c r="C424" s="8" t="str">
        <f t="shared" si="19"/>
        <v/>
      </c>
      <c r="F424" s="8" t="str">
        <f t="shared" si="20"/>
        <v/>
      </c>
    </row>
    <row r="425" spans="3:6" x14ac:dyDescent="0.3">
      <c r="C425" s="8" t="str">
        <f t="shared" si="19"/>
        <v/>
      </c>
      <c r="F425" s="8" t="str">
        <f t="shared" si="20"/>
        <v/>
      </c>
    </row>
    <row r="426" spans="3:6" x14ac:dyDescent="0.3">
      <c r="C426" s="8" t="str">
        <f t="shared" si="19"/>
        <v/>
      </c>
      <c r="F426" s="8" t="str">
        <f t="shared" si="20"/>
        <v/>
      </c>
    </row>
    <row r="427" spans="3:6" x14ac:dyDescent="0.3">
      <c r="C427" s="8" t="str">
        <f t="shared" si="19"/>
        <v/>
      </c>
      <c r="F427" s="8" t="str">
        <f t="shared" si="20"/>
        <v/>
      </c>
    </row>
    <row r="428" spans="3:6" x14ac:dyDescent="0.3">
      <c r="C428" s="8" t="str">
        <f t="shared" si="19"/>
        <v/>
      </c>
      <c r="F428" s="8" t="str">
        <f t="shared" si="20"/>
        <v/>
      </c>
    </row>
    <row r="429" spans="3:6" x14ac:dyDescent="0.3">
      <c r="C429" s="8" t="str">
        <f t="shared" si="19"/>
        <v/>
      </c>
      <c r="F429" s="8" t="str">
        <f t="shared" si="20"/>
        <v/>
      </c>
    </row>
    <row r="430" spans="3:6" x14ac:dyDescent="0.3">
      <c r="C430" s="8" t="str">
        <f t="shared" si="19"/>
        <v/>
      </c>
      <c r="F430" s="8" t="str">
        <f t="shared" si="20"/>
        <v/>
      </c>
    </row>
    <row r="431" spans="3:6" x14ac:dyDescent="0.3">
      <c r="C431" s="8" t="str">
        <f t="shared" si="19"/>
        <v/>
      </c>
      <c r="F431" s="8" t="str">
        <f t="shared" si="20"/>
        <v/>
      </c>
    </row>
    <row r="432" spans="3:6" x14ac:dyDescent="0.3">
      <c r="C432" s="8" t="str">
        <f t="shared" si="19"/>
        <v/>
      </c>
      <c r="F432" s="8" t="str">
        <f t="shared" si="20"/>
        <v/>
      </c>
    </row>
    <row r="433" spans="3:6" x14ac:dyDescent="0.3">
      <c r="C433" s="8" t="str">
        <f t="shared" si="19"/>
        <v/>
      </c>
      <c r="F433" s="8" t="str">
        <f t="shared" si="20"/>
        <v/>
      </c>
    </row>
    <row r="434" spans="3:6" x14ac:dyDescent="0.3">
      <c r="C434" s="8" t="str">
        <f t="shared" si="19"/>
        <v/>
      </c>
      <c r="F434" s="8" t="str">
        <f t="shared" si="20"/>
        <v/>
      </c>
    </row>
    <row r="435" spans="3:6" x14ac:dyDescent="0.3">
      <c r="C435" s="8" t="str">
        <f t="shared" si="19"/>
        <v/>
      </c>
      <c r="F435" s="8" t="str">
        <f t="shared" si="20"/>
        <v/>
      </c>
    </row>
    <row r="436" spans="3:6" x14ac:dyDescent="0.3">
      <c r="C436" s="8" t="str">
        <f t="shared" si="19"/>
        <v/>
      </c>
      <c r="F436" s="8" t="str">
        <f t="shared" si="20"/>
        <v/>
      </c>
    </row>
    <row r="437" spans="3:6" x14ac:dyDescent="0.3">
      <c r="C437" s="8" t="str">
        <f t="shared" si="19"/>
        <v/>
      </c>
      <c r="F437" s="8" t="str">
        <f t="shared" si="20"/>
        <v/>
      </c>
    </row>
    <row r="438" spans="3:6" x14ac:dyDescent="0.3">
      <c r="C438" s="8" t="str">
        <f t="shared" si="19"/>
        <v/>
      </c>
      <c r="F438" s="8" t="str">
        <f t="shared" si="20"/>
        <v/>
      </c>
    </row>
    <row r="439" spans="3:6" x14ac:dyDescent="0.3">
      <c r="C439" s="8" t="str">
        <f t="shared" si="19"/>
        <v/>
      </c>
      <c r="F439" s="8" t="str">
        <f t="shared" si="20"/>
        <v/>
      </c>
    </row>
    <row r="440" spans="3:6" x14ac:dyDescent="0.3">
      <c r="C440" s="8" t="str">
        <f t="shared" si="19"/>
        <v/>
      </c>
      <c r="F440" s="8" t="str">
        <f t="shared" si="20"/>
        <v/>
      </c>
    </row>
    <row r="441" spans="3:6" x14ac:dyDescent="0.3">
      <c r="C441" s="8" t="str">
        <f t="shared" si="19"/>
        <v/>
      </c>
      <c r="F441" s="8" t="str">
        <f t="shared" si="20"/>
        <v/>
      </c>
    </row>
    <row r="442" spans="3:6" x14ac:dyDescent="0.3">
      <c r="C442" s="8" t="str">
        <f t="shared" si="19"/>
        <v/>
      </c>
      <c r="F442" s="8" t="str">
        <f t="shared" si="20"/>
        <v/>
      </c>
    </row>
    <row r="443" spans="3:6" x14ac:dyDescent="0.3">
      <c r="C443" s="8" t="str">
        <f t="shared" si="19"/>
        <v/>
      </c>
      <c r="F443" s="8" t="str">
        <f t="shared" si="20"/>
        <v/>
      </c>
    </row>
    <row r="444" spans="3:6" x14ac:dyDescent="0.3">
      <c r="C444" s="8" t="str">
        <f t="shared" si="19"/>
        <v/>
      </c>
      <c r="F444" s="8" t="str">
        <f t="shared" si="20"/>
        <v/>
      </c>
    </row>
    <row r="445" spans="3:6" x14ac:dyDescent="0.3">
      <c r="C445" s="8" t="str">
        <f t="shared" si="19"/>
        <v/>
      </c>
      <c r="F445" s="8" t="str">
        <f t="shared" si="20"/>
        <v/>
      </c>
    </row>
    <row r="446" spans="3:6" x14ac:dyDescent="0.3">
      <c r="C446" s="8" t="str">
        <f t="shared" si="19"/>
        <v/>
      </c>
      <c r="F446" s="8" t="str">
        <f t="shared" si="20"/>
        <v/>
      </c>
    </row>
    <row r="447" spans="3:6" x14ac:dyDescent="0.3">
      <c r="C447" s="8" t="str">
        <f t="shared" si="19"/>
        <v/>
      </c>
      <c r="F447" s="8" t="str">
        <f t="shared" si="20"/>
        <v/>
      </c>
    </row>
    <row r="448" spans="3:6" x14ac:dyDescent="0.3">
      <c r="C448" s="8" t="str">
        <f t="shared" si="19"/>
        <v/>
      </c>
      <c r="F448" s="8" t="str">
        <f t="shared" si="20"/>
        <v/>
      </c>
    </row>
    <row r="449" spans="3:6" x14ac:dyDescent="0.3">
      <c r="C449" s="8" t="str">
        <f t="shared" si="19"/>
        <v/>
      </c>
      <c r="F449" s="8" t="str">
        <f t="shared" si="20"/>
        <v/>
      </c>
    </row>
    <row r="450" spans="3:6" x14ac:dyDescent="0.3">
      <c r="C450" s="8" t="str">
        <f t="shared" si="19"/>
        <v/>
      </c>
      <c r="F450" s="8" t="str">
        <f t="shared" si="20"/>
        <v/>
      </c>
    </row>
    <row r="451" spans="3:6" x14ac:dyDescent="0.3">
      <c r="C451" s="8" t="str">
        <f t="shared" si="19"/>
        <v/>
      </c>
      <c r="F451" s="8" t="str">
        <f t="shared" si="20"/>
        <v/>
      </c>
    </row>
    <row r="452" spans="3:6" x14ac:dyDescent="0.3">
      <c r="C452" s="8" t="str">
        <f t="shared" si="19"/>
        <v/>
      </c>
      <c r="F452" s="8" t="str">
        <f t="shared" si="20"/>
        <v/>
      </c>
    </row>
    <row r="453" spans="3:6" x14ac:dyDescent="0.3">
      <c r="C453" s="8" t="str">
        <f t="shared" si="19"/>
        <v/>
      </c>
      <c r="F453" s="8" t="str">
        <f t="shared" si="20"/>
        <v/>
      </c>
    </row>
    <row r="454" spans="3:6" x14ac:dyDescent="0.3">
      <c r="C454" s="8" t="str">
        <f t="shared" si="19"/>
        <v/>
      </c>
      <c r="F454" s="8" t="str">
        <f t="shared" si="20"/>
        <v/>
      </c>
    </row>
    <row r="455" spans="3:6" x14ac:dyDescent="0.3">
      <c r="C455" s="8" t="str">
        <f t="shared" si="19"/>
        <v/>
      </c>
      <c r="F455" s="8" t="str">
        <f t="shared" si="20"/>
        <v/>
      </c>
    </row>
    <row r="456" spans="3:6" x14ac:dyDescent="0.3">
      <c r="C456" s="8" t="str">
        <f t="shared" si="19"/>
        <v/>
      </c>
      <c r="F456" s="8" t="str">
        <f t="shared" si="20"/>
        <v/>
      </c>
    </row>
    <row r="457" spans="3:6" x14ac:dyDescent="0.3">
      <c r="C457" s="8" t="str">
        <f t="shared" si="19"/>
        <v/>
      </c>
      <c r="F457" s="8" t="str">
        <f t="shared" si="20"/>
        <v/>
      </c>
    </row>
    <row r="458" spans="3:6" x14ac:dyDescent="0.3">
      <c r="C458" s="8" t="str">
        <f t="shared" si="19"/>
        <v/>
      </c>
      <c r="F458" s="8" t="str">
        <f t="shared" si="20"/>
        <v/>
      </c>
    </row>
    <row r="459" spans="3:6" x14ac:dyDescent="0.3">
      <c r="C459" s="8" t="str">
        <f t="shared" si="19"/>
        <v/>
      </c>
      <c r="F459" s="8" t="str">
        <f t="shared" si="20"/>
        <v/>
      </c>
    </row>
    <row r="460" spans="3:6" x14ac:dyDescent="0.3">
      <c r="C460" s="8" t="str">
        <f t="shared" ref="C460:C523" si="21">IF(B460="PBHAv1.0","PCB"&amp;TEXT(A460,"yyyymmdd")&amp;"-01",IF(B460="SBCT","SBCT"&amp;TEXT(A460,"yyyymmdd"),IF(B460="SCRA","SCRA"&amp;TEXT(A460,"yyyymmdd"),"")))</f>
        <v/>
      </c>
      <c r="F460" s="8" t="str">
        <f t="shared" ref="F460:F523" si="22">IF(ISBLANK(B460),"",IF(B460="PBHAv1.0",IF(OR(ISBLANK(D460),ISBLANK(E460)),"",IF(AND(D460&gt;=360,D460&lt;=460,E460&lt;=0.4),"적합","부적합")),IF(ISBLANK(D460),"",IF(B460="SBCT",IF(AND(D460&gt;=170,D460&lt;=220),"적합","부적합"),IF(B460="SCRA",IF(AND(D460&gt;=50,D460&lt;=70),"적합","부적합"),"")))))</f>
        <v/>
      </c>
    </row>
    <row r="461" spans="3:6" x14ac:dyDescent="0.3">
      <c r="C461" s="8" t="str">
        <f t="shared" si="21"/>
        <v/>
      </c>
      <c r="F461" s="8" t="str">
        <f t="shared" si="22"/>
        <v/>
      </c>
    </row>
    <row r="462" spans="3:6" x14ac:dyDescent="0.3">
      <c r="C462" s="8" t="str">
        <f t="shared" si="21"/>
        <v/>
      </c>
      <c r="F462" s="8" t="str">
        <f t="shared" si="22"/>
        <v/>
      </c>
    </row>
    <row r="463" spans="3:6" x14ac:dyDescent="0.3">
      <c r="C463" s="8" t="str">
        <f t="shared" si="21"/>
        <v/>
      </c>
      <c r="F463" s="8" t="str">
        <f t="shared" si="22"/>
        <v/>
      </c>
    </row>
    <row r="464" spans="3:6" x14ac:dyDescent="0.3">
      <c r="C464" s="8" t="str">
        <f t="shared" si="21"/>
        <v/>
      </c>
      <c r="F464" s="8" t="str">
        <f t="shared" si="22"/>
        <v/>
      </c>
    </row>
    <row r="465" spans="3:6" x14ac:dyDescent="0.3">
      <c r="C465" s="8" t="str">
        <f t="shared" si="21"/>
        <v/>
      </c>
      <c r="F465" s="8" t="str">
        <f t="shared" si="22"/>
        <v/>
      </c>
    </row>
    <row r="466" spans="3:6" x14ac:dyDescent="0.3">
      <c r="C466" s="8" t="str">
        <f t="shared" si="21"/>
        <v/>
      </c>
      <c r="F466" s="8" t="str">
        <f t="shared" si="22"/>
        <v/>
      </c>
    </row>
    <row r="467" spans="3:6" x14ac:dyDescent="0.3">
      <c r="C467" s="8" t="str">
        <f t="shared" si="21"/>
        <v/>
      </c>
      <c r="F467" s="8" t="str">
        <f t="shared" si="22"/>
        <v/>
      </c>
    </row>
    <row r="468" spans="3:6" x14ac:dyDescent="0.3">
      <c r="C468" s="8" t="str">
        <f t="shared" si="21"/>
        <v/>
      </c>
      <c r="F468" s="8" t="str">
        <f t="shared" si="22"/>
        <v/>
      </c>
    </row>
    <row r="469" spans="3:6" x14ac:dyDescent="0.3">
      <c r="C469" s="8" t="str">
        <f t="shared" si="21"/>
        <v/>
      </c>
      <c r="F469" s="8" t="str">
        <f t="shared" si="22"/>
        <v/>
      </c>
    </row>
    <row r="470" spans="3:6" x14ac:dyDescent="0.3">
      <c r="C470" s="8" t="str">
        <f t="shared" si="21"/>
        <v/>
      </c>
      <c r="F470" s="8" t="str">
        <f t="shared" si="22"/>
        <v/>
      </c>
    </row>
    <row r="471" spans="3:6" x14ac:dyDescent="0.3">
      <c r="C471" s="8" t="str">
        <f t="shared" si="21"/>
        <v/>
      </c>
      <c r="F471" s="8" t="str">
        <f t="shared" si="22"/>
        <v/>
      </c>
    </row>
    <row r="472" spans="3:6" x14ac:dyDescent="0.3">
      <c r="C472" s="8" t="str">
        <f t="shared" si="21"/>
        <v/>
      </c>
      <c r="F472" s="8" t="str">
        <f t="shared" si="22"/>
        <v/>
      </c>
    </row>
    <row r="473" spans="3:6" x14ac:dyDescent="0.3">
      <c r="C473" s="8" t="str">
        <f t="shared" si="21"/>
        <v/>
      </c>
      <c r="F473" s="8" t="str">
        <f t="shared" si="22"/>
        <v/>
      </c>
    </row>
    <row r="474" spans="3:6" x14ac:dyDescent="0.3">
      <c r="C474" s="8" t="str">
        <f t="shared" si="21"/>
        <v/>
      </c>
      <c r="F474" s="8" t="str">
        <f t="shared" si="22"/>
        <v/>
      </c>
    </row>
    <row r="475" spans="3:6" x14ac:dyDescent="0.3">
      <c r="C475" s="8" t="str">
        <f t="shared" si="21"/>
        <v/>
      </c>
      <c r="F475" s="8" t="str">
        <f t="shared" si="22"/>
        <v/>
      </c>
    </row>
    <row r="476" spans="3:6" x14ac:dyDescent="0.3">
      <c r="C476" s="8" t="str">
        <f t="shared" si="21"/>
        <v/>
      </c>
      <c r="F476" s="8" t="str">
        <f t="shared" si="22"/>
        <v/>
      </c>
    </row>
    <row r="477" spans="3:6" x14ac:dyDescent="0.3">
      <c r="C477" s="8" t="str">
        <f t="shared" si="21"/>
        <v/>
      </c>
      <c r="F477" s="8" t="str">
        <f t="shared" si="22"/>
        <v/>
      </c>
    </row>
    <row r="478" spans="3:6" x14ac:dyDescent="0.3">
      <c r="C478" s="8" t="str">
        <f t="shared" si="21"/>
        <v/>
      </c>
      <c r="F478" s="8" t="str">
        <f t="shared" si="22"/>
        <v/>
      </c>
    </row>
    <row r="479" spans="3:6" x14ac:dyDescent="0.3">
      <c r="C479" s="8" t="str">
        <f t="shared" si="21"/>
        <v/>
      </c>
      <c r="F479" s="8" t="str">
        <f t="shared" si="22"/>
        <v/>
      </c>
    </row>
    <row r="480" spans="3:6" x14ac:dyDescent="0.3">
      <c r="C480" s="8" t="str">
        <f t="shared" si="21"/>
        <v/>
      </c>
      <c r="F480" s="8" t="str">
        <f t="shared" si="22"/>
        <v/>
      </c>
    </row>
    <row r="481" spans="3:6" x14ac:dyDescent="0.3">
      <c r="C481" s="8" t="str">
        <f t="shared" si="21"/>
        <v/>
      </c>
      <c r="F481" s="8" t="str">
        <f t="shared" si="22"/>
        <v/>
      </c>
    </row>
    <row r="482" spans="3:6" x14ac:dyDescent="0.3">
      <c r="C482" s="8" t="str">
        <f t="shared" si="21"/>
        <v/>
      </c>
      <c r="F482" s="8" t="str">
        <f t="shared" si="22"/>
        <v/>
      </c>
    </row>
    <row r="483" spans="3:6" x14ac:dyDescent="0.3">
      <c r="C483" s="8" t="str">
        <f t="shared" si="21"/>
        <v/>
      </c>
      <c r="F483" s="8" t="str">
        <f t="shared" si="22"/>
        <v/>
      </c>
    </row>
    <row r="484" spans="3:6" x14ac:dyDescent="0.3">
      <c r="C484" s="8" t="str">
        <f t="shared" si="21"/>
        <v/>
      </c>
      <c r="F484" s="8" t="str">
        <f t="shared" si="22"/>
        <v/>
      </c>
    </row>
    <row r="485" spans="3:6" x14ac:dyDescent="0.3">
      <c r="C485" s="8" t="str">
        <f t="shared" si="21"/>
        <v/>
      </c>
      <c r="F485" s="8" t="str">
        <f t="shared" si="22"/>
        <v/>
      </c>
    </row>
    <row r="486" spans="3:6" x14ac:dyDescent="0.3">
      <c r="C486" s="8" t="str">
        <f t="shared" si="21"/>
        <v/>
      </c>
      <c r="F486" s="8" t="str">
        <f t="shared" si="22"/>
        <v/>
      </c>
    </row>
    <row r="487" spans="3:6" x14ac:dyDescent="0.3">
      <c r="C487" s="8" t="str">
        <f t="shared" si="21"/>
        <v/>
      </c>
      <c r="F487" s="8" t="str">
        <f t="shared" si="22"/>
        <v/>
      </c>
    </row>
    <row r="488" spans="3:6" x14ac:dyDescent="0.3">
      <c r="C488" s="8" t="str">
        <f t="shared" si="21"/>
        <v/>
      </c>
      <c r="F488" s="8" t="str">
        <f t="shared" si="22"/>
        <v/>
      </c>
    </row>
    <row r="489" spans="3:6" x14ac:dyDescent="0.3">
      <c r="C489" s="8" t="str">
        <f t="shared" si="21"/>
        <v/>
      </c>
      <c r="F489" s="8" t="str">
        <f t="shared" si="22"/>
        <v/>
      </c>
    </row>
    <row r="490" spans="3:6" x14ac:dyDescent="0.3">
      <c r="C490" s="8" t="str">
        <f t="shared" si="21"/>
        <v/>
      </c>
      <c r="F490" s="8" t="str">
        <f t="shared" si="22"/>
        <v/>
      </c>
    </row>
    <row r="491" spans="3:6" x14ac:dyDescent="0.3">
      <c r="C491" s="8" t="str">
        <f t="shared" si="21"/>
        <v/>
      </c>
      <c r="F491" s="8" t="str">
        <f t="shared" si="22"/>
        <v/>
      </c>
    </row>
    <row r="492" spans="3:6" x14ac:dyDescent="0.3">
      <c r="C492" s="8" t="str">
        <f t="shared" si="21"/>
        <v/>
      </c>
      <c r="F492" s="8" t="str">
        <f t="shared" si="22"/>
        <v/>
      </c>
    </row>
    <row r="493" spans="3:6" x14ac:dyDescent="0.3">
      <c r="C493" s="8" t="str">
        <f t="shared" si="21"/>
        <v/>
      </c>
      <c r="F493" s="8" t="str">
        <f t="shared" si="22"/>
        <v/>
      </c>
    </row>
    <row r="494" spans="3:6" x14ac:dyDescent="0.3">
      <c r="C494" s="8" t="str">
        <f t="shared" si="21"/>
        <v/>
      </c>
      <c r="F494" s="8" t="str">
        <f t="shared" si="22"/>
        <v/>
      </c>
    </row>
    <row r="495" spans="3:6" x14ac:dyDescent="0.3">
      <c r="C495" s="8" t="str">
        <f t="shared" si="21"/>
        <v/>
      </c>
      <c r="F495" s="8" t="str">
        <f t="shared" si="22"/>
        <v/>
      </c>
    </row>
    <row r="496" spans="3:6" x14ac:dyDescent="0.3">
      <c r="C496" s="8" t="str">
        <f t="shared" si="21"/>
        <v/>
      </c>
      <c r="F496" s="8" t="str">
        <f t="shared" si="22"/>
        <v/>
      </c>
    </row>
    <row r="497" spans="3:6" x14ac:dyDescent="0.3">
      <c r="C497" s="8" t="str">
        <f t="shared" si="21"/>
        <v/>
      </c>
      <c r="F497" s="8" t="str">
        <f t="shared" si="22"/>
        <v/>
      </c>
    </row>
    <row r="498" spans="3:6" x14ac:dyDescent="0.3">
      <c r="C498" s="8" t="str">
        <f t="shared" si="21"/>
        <v/>
      </c>
      <c r="F498" s="8" t="str">
        <f t="shared" si="22"/>
        <v/>
      </c>
    </row>
    <row r="499" spans="3:6" x14ac:dyDescent="0.3">
      <c r="C499" s="8" t="str">
        <f t="shared" si="21"/>
        <v/>
      </c>
      <c r="F499" s="8" t="str">
        <f t="shared" si="22"/>
        <v/>
      </c>
    </row>
    <row r="500" spans="3:6" x14ac:dyDescent="0.3">
      <c r="C500" s="8" t="str">
        <f t="shared" si="21"/>
        <v/>
      </c>
      <c r="F500" s="8" t="str">
        <f t="shared" si="22"/>
        <v/>
      </c>
    </row>
    <row r="501" spans="3:6" x14ac:dyDescent="0.3">
      <c r="C501" s="8" t="str">
        <f t="shared" si="21"/>
        <v/>
      </c>
      <c r="F501" s="8" t="str">
        <f t="shared" si="22"/>
        <v/>
      </c>
    </row>
    <row r="502" spans="3:6" x14ac:dyDescent="0.3">
      <c r="C502" s="8" t="str">
        <f t="shared" si="21"/>
        <v/>
      </c>
      <c r="F502" s="8" t="str">
        <f t="shared" si="22"/>
        <v/>
      </c>
    </row>
    <row r="503" spans="3:6" x14ac:dyDescent="0.3">
      <c r="C503" s="8" t="str">
        <f t="shared" si="21"/>
        <v/>
      </c>
      <c r="F503" s="8" t="str">
        <f t="shared" si="22"/>
        <v/>
      </c>
    </row>
    <row r="504" spans="3:6" x14ac:dyDescent="0.3">
      <c r="C504" s="8" t="str">
        <f t="shared" si="21"/>
        <v/>
      </c>
      <c r="F504" s="8" t="str">
        <f t="shared" si="22"/>
        <v/>
      </c>
    </row>
    <row r="505" spans="3:6" x14ac:dyDescent="0.3">
      <c r="C505" s="8" t="str">
        <f t="shared" si="21"/>
        <v/>
      </c>
      <c r="F505" s="8" t="str">
        <f t="shared" si="22"/>
        <v/>
      </c>
    </row>
    <row r="506" spans="3:6" x14ac:dyDescent="0.3">
      <c r="C506" s="8" t="str">
        <f t="shared" si="21"/>
        <v/>
      </c>
      <c r="F506" s="8" t="str">
        <f t="shared" si="22"/>
        <v/>
      </c>
    </row>
    <row r="507" spans="3:6" x14ac:dyDescent="0.3">
      <c r="C507" s="8" t="str">
        <f t="shared" si="21"/>
        <v/>
      </c>
      <c r="F507" s="8" t="str">
        <f t="shared" si="22"/>
        <v/>
      </c>
    </row>
    <row r="508" spans="3:6" x14ac:dyDescent="0.3">
      <c r="C508" s="8" t="str">
        <f t="shared" si="21"/>
        <v/>
      </c>
      <c r="F508" s="8" t="str">
        <f t="shared" si="22"/>
        <v/>
      </c>
    </row>
    <row r="509" spans="3:6" x14ac:dyDescent="0.3">
      <c r="C509" s="8" t="str">
        <f t="shared" si="21"/>
        <v/>
      </c>
      <c r="F509" s="8" t="str">
        <f t="shared" si="22"/>
        <v/>
      </c>
    </row>
    <row r="510" spans="3:6" x14ac:dyDescent="0.3">
      <c r="C510" s="8" t="str">
        <f t="shared" si="21"/>
        <v/>
      </c>
      <c r="F510" s="8" t="str">
        <f t="shared" si="22"/>
        <v/>
      </c>
    </row>
    <row r="511" spans="3:6" x14ac:dyDescent="0.3">
      <c r="C511" s="8" t="str">
        <f t="shared" si="21"/>
        <v/>
      </c>
      <c r="F511" s="8" t="str">
        <f t="shared" si="22"/>
        <v/>
      </c>
    </row>
    <row r="512" spans="3:6" x14ac:dyDescent="0.3">
      <c r="C512" s="8" t="str">
        <f t="shared" si="21"/>
        <v/>
      </c>
      <c r="F512" s="8" t="str">
        <f t="shared" si="22"/>
        <v/>
      </c>
    </row>
    <row r="513" spans="3:6" x14ac:dyDescent="0.3">
      <c r="C513" s="8" t="str">
        <f t="shared" si="21"/>
        <v/>
      </c>
      <c r="F513" s="8" t="str">
        <f t="shared" si="22"/>
        <v/>
      </c>
    </row>
    <row r="514" spans="3:6" x14ac:dyDescent="0.3">
      <c r="C514" s="8" t="str">
        <f t="shared" si="21"/>
        <v/>
      </c>
      <c r="F514" s="8" t="str">
        <f t="shared" si="22"/>
        <v/>
      </c>
    </row>
    <row r="515" spans="3:6" x14ac:dyDescent="0.3">
      <c r="C515" s="8" t="str">
        <f t="shared" si="21"/>
        <v/>
      </c>
      <c r="F515" s="8" t="str">
        <f t="shared" si="22"/>
        <v/>
      </c>
    </row>
    <row r="516" spans="3:6" x14ac:dyDescent="0.3">
      <c r="C516" s="8" t="str">
        <f t="shared" si="21"/>
        <v/>
      </c>
      <c r="F516" s="8" t="str">
        <f t="shared" si="22"/>
        <v/>
      </c>
    </row>
    <row r="517" spans="3:6" x14ac:dyDescent="0.3">
      <c r="C517" s="8" t="str">
        <f t="shared" si="21"/>
        <v/>
      </c>
      <c r="F517" s="8" t="str">
        <f t="shared" si="22"/>
        <v/>
      </c>
    </row>
    <row r="518" spans="3:6" x14ac:dyDescent="0.3">
      <c r="C518" s="8" t="str">
        <f t="shared" si="21"/>
        <v/>
      </c>
      <c r="F518" s="8" t="str">
        <f t="shared" si="22"/>
        <v/>
      </c>
    </row>
    <row r="519" spans="3:6" x14ac:dyDescent="0.3">
      <c r="C519" s="8" t="str">
        <f t="shared" si="21"/>
        <v/>
      </c>
      <c r="F519" s="8" t="str">
        <f t="shared" si="22"/>
        <v/>
      </c>
    </row>
    <row r="520" spans="3:6" x14ac:dyDescent="0.3">
      <c r="C520" s="8" t="str">
        <f t="shared" si="21"/>
        <v/>
      </c>
      <c r="F520" s="8" t="str">
        <f t="shared" si="22"/>
        <v/>
      </c>
    </row>
    <row r="521" spans="3:6" x14ac:dyDescent="0.3">
      <c r="C521" s="8" t="str">
        <f t="shared" si="21"/>
        <v/>
      </c>
      <c r="F521" s="8" t="str">
        <f t="shared" si="22"/>
        <v/>
      </c>
    </row>
    <row r="522" spans="3:6" x14ac:dyDescent="0.3">
      <c r="C522" s="8" t="str">
        <f t="shared" si="21"/>
        <v/>
      </c>
      <c r="F522" s="8" t="str">
        <f t="shared" si="22"/>
        <v/>
      </c>
    </row>
    <row r="523" spans="3:6" x14ac:dyDescent="0.3">
      <c r="C523" s="8" t="str">
        <f t="shared" si="21"/>
        <v/>
      </c>
      <c r="F523" s="8" t="str">
        <f t="shared" si="22"/>
        <v/>
      </c>
    </row>
    <row r="524" spans="3:6" x14ac:dyDescent="0.3">
      <c r="C524" s="8" t="str">
        <f t="shared" ref="C524:C587" si="23">IF(B524="PBHAv1.0","PCB"&amp;TEXT(A524,"yyyymmdd")&amp;"-01",IF(B524="SBCT","SBCT"&amp;TEXT(A524,"yyyymmdd"),IF(B524="SCRA","SCRA"&amp;TEXT(A524,"yyyymmdd"),"")))</f>
        <v/>
      </c>
      <c r="F524" s="8" t="str">
        <f t="shared" ref="F524:F587" si="24">IF(ISBLANK(B524),"",IF(B524="PBHAv1.0",IF(OR(ISBLANK(D524),ISBLANK(E524)),"",IF(AND(D524&gt;=360,D524&lt;=460,E524&lt;=0.4),"적합","부적합")),IF(ISBLANK(D524),"",IF(B524="SBCT",IF(AND(D524&gt;=170,D524&lt;=220),"적합","부적합"),IF(B524="SCRA",IF(AND(D524&gt;=50,D524&lt;=70),"적합","부적합"),"")))))</f>
        <v/>
      </c>
    </row>
    <row r="525" spans="3:6" x14ac:dyDescent="0.3">
      <c r="C525" s="8" t="str">
        <f t="shared" si="23"/>
        <v/>
      </c>
      <c r="F525" s="8" t="str">
        <f t="shared" si="24"/>
        <v/>
      </c>
    </row>
    <row r="526" spans="3:6" x14ac:dyDescent="0.3">
      <c r="C526" s="8" t="str">
        <f t="shared" si="23"/>
        <v/>
      </c>
      <c r="F526" s="8" t="str">
        <f t="shared" si="24"/>
        <v/>
      </c>
    </row>
    <row r="527" spans="3:6" x14ac:dyDescent="0.3">
      <c r="C527" s="8" t="str">
        <f t="shared" si="23"/>
        <v/>
      </c>
      <c r="F527" s="8" t="str">
        <f t="shared" si="24"/>
        <v/>
      </c>
    </row>
    <row r="528" spans="3:6" x14ac:dyDescent="0.3">
      <c r="C528" s="8" t="str">
        <f t="shared" si="23"/>
        <v/>
      </c>
      <c r="F528" s="8" t="str">
        <f t="shared" si="24"/>
        <v/>
      </c>
    </row>
    <row r="529" spans="3:6" x14ac:dyDescent="0.3">
      <c r="C529" s="8" t="str">
        <f t="shared" si="23"/>
        <v/>
      </c>
      <c r="F529" s="8" t="str">
        <f t="shared" si="24"/>
        <v/>
      </c>
    </row>
    <row r="530" spans="3:6" x14ac:dyDescent="0.3">
      <c r="C530" s="8" t="str">
        <f t="shared" si="23"/>
        <v/>
      </c>
      <c r="F530" s="8" t="str">
        <f t="shared" si="24"/>
        <v/>
      </c>
    </row>
    <row r="531" spans="3:6" x14ac:dyDescent="0.3">
      <c r="C531" s="8" t="str">
        <f t="shared" si="23"/>
        <v/>
      </c>
      <c r="F531" s="8" t="str">
        <f t="shared" si="24"/>
        <v/>
      </c>
    </row>
    <row r="532" spans="3:6" x14ac:dyDescent="0.3">
      <c r="C532" s="8" t="str">
        <f t="shared" si="23"/>
        <v/>
      </c>
      <c r="F532" s="8" t="str">
        <f t="shared" si="24"/>
        <v/>
      </c>
    </row>
    <row r="533" spans="3:6" x14ac:dyDescent="0.3">
      <c r="C533" s="8" t="str">
        <f t="shared" si="23"/>
        <v/>
      </c>
      <c r="F533" s="8" t="str">
        <f t="shared" si="24"/>
        <v/>
      </c>
    </row>
    <row r="534" spans="3:6" x14ac:dyDescent="0.3">
      <c r="C534" s="8" t="str">
        <f t="shared" si="23"/>
        <v/>
      </c>
      <c r="F534" s="8" t="str">
        <f t="shared" si="24"/>
        <v/>
      </c>
    </row>
    <row r="535" spans="3:6" x14ac:dyDescent="0.3">
      <c r="C535" s="8" t="str">
        <f t="shared" si="23"/>
        <v/>
      </c>
      <c r="F535" s="8" t="str">
        <f t="shared" si="24"/>
        <v/>
      </c>
    </row>
    <row r="536" spans="3:6" x14ac:dyDescent="0.3">
      <c r="C536" s="8" t="str">
        <f t="shared" si="23"/>
        <v/>
      </c>
      <c r="F536" s="8" t="str">
        <f t="shared" si="24"/>
        <v/>
      </c>
    </row>
    <row r="537" spans="3:6" x14ac:dyDescent="0.3">
      <c r="C537" s="8" t="str">
        <f t="shared" si="23"/>
        <v/>
      </c>
      <c r="F537" s="8" t="str">
        <f t="shared" si="24"/>
        <v/>
      </c>
    </row>
    <row r="538" spans="3:6" x14ac:dyDescent="0.3">
      <c r="C538" s="8" t="str">
        <f t="shared" si="23"/>
        <v/>
      </c>
      <c r="F538" s="8" t="str">
        <f t="shared" si="24"/>
        <v/>
      </c>
    </row>
    <row r="539" spans="3:6" x14ac:dyDescent="0.3">
      <c r="C539" s="8" t="str">
        <f t="shared" si="23"/>
        <v/>
      </c>
      <c r="F539" s="8" t="str">
        <f t="shared" si="24"/>
        <v/>
      </c>
    </row>
    <row r="540" spans="3:6" x14ac:dyDescent="0.3">
      <c r="C540" s="8" t="str">
        <f t="shared" si="23"/>
        <v/>
      </c>
      <c r="F540" s="8" t="str">
        <f t="shared" si="24"/>
        <v/>
      </c>
    </row>
    <row r="541" spans="3:6" x14ac:dyDescent="0.3">
      <c r="C541" s="8" t="str">
        <f t="shared" si="23"/>
        <v/>
      </c>
      <c r="F541" s="8" t="str">
        <f t="shared" si="24"/>
        <v/>
      </c>
    </row>
    <row r="542" spans="3:6" x14ac:dyDescent="0.3">
      <c r="C542" s="8" t="str">
        <f t="shared" si="23"/>
        <v/>
      </c>
      <c r="F542" s="8" t="str">
        <f t="shared" si="24"/>
        <v/>
      </c>
    </row>
    <row r="543" spans="3:6" x14ac:dyDescent="0.3">
      <c r="C543" s="8" t="str">
        <f t="shared" si="23"/>
        <v/>
      </c>
      <c r="F543" s="8" t="str">
        <f t="shared" si="24"/>
        <v/>
      </c>
    </row>
    <row r="544" spans="3:6" x14ac:dyDescent="0.3">
      <c r="C544" s="8" t="str">
        <f t="shared" si="23"/>
        <v/>
      </c>
      <c r="F544" s="8" t="str">
        <f t="shared" si="24"/>
        <v/>
      </c>
    </row>
    <row r="545" spans="3:6" x14ac:dyDescent="0.3">
      <c r="C545" s="8" t="str">
        <f t="shared" si="23"/>
        <v/>
      </c>
      <c r="F545" s="8" t="str">
        <f t="shared" si="24"/>
        <v/>
      </c>
    </row>
    <row r="546" spans="3:6" x14ac:dyDescent="0.3">
      <c r="C546" s="8" t="str">
        <f t="shared" si="23"/>
        <v/>
      </c>
      <c r="F546" s="8" t="str">
        <f t="shared" si="24"/>
        <v/>
      </c>
    </row>
    <row r="547" spans="3:6" x14ac:dyDescent="0.3">
      <c r="C547" s="8" t="str">
        <f t="shared" si="23"/>
        <v/>
      </c>
      <c r="F547" s="8" t="str">
        <f t="shared" si="24"/>
        <v/>
      </c>
    </row>
    <row r="548" spans="3:6" x14ac:dyDescent="0.3">
      <c r="C548" s="8" t="str">
        <f t="shared" si="23"/>
        <v/>
      </c>
      <c r="F548" s="8" t="str">
        <f t="shared" si="24"/>
        <v/>
      </c>
    </row>
    <row r="549" spans="3:6" x14ac:dyDescent="0.3">
      <c r="C549" s="8" t="str">
        <f t="shared" si="23"/>
        <v/>
      </c>
      <c r="F549" s="8" t="str">
        <f t="shared" si="24"/>
        <v/>
      </c>
    </row>
    <row r="550" spans="3:6" x14ac:dyDescent="0.3">
      <c r="C550" s="8" t="str">
        <f t="shared" si="23"/>
        <v/>
      </c>
      <c r="F550" s="8" t="str">
        <f t="shared" si="24"/>
        <v/>
      </c>
    </row>
    <row r="551" spans="3:6" x14ac:dyDescent="0.3">
      <c r="C551" s="8" t="str">
        <f t="shared" si="23"/>
        <v/>
      </c>
      <c r="F551" s="8" t="str">
        <f t="shared" si="24"/>
        <v/>
      </c>
    </row>
    <row r="552" spans="3:6" x14ac:dyDescent="0.3">
      <c r="C552" s="8" t="str">
        <f t="shared" si="23"/>
        <v/>
      </c>
      <c r="F552" s="8" t="str">
        <f t="shared" si="24"/>
        <v/>
      </c>
    </row>
    <row r="553" spans="3:6" x14ac:dyDescent="0.3">
      <c r="C553" s="8" t="str">
        <f t="shared" si="23"/>
        <v/>
      </c>
      <c r="F553" s="8" t="str">
        <f t="shared" si="24"/>
        <v/>
      </c>
    </row>
    <row r="554" spans="3:6" x14ac:dyDescent="0.3">
      <c r="C554" s="8" t="str">
        <f t="shared" si="23"/>
        <v/>
      </c>
      <c r="F554" s="8" t="str">
        <f t="shared" si="24"/>
        <v/>
      </c>
    </row>
    <row r="555" spans="3:6" x14ac:dyDescent="0.3">
      <c r="C555" s="8" t="str">
        <f t="shared" si="23"/>
        <v/>
      </c>
      <c r="F555" s="8" t="str">
        <f t="shared" si="24"/>
        <v/>
      </c>
    </row>
    <row r="556" spans="3:6" x14ac:dyDescent="0.3">
      <c r="C556" s="8" t="str">
        <f t="shared" si="23"/>
        <v/>
      </c>
      <c r="F556" s="8" t="str">
        <f t="shared" si="24"/>
        <v/>
      </c>
    </row>
    <row r="557" spans="3:6" x14ac:dyDescent="0.3">
      <c r="C557" s="8" t="str">
        <f t="shared" si="23"/>
        <v/>
      </c>
      <c r="F557" s="8" t="str">
        <f t="shared" si="24"/>
        <v/>
      </c>
    </row>
    <row r="558" spans="3:6" x14ac:dyDescent="0.3">
      <c r="C558" s="8" t="str">
        <f t="shared" si="23"/>
        <v/>
      </c>
      <c r="F558" s="8" t="str">
        <f t="shared" si="24"/>
        <v/>
      </c>
    </row>
    <row r="559" spans="3:6" x14ac:dyDescent="0.3">
      <c r="C559" s="8" t="str">
        <f t="shared" si="23"/>
        <v/>
      </c>
      <c r="F559" s="8" t="str">
        <f t="shared" si="24"/>
        <v/>
      </c>
    </row>
    <row r="560" spans="3:6" x14ac:dyDescent="0.3">
      <c r="C560" s="8" t="str">
        <f t="shared" si="23"/>
        <v/>
      </c>
      <c r="F560" s="8" t="str">
        <f t="shared" si="24"/>
        <v/>
      </c>
    </row>
    <row r="561" spans="3:6" x14ac:dyDescent="0.3">
      <c r="C561" s="8" t="str">
        <f t="shared" si="23"/>
        <v/>
      </c>
      <c r="F561" s="8" t="str">
        <f t="shared" si="24"/>
        <v/>
      </c>
    </row>
    <row r="562" spans="3:6" x14ac:dyDescent="0.3">
      <c r="C562" s="8" t="str">
        <f t="shared" si="23"/>
        <v/>
      </c>
      <c r="F562" s="8" t="str">
        <f t="shared" si="24"/>
        <v/>
      </c>
    </row>
    <row r="563" spans="3:6" x14ac:dyDescent="0.3">
      <c r="C563" s="8" t="str">
        <f t="shared" si="23"/>
        <v/>
      </c>
      <c r="F563" s="8" t="str">
        <f t="shared" si="24"/>
        <v/>
      </c>
    </row>
    <row r="564" spans="3:6" x14ac:dyDescent="0.3">
      <c r="C564" s="8" t="str">
        <f t="shared" si="23"/>
        <v/>
      </c>
      <c r="F564" s="8" t="str">
        <f t="shared" si="24"/>
        <v/>
      </c>
    </row>
    <row r="565" spans="3:6" x14ac:dyDescent="0.3">
      <c r="C565" s="8" t="str">
        <f t="shared" si="23"/>
        <v/>
      </c>
      <c r="F565" s="8" t="str">
        <f t="shared" si="24"/>
        <v/>
      </c>
    </row>
    <row r="566" spans="3:6" x14ac:dyDescent="0.3">
      <c r="C566" s="8" t="str">
        <f t="shared" si="23"/>
        <v/>
      </c>
      <c r="F566" s="8" t="str">
        <f t="shared" si="24"/>
        <v/>
      </c>
    </row>
    <row r="567" spans="3:6" x14ac:dyDescent="0.3">
      <c r="C567" s="8" t="str">
        <f t="shared" si="23"/>
        <v/>
      </c>
      <c r="F567" s="8" t="str">
        <f t="shared" si="24"/>
        <v/>
      </c>
    </row>
    <row r="568" spans="3:6" x14ac:dyDescent="0.3">
      <c r="C568" s="8" t="str">
        <f t="shared" si="23"/>
        <v/>
      </c>
      <c r="F568" s="8" t="str">
        <f t="shared" si="24"/>
        <v/>
      </c>
    </row>
    <row r="569" spans="3:6" x14ac:dyDescent="0.3">
      <c r="C569" s="8" t="str">
        <f t="shared" si="23"/>
        <v/>
      </c>
      <c r="F569" s="8" t="str">
        <f t="shared" si="24"/>
        <v/>
      </c>
    </row>
    <row r="570" spans="3:6" x14ac:dyDescent="0.3">
      <c r="C570" s="8" t="str">
        <f t="shared" si="23"/>
        <v/>
      </c>
      <c r="F570" s="8" t="str">
        <f t="shared" si="24"/>
        <v/>
      </c>
    </row>
    <row r="571" spans="3:6" x14ac:dyDescent="0.3">
      <c r="C571" s="8" t="str">
        <f t="shared" si="23"/>
        <v/>
      </c>
      <c r="F571" s="8" t="str">
        <f t="shared" si="24"/>
        <v/>
      </c>
    </row>
    <row r="572" spans="3:6" x14ac:dyDescent="0.3">
      <c r="C572" s="8" t="str">
        <f t="shared" si="23"/>
        <v/>
      </c>
      <c r="F572" s="8" t="str">
        <f t="shared" si="24"/>
        <v/>
      </c>
    </row>
    <row r="573" spans="3:6" x14ac:dyDescent="0.3">
      <c r="C573" s="8" t="str">
        <f t="shared" si="23"/>
        <v/>
      </c>
      <c r="F573" s="8" t="str">
        <f t="shared" si="24"/>
        <v/>
      </c>
    </row>
    <row r="574" spans="3:6" x14ac:dyDescent="0.3">
      <c r="C574" s="8" t="str">
        <f t="shared" si="23"/>
        <v/>
      </c>
      <c r="F574" s="8" t="str">
        <f t="shared" si="24"/>
        <v/>
      </c>
    </row>
    <row r="575" spans="3:6" x14ac:dyDescent="0.3">
      <c r="C575" s="8" t="str">
        <f t="shared" si="23"/>
        <v/>
      </c>
      <c r="F575" s="8" t="str">
        <f t="shared" si="24"/>
        <v/>
      </c>
    </row>
    <row r="576" spans="3:6" x14ac:dyDescent="0.3">
      <c r="C576" s="8" t="str">
        <f t="shared" si="23"/>
        <v/>
      </c>
      <c r="F576" s="8" t="str">
        <f t="shared" si="24"/>
        <v/>
      </c>
    </row>
    <row r="577" spans="3:6" x14ac:dyDescent="0.3">
      <c r="C577" s="8" t="str">
        <f t="shared" si="23"/>
        <v/>
      </c>
      <c r="F577" s="8" t="str">
        <f t="shared" si="24"/>
        <v/>
      </c>
    </row>
    <row r="578" spans="3:6" x14ac:dyDescent="0.3">
      <c r="C578" s="8" t="str">
        <f t="shared" si="23"/>
        <v/>
      </c>
      <c r="F578" s="8" t="str">
        <f t="shared" si="24"/>
        <v/>
      </c>
    </row>
    <row r="579" spans="3:6" x14ac:dyDescent="0.3">
      <c r="C579" s="8" t="str">
        <f t="shared" si="23"/>
        <v/>
      </c>
      <c r="F579" s="8" t="str">
        <f t="shared" si="24"/>
        <v/>
      </c>
    </row>
    <row r="580" spans="3:6" x14ac:dyDescent="0.3">
      <c r="C580" s="8" t="str">
        <f t="shared" si="23"/>
        <v/>
      </c>
      <c r="F580" s="8" t="str">
        <f t="shared" si="24"/>
        <v/>
      </c>
    </row>
    <row r="581" spans="3:6" x14ac:dyDescent="0.3">
      <c r="C581" s="8" t="str">
        <f t="shared" si="23"/>
        <v/>
      </c>
      <c r="F581" s="8" t="str">
        <f t="shared" si="24"/>
        <v/>
      </c>
    </row>
    <row r="582" spans="3:6" x14ac:dyDescent="0.3">
      <c r="C582" s="8" t="str">
        <f t="shared" si="23"/>
        <v/>
      </c>
      <c r="F582" s="8" t="str">
        <f t="shared" si="24"/>
        <v/>
      </c>
    </row>
    <row r="583" spans="3:6" x14ac:dyDescent="0.3">
      <c r="C583" s="8" t="str">
        <f t="shared" si="23"/>
        <v/>
      </c>
      <c r="F583" s="8" t="str">
        <f t="shared" si="24"/>
        <v/>
      </c>
    </row>
    <row r="584" spans="3:6" x14ac:dyDescent="0.3">
      <c r="C584" s="8" t="str">
        <f t="shared" si="23"/>
        <v/>
      </c>
      <c r="F584" s="8" t="str">
        <f t="shared" si="24"/>
        <v/>
      </c>
    </row>
    <row r="585" spans="3:6" x14ac:dyDescent="0.3">
      <c r="C585" s="8" t="str">
        <f t="shared" si="23"/>
        <v/>
      </c>
      <c r="F585" s="8" t="str">
        <f t="shared" si="24"/>
        <v/>
      </c>
    </row>
    <row r="586" spans="3:6" x14ac:dyDescent="0.3">
      <c r="C586" s="8" t="str">
        <f t="shared" si="23"/>
        <v/>
      </c>
      <c r="F586" s="8" t="str">
        <f t="shared" si="24"/>
        <v/>
      </c>
    </row>
    <row r="587" spans="3:6" x14ac:dyDescent="0.3">
      <c r="C587" s="8" t="str">
        <f t="shared" si="23"/>
        <v/>
      </c>
      <c r="F587" s="8" t="str">
        <f t="shared" si="24"/>
        <v/>
      </c>
    </row>
    <row r="588" spans="3:6" x14ac:dyDescent="0.3">
      <c r="C588" s="8" t="str">
        <f t="shared" ref="C588:C651" si="25">IF(B588="PBHAv1.0","PCB"&amp;TEXT(A588,"yyyymmdd")&amp;"-01",IF(B588="SBCT","SBCT"&amp;TEXT(A588,"yyyymmdd"),IF(B588="SCRA","SCRA"&amp;TEXT(A588,"yyyymmdd"),"")))</f>
        <v/>
      </c>
      <c r="F588" s="8" t="str">
        <f t="shared" ref="F588:F651" si="26">IF(ISBLANK(B588),"",IF(B588="PBHAv1.0",IF(OR(ISBLANK(D588),ISBLANK(E588)),"",IF(AND(D588&gt;=360,D588&lt;=460,E588&lt;=0.4),"적합","부적합")),IF(ISBLANK(D588),"",IF(B588="SBCT",IF(AND(D588&gt;=170,D588&lt;=220),"적합","부적합"),IF(B588="SCRA",IF(AND(D588&gt;=50,D588&lt;=70),"적합","부적합"),"")))))</f>
        <v/>
      </c>
    </row>
    <row r="589" spans="3:6" x14ac:dyDescent="0.3">
      <c r="C589" s="8" t="str">
        <f t="shared" si="25"/>
        <v/>
      </c>
      <c r="F589" s="8" t="str">
        <f t="shared" si="26"/>
        <v/>
      </c>
    </row>
    <row r="590" spans="3:6" x14ac:dyDescent="0.3">
      <c r="C590" s="8" t="str">
        <f t="shared" si="25"/>
        <v/>
      </c>
      <c r="F590" s="8" t="str">
        <f t="shared" si="26"/>
        <v/>
      </c>
    </row>
    <row r="591" spans="3:6" x14ac:dyDescent="0.3">
      <c r="C591" s="8" t="str">
        <f t="shared" si="25"/>
        <v/>
      </c>
      <c r="F591" s="8" t="str">
        <f t="shared" si="26"/>
        <v/>
      </c>
    </row>
    <row r="592" spans="3:6" x14ac:dyDescent="0.3">
      <c r="C592" s="8" t="str">
        <f t="shared" si="25"/>
        <v/>
      </c>
      <c r="F592" s="8" t="str">
        <f t="shared" si="26"/>
        <v/>
      </c>
    </row>
    <row r="593" spans="3:6" x14ac:dyDescent="0.3">
      <c r="C593" s="8" t="str">
        <f t="shared" si="25"/>
        <v/>
      </c>
      <c r="F593" s="8" t="str">
        <f t="shared" si="26"/>
        <v/>
      </c>
    </row>
    <row r="594" spans="3:6" x14ac:dyDescent="0.3">
      <c r="C594" s="8" t="str">
        <f t="shared" si="25"/>
        <v/>
      </c>
      <c r="F594" s="8" t="str">
        <f t="shared" si="26"/>
        <v/>
      </c>
    </row>
    <row r="595" spans="3:6" x14ac:dyDescent="0.3">
      <c r="C595" s="8" t="str">
        <f t="shared" si="25"/>
        <v/>
      </c>
      <c r="F595" s="8" t="str">
        <f t="shared" si="26"/>
        <v/>
      </c>
    </row>
    <row r="596" spans="3:6" x14ac:dyDescent="0.3">
      <c r="C596" s="8" t="str">
        <f t="shared" si="25"/>
        <v/>
      </c>
      <c r="F596" s="8" t="str">
        <f t="shared" si="26"/>
        <v/>
      </c>
    </row>
    <row r="597" spans="3:6" x14ac:dyDescent="0.3">
      <c r="C597" s="8" t="str">
        <f t="shared" si="25"/>
        <v/>
      </c>
      <c r="F597" s="8" t="str">
        <f t="shared" si="26"/>
        <v/>
      </c>
    </row>
    <row r="598" spans="3:6" x14ac:dyDescent="0.3">
      <c r="C598" s="8" t="str">
        <f t="shared" si="25"/>
        <v/>
      </c>
      <c r="F598" s="8" t="str">
        <f t="shared" si="26"/>
        <v/>
      </c>
    </row>
    <row r="599" spans="3:6" x14ac:dyDescent="0.3">
      <c r="C599" s="8" t="str">
        <f t="shared" si="25"/>
        <v/>
      </c>
      <c r="F599" s="8" t="str">
        <f t="shared" si="26"/>
        <v/>
      </c>
    </row>
    <row r="600" spans="3:6" x14ac:dyDescent="0.3">
      <c r="C600" s="8" t="str">
        <f t="shared" si="25"/>
        <v/>
      </c>
      <c r="F600" s="8" t="str">
        <f t="shared" si="26"/>
        <v/>
      </c>
    </row>
    <row r="601" spans="3:6" x14ac:dyDescent="0.3">
      <c r="C601" s="8" t="str">
        <f t="shared" si="25"/>
        <v/>
      </c>
      <c r="F601" s="8" t="str">
        <f t="shared" si="26"/>
        <v/>
      </c>
    </row>
    <row r="602" spans="3:6" x14ac:dyDescent="0.3">
      <c r="C602" s="8" t="str">
        <f t="shared" si="25"/>
        <v/>
      </c>
      <c r="F602" s="8" t="str">
        <f t="shared" si="26"/>
        <v/>
      </c>
    </row>
    <row r="603" spans="3:6" x14ac:dyDescent="0.3">
      <c r="C603" s="8" t="str">
        <f t="shared" si="25"/>
        <v/>
      </c>
      <c r="F603" s="8" t="str">
        <f t="shared" si="26"/>
        <v/>
      </c>
    </row>
    <row r="604" spans="3:6" x14ac:dyDescent="0.3">
      <c r="C604" s="8" t="str">
        <f t="shared" si="25"/>
        <v/>
      </c>
      <c r="F604" s="8" t="str">
        <f t="shared" si="26"/>
        <v/>
      </c>
    </row>
    <row r="605" spans="3:6" x14ac:dyDescent="0.3">
      <c r="C605" s="8" t="str">
        <f t="shared" si="25"/>
        <v/>
      </c>
      <c r="F605" s="8" t="str">
        <f t="shared" si="26"/>
        <v/>
      </c>
    </row>
    <row r="606" spans="3:6" x14ac:dyDescent="0.3">
      <c r="C606" s="8" t="str">
        <f t="shared" si="25"/>
        <v/>
      </c>
      <c r="F606" s="8" t="str">
        <f t="shared" si="26"/>
        <v/>
      </c>
    </row>
    <row r="607" spans="3:6" x14ac:dyDescent="0.3">
      <c r="C607" s="8" t="str">
        <f t="shared" si="25"/>
        <v/>
      </c>
      <c r="F607" s="8" t="str">
        <f t="shared" si="26"/>
        <v/>
      </c>
    </row>
    <row r="608" spans="3:6" x14ac:dyDescent="0.3">
      <c r="C608" s="8" t="str">
        <f t="shared" si="25"/>
        <v/>
      </c>
      <c r="F608" s="8" t="str">
        <f t="shared" si="26"/>
        <v/>
      </c>
    </row>
    <row r="609" spans="3:6" x14ac:dyDescent="0.3">
      <c r="C609" s="8" t="str">
        <f t="shared" si="25"/>
        <v/>
      </c>
      <c r="F609" s="8" t="str">
        <f t="shared" si="26"/>
        <v/>
      </c>
    </row>
    <row r="610" spans="3:6" x14ac:dyDescent="0.3">
      <c r="C610" s="8" t="str">
        <f t="shared" si="25"/>
        <v/>
      </c>
      <c r="F610" s="8" t="str">
        <f t="shared" si="26"/>
        <v/>
      </c>
    </row>
    <row r="611" spans="3:6" x14ac:dyDescent="0.3">
      <c r="C611" s="8" t="str">
        <f t="shared" si="25"/>
        <v/>
      </c>
      <c r="F611" s="8" t="str">
        <f t="shared" si="26"/>
        <v/>
      </c>
    </row>
    <row r="612" spans="3:6" x14ac:dyDescent="0.3">
      <c r="C612" s="8" t="str">
        <f t="shared" si="25"/>
        <v/>
      </c>
      <c r="F612" s="8" t="str">
        <f t="shared" si="26"/>
        <v/>
      </c>
    </row>
    <row r="613" spans="3:6" x14ac:dyDescent="0.3">
      <c r="C613" s="8" t="str">
        <f t="shared" si="25"/>
        <v/>
      </c>
      <c r="F613" s="8" t="str">
        <f t="shared" si="26"/>
        <v/>
      </c>
    </row>
    <row r="614" spans="3:6" x14ac:dyDescent="0.3">
      <c r="C614" s="8" t="str">
        <f t="shared" si="25"/>
        <v/>
      </c>
      <c r="F614" s="8" t="str">
        <f t="shared" si="26"/>
        <v/>
      </c>
    </row>
    <row r="615" spans="3:6" x14ac:dyDescent="0.3">
      <c r="C615" s="8" t="str">
        <f t="shared" si="25"/>
        <v/>
      </c>
      <c r="F615" s="8" t="str">
        <f t="shared" si="26"/>
        <v/>
      </c>
    </row>
    <row r="616" spans="3:6" x14ac:dyDescent="0.3">
      <c r="C616" s="8" t="str">
        <f t="shared" si="25"/>
        <v/>
      </c>
      <c r="F616" s="8" t="str">
        <f t="shared" si="26"/>
        <v/>
      </c>
    </row>
    <row r="617" spans="3:6" x14ac:dyDescent="0.3">
      <c r="C617" s="8" t="str">
        <f t="shared" si="25"/>
        <v/>
      </c>
      <c r="F617" s="8" t="str">
        <f t="shared" si="26"/>
        <v/>
      </c>
    </row>
    <row r="618" spans="3:6" x14ac:dyDescent="0.3">
      <c r="C618" s="8" t="str">
        <f t="shared" si="25"/>
        <v/>
      </c>
      <c r="F618" s="8" t="str">
        <f t="shared" si="26"/>
        <v/>
      </c>
    </row>
    <row r="619" spans="3:6" x14ac:dyDescent="0.3">
      <c r="C619" s="8" t="str">
        <f t="shared" si="25"/>
        <v/>
      </c>
      <c r="F619" s="8" t="str">
        <f t="shared" si="26"/>
        <v/>
      </c>
    </row>
    <row r="620" spans="3:6" x14ac:dyDescent="0.3">
      <c r="C620" s="8" t="str">
        <f t="shared" si="25"/>
        <v/>
      </c>
      <c r="F620" s="8" t="str">
        <f t="shared" si="26"/>
        <v/>
      </c>
    </row>
    <row r="621" spans="3:6" x14ac:dyDescent="0.3">
      <c r="C621" s="8" t="str">
        <f t="shared" si="25"/>
        <v/>
      </c>
      <c r="F621" s="8" t="str">
        <f t="shared" si="26"/>
        <v/>
      </c>
    </row>
    <row r="622" spans="3:6" x14ac:dyDescent="0.3">
      <c r="C622" s="8" t="str">
        <f t="shared" si="25"/>
        <v/>
      </c>
      <c r="F622" s="8" t="str">
        <f t="shared" si="26"/>
        <v/>
      </c>
    </row>
    <row r="623" spans="3:6" x14ac:dyDescent="0.3">
      <c r="C623" s="8" t="str">
        <f t="shared" si="25"/>
        <v/>
      </c>
      <c r="F623" s="8" t="str">
        <f t="shared" si="26"/>
        <v/>
      </c>
    </row>
    <row r="624" spans="3:6" x14ac:dyDescent="0.3">
      <c r="C624" s="8" t="str">
        <f t="shared" si="25"/>
        <v/>
      </c>
      <c r="F624" s="8" t="str">
        <f t="shared" si="26"/>
        <v/>
      </c>
    </row>
    <row r="625" spans="3:6" x14ac:dyDescent="0.3">
      <c r="C625" s="8" t="str">
        <f t="shared" si="25"/>
        <v/>
      </c>
      <c r="F625" s="8" t="str">
        <f t="shared" si="26"/>
        <v/>
      </c>
    </row>
    <row r="626" spans="3:6" x14ac:dyDescent="0.3">
      <c r="C626" s="8" t="str">
        <f t="shared" si="25"/>
        <v/>
      </c>
      <c r="F626" s="8" t="str">
        <f t="shared" si="26"/>
        <v/>
      </c>
    </row>
    <row r="627" spans="3:6" x14ac:dyDescent="0.3">
      <c r="C627" s="8" t="str">
        <f t="shared" si="25"/>
        <v/>
      </c>
      <c r="F627" s="8" t="str">
        <f t="shared" si="26"/>
        <v/>
      </c>
    </row>
    <row r="628" spans="3:6" x14ac:dyDescent="0.3">
      <c r="C628" s="8" t="str">
        <f t="shared" si="25"/>
        <v/>
      </c>
      <c r="F628" s="8" t="str">
        <f t="shared" si="26"/>
        <v/>
      </c>
    </row>
    <row r="629" spans="3:6" x14ac:dyDescent="0.3">
      <c r="C629" s="8" t="str">
        <f t="shared" si="25"/>
        <v/>
      </c>
      <c r="F629" s="8" t="str">
        <f t="shared" si="26"/>
        <v/>
      </c>
    </row>
    <row r="630" spans="3:6" x14ac:dyDescent="0.3">
      <c r="C630" s="8" t="str">
        <f t="shared" si="25"/>
        <v/>
      </c>
      <c r="F630" s="8" t="str">
        <f t="shared" si="26"/>
        <v/>
      </c>
    </row>
    <row r="631" spans="3:6" x14ac:dyDescent="0.3">
      <c r="C631" s="8" t="str">
        <f t="shared" si="25"/>
        <v/>
      </c>
      <c r="F631" s="8" t="str">
        <f t="shared" si="26"/>
        <v/>
      </c>
    </row>
    <row r="632" spans="3:6" x14ac:dyDescent="0.3">
      <c r="C632" s="8" t="str">
        <f t="shared" si="25"/>
        <v/>
      </c>
      <c r="F632" s="8" t="str">
        <f t="shared" si="26"/>
        <v/>
      </c>
    </row>
    <row r="633" spans="3:6" x14ac:dyDescent="0.3">
      <c r="C633" s="8" t="str">
        <f t="shared" si="25"/>
        <v/>
      </c>
      <c r="F633" s="8" t="str">
        <f t="shared" si="26"/>
        <v/>
      </c>
    </row>
    <row r="634" spans="3:6" x14ac:dyDescent="0.3">
      <c r="C634" s="8" t="str">
        <f t="shared" si="25"/>
        <v/>
      </c>
      <c r="F634" s="8" t="str">
        <f t="shared" si="26"/>
        <v/>
      </c>
    </row>
    <row r="635" spans="3:6" x14ac:dyDescent="0.3">
      <c r="C635" s="8" t="str">
        <f t="shared" si="25"/>
        <v/>
      </c>
      <c r="F635" s="8" t="str">
        <f t="shared" si="26"/>
        <v/>
      </c>
    </row>
    <row r="636" spans="3:6" x14ac:dyDescent="0.3">
      <c r="C636" s="8" t="str">
        <f t="shared" si="25"/>
        <v/>
      </c>
      <c r="F636" s="8" t="str">
        <f t="shared" si="26"/>
        <v/>
      </c>
    </row>
    <row r="637" spans="3:6" x14ac:dyDescent="0.3">
      <c r="C637" s="8" t="str">
        <f t="shared" si="25"/>
        <v/>
      </c>
      <c r="F637" s="8" t="str">
        <f t="shared" si="26"/>
        <v/>
      </c>
    </row>
    <row r="638" spans="3:6" x14ac:dyDescent="0.3">
      <c r="C638" s="8" t="str">
        <f t="shared" si="25"/>
        <v/>
      </c>
      <c r="F638" s="8" t="str">
        <f t="shared" si="26"/>
        <v/>
      </c>
    </row>
    <row r="639" spans="3:6" x14ac:dyDescent="0.3">
      <c r="C639" s="8" t="str">
        <f t="shared" si="25"/>
        <v/>
      </c>
      <c r="F639" s="8" t="str">
        <f t="shared" si="26"/>
        <v/>
      </c>
    </row>
    <row r="640" spans="3:6" x14ac:dyDescent="0.3">
      <c r="C640" s="8" t="str">
        <f t="shared" si="25"/>
        <v/>
      </c>
      <c r="F640" s="8" t="str">
        <f t="shared" si="26"/>
        <v/>
      </c>
    </row>
    <row r="641" spans="3:6" x14ac:dyDescent="0.3">
      <c r="C641" s="8" t="str">
        <f t="shared" si="25"/>
        <v/>
      </c>
      <c r="F641" s="8" t="str">
        <f t="shared" si="26"/>
        <v/>
      </c>
    </row>
    <row r="642" spans="3:6" x14ac:dyDescent="0.3">
      <c r="C642" s="8" t="str">
        <f t="shared" si="25"/>
        <v/>
      </c>
      <c r="F642" s="8" t="str">
        <f t="shared" si="26"/>
        <v/>
      </c>
    </row>
    <row r="643" spans="3:6" x14ac:dyDescent="0.3">
      <c r="C643" s="8" t="str">
        <f t="shared" si="25"/>
        <v/>
      </c>
      <c r="F643" s="8" t="str">
        <f t="shared" si="26"/>
        <v/>
      </c>
    </row>
    <row r="644" spans="3:6" x14ac:dyDescent="0.3">
      <c r="C644" s="8" t="str">
        <f t="shared" si="25"/>
        <v/>
      </c>
      <c r="F644" s="8" t="str">
        <f t="shared" si="26"/>
        <v/>
      </c>
    </row>
    <row r="645" spans="3:6" x14ac:dyDescent="0.3">
      <c r="C645" s="8" t="str">
        <f t="shared" si="25"/>
        <v/>
      </c>
      <c r="F645" s="8" t="str">
        <f t="shared" si="26"/>
        <v/>
      </c>
    </row>
    <row r="646" spans="3:6" x14ac:dyDescent="0.3">
      <c r="C646" s="8" t="str">
        <f t="shared" si="25"/>
        <v/>
      </c>
      <c r="F646" s="8" t="str">
        <f t="shared" si="26"/>
        <v/>
      </c>
    </row>
    <row r="647" spans="3:6" x14ac:dyDescent="0.3">
      <c r="C647" s="8" t="str">
        <f t="shared" si="25"/>
        <v/>
      </c>
      <c r="F647" s="8" t="str">
        <f t="shared" si="26"/>
        <v/>
      </c>
    </row>
    <row r="648" spans="3:6" x14ac:dyDescent="0.3">
      <c r="C648" s="8" t="str">
        <f t="shared" si="25"/>
        <v/>
      </c>
      <c r="F648" s="8" t="str">
        <f t="shared" si="26"/>
        <v/>
      </c>
    </row>
    <row r="649" spans="3:6" x14ac:dyDescent="0.3">
      <c r="C649" s="8" t="str">
        <f t="shared" si="25"/>
        <v/>
      </c>
      <c r="F649" s="8" t="str">
        <f t="shared" si="26"/>
        <v/>
      </c>
    </row>
    <row r="650" spans="3:6" x14ac:dyDescent="0.3">
      <c r="C650" s="8" t="str">
        <f t="shared" si="25"/>
        <v/>
      </c>
      <c r="F650" s="8" t="str">
        <f t="shared" si="26"/>
        <v/>
      </c>
    </row>
    <row r="651" spans="3:6" x14ac:dyDescent="0.3">
      <c r="C651" s="8" t="str">
        <f t="shared" si="25"/>
        <v/>
      </c>
      <c r="F651" s="8" t="str">
        <f t="shared" si="26"/>
        <v/>
      </c>
    </row>
    <row r="652" spans="3:6" x14ac:dyDescent="0.3">
      <c r="C652" s="8" t="str">
        <f t="shared" ref="C652:C715" si="27">IF(B652="PBHAv1.0","PCB"&amp;TEXT(A652,"yyyymmdd")&amp;"-01",IF(B652="SBCT","SBCT"&amp;TEXT(A652,"yyyymmdd"),IF(B652="SCRA","SCRA"&amp;TEXT(A652,"yyyymmdd"),"")))</f>
        <v/>
      </c>
      <c r="F652" s="8" t="str">
        <f t="shared" ref="F652:F715" si="28">IF(ISBLANK(B652),"",IF(B652="PBHAv1.0",IF(OR(ISBLANK(D652),ISBLANK(E652)),"",IF(AND(D652&gt;=360,D652&lt;=460,E652&lt;=0.4),"적합","부적합")),IF(ISBLANK(D652),"",IF(B652="SBCT",IF(AND(D652&gt;=170,D652&lt;=220),"적합","부적합"),IF(B652="SCRA",IF(AND(D652&gt;=50,D652&lt;=70),"적합","부적합"),"")))))</f>
        <v/>
      </c>
    </row>
    <row r="653" spans="3:6" x14ac:dyDescent="0.3">
      <c r="C653" s="8" t="str">
        <f t="shared" si="27"/>
        <v/>
      </c>
      <c r="F653" s="8" t="str">
        <f t="shared" si="28"/>
        <v/>
      </c>
    </row>
    <row r="654" spans="3:6" x14ac:dyDescent="0.3">
      <c r="C654" s="8" t="str">
        <f t="shared" si="27"/>
        <v/>
      </c>
      <c r="F654" s="8" t="str">
        <f t="shared" si="28"/>
        <v/>
      </c>
    </row>
    <row r="655" spans="3:6" x14ac:dyDescent="0.3">
      <c r="C655" s="8" t="str">
        <f t="shared" si="27"/>
        <v/>
      </c>
      <c r="F655" s="8" t="str">
        <f t="shared" si="28"/>
        <v/>
      </c>
    </row>
    <row r="656" spans="3:6" x14ac:dyDescent="0.3">
      <c r="C656" s="8" t="str">
        <f t="shared" si="27"/>
        <v/>
      </c>
      <c r="F656" s="8" t="str">
        <f t="shared" si="28"/>
        <v/>
      </c>
    </row>
    <row r="657" spans="3:6" x14ac:dyDescent="0.3">
      <c r="C657" s="8" t="str">
        <f t="shared" si="27"/>
        <v/>
      </c>
      <c r="F657" s="8" t="str">
        <f t="shared" si="28"/>
        <v/>
      </c>
    </row>
    <row r="658" spans="3:6" x14ac:dyDescent="0.3">
      <c r="C658" s="8" t="str">
        <f t="shared" si="27"/>
        <v/>
      </c>
      <c r="F658" s="8" t="str">
        <f t="shared" si="28"/>
        <v/>
      </c>
    </row>
    <row r="659" spans="3:6" x14ac:dyDescent="0.3">
      <c r="C659" s="8" t="str">
        <f t="shared" si="27"/>
        <v/>
      </c>
      <c r="F659" s="8" t="str">
        <f t="shared" si="28"/>
        <v/>
      </c>
    </row>
    <row r="660" spans="3:6" x14ac:dyDescent="0.3">
      <c r="C660" s="8" t="str">
        <f t="shared" si="27"/>
        <v/>
      </c>
      <c r="F660" s="8" t="str">
        <f t="shared" si="28"/>
        <v/>
      </c>
    </row>
    <row r="661" spans="3:6" x14ac:dyDescent="0.3">
      <c r="C661" s="8" t="str">
        <f t="shared" si="27"/>
        <v/>
      </c>
      <c r="F661" s="8" t="str">
        <f t="shared" si="28"/>
        <v/>
      </c>
    </row>
    <row r="662" spans="3:6" x14ac:dyDescent="0.3">
      <c r="C662" s="8" t="str">
        <f t="shared" si="27"/>
        <v/>
      </c>
      <c r="F662" s="8" t="str">
        <f t="shared" si="28"/>
        <v/>
      </c>
    </row>
    <row r="663" spans="3:6" x14ac:dyDescent="0.3">
      <c r="C663" s="8" t="str">
        <f t="shared" si="27"/>
        <v/>
      </c>
      <c r="F663" s="8" t="str">
        <f t="shared" si="28"/>
        <v/>
      </c>
    </row>
    <row r="664" spans="3:6" x14ac:dyDescent="0.3">
      <c r="C664" s="8" t="str">
        <f t="shared" si="27"/>
        <v/>
      </c>
      <c r="F664" s="8" t="str">
        <f t="shared" si="28"/>
        <v/>
      </c>
    </row>
    <row r="665" spans="3:6" x14ac:dyDescent="0.3">
      <c r="C665" s="8" t="str">
        <f t="shared" si="27"/>
        <v/>
      </c>
      <c r="F665" s="8" t="str">
        <f t="shared" si="28"/>
        <v/>
      </c>
    </row>
    <row r="666" spans="3:6" x14ac:dyDescent="0.3">
      <c r="C666" s="8" t="str">
        <f t="shared" si="27"/>
        <v/>
      </c>
      <c r="F666" s="8" t="str">
        <f t="shared" si="28"/>
        <v/>
      </c>
    </row>
    <row r="667" spans="3:6" x14ac:dyDescent="0.3">
      <c r="C667" s="8" t="str">
        <f t="shared" si="27"/>
        <v/>
      </c>
      <c r="F667" s="8" t="str">
        <f t="shared" si="28"/>
        <v/>
      </c>
    </row>
    <row r="668" spans="3:6" x14ac:dyDescent="0.3">
      <c r="C668" s="8" t="str">
        <f t="shared" si="27"/>
        <v/>
      </c>
      <c r="F668" s="8" t="str">
        <f t="shared" si="28"/>
        <v/>
      </c>
    </row>
    <row r="669" spans="3:6" x14ac:dyDescent="0.3">
      <c r="C669" s="8" t="str">
        <f t="shared" si="27"/>
        <v/>
      </c>
      <c r="F669" s="8" t="str">
        <f t="shared" si="28"/>
        <v/>
      </c>
    </row>
    <row r="670" spans="3:6" x14ac:dyDescent="0.3">
      <c r="C670" s="8" t="str">
        <f t="shared" si="27"/>
        <v/>
      </c>
      <c r="F670" s="8" t="str">
        <f t="shared" si="28"/>
        <v/>
      </c>
    </row>
    <row r="671" spans="3:6" x14ac:dyDescent="0.3">
      <c r="C671" s="8" t="str">
        <f t="shared" si="27"/>
        <v/>
      </c>
      <c r="F671" s="8" t="str">
        <f t="shared" si="28"/>
        <v/>
      </c>
    </row>
    <row r="672" spans="3:6" x14ac:dyDescent="0.3">
      <c r="C672" s="8" t="str">
        <f t="shared" si="27"/>
        <v/>
      </c>
      <c r="F672" s="8" t="str">
        <f t="shared" si="28"/>
        <v/>
      </c>
    </row>
    <row r="673" spans="3:6" x14ac:dyDescent="0.3">
      <c r="C673" s="8" t="str">
        <f t="shared" si="27"/>
        <v/>
      </c>
      <c r="F673" s="8" t="str">
        <f t="shared" si="28"/>
        <v/>
      </c>
    </row>
    <row r="674" spans="3:6" x14ac:dyDescent="0.3">
      <c r="C674" s="8" t="str">
        <f t="shared" si="27"/>
        <v/>
      </c>
      <c r="F674" s="8" t="str">
        <f t="shared" si="28"/>
        <v/>
      </c>
    </row>
    <row r="675" spans="3:6" x14ac:dyDescent="0.3">
      <c r="C675" s="8" t="str">
        <f t="shared" si="27"/>
        <v/>
      </c>
      <c r="F675" s="8" t="str">
        <f t="shared" si="28"/>
        <v/>
      </c>
    </row>
    <row r="676" spans="3:6" x14ac:dyDescent="0.3">
      <c r="C676" s="8" t="str">
        <f t="shared" si="27"/>
        <v/>
      </c>
      <c r="F676" s="8" t="str">
        <f t="shared" si="28"/>
        <v/>
      </c>
    </row>
    <row r="677" spans="3:6" x14ac:dyDescent="0.3">
      <c r="C677" s="8" t="str">
        <f t="shared" si="27"/>
        <v/>
      </c>
      <c r="F677" s="8" t="str">
        <f t="shared" si="28"/>
        <v/>
      </c>
    </row>
    <row r="678" spans="3:6" x14ac:dyDescent="0.3">
      <c r="C678" s="8" t="str">
        <f t="shared" si="27"/>
        <v/>
      </c>
      <c r="F678" s="8" t="str">
        <f t="shared" si="28"/>
        <v/>
      </c>
    </row>
    <row r="679" spans="3:6" x14ac:dyDescent="0.3">
      <c r="C679" s="8" t="str">
        <f t="shared" si="27"/>
        <v/>
      </c>
      <c r="F679" s="8" t="str">
        <f t="shared" si="28"/>
        <v/>
      </c>
    </row>
    <row r="680" spans="3:6" x14ac:dyDescent="0.3">
      <c r="C680" s="8" t="str">
        <f t="shared" si="27"/>
        <v/>
      </c>
      <c r="F680" s="8" t="str">
        <f t="shared" si="28"/>
        <v/>
      </c>
    </row>
    <row r="681" spans="3:6" x14ac:dyDescent="0.3">
      <c r="C681" s="8" t="str">
        <f t="shared" si="27"/>
        <v/>
      </c>
      <c r="F681" s="8" t="str">
        <f t="shared" si="28"/>
        <v/>
      </c>
    </row>
    <row r="682" spans="3:6" x14ac:dyDescent="0.3">
      <c r="C682" s="8" t="str">
        <f t="shared" si="27"/>
        <v/>
      </c>
      <c r="F682" s="8" t="str">
        <f t="shared" si="28"/>
        <v/>
      </c>
    </row>
    <row r="683" spans="3:6" x14ac:dyDescent="0.3">
      <c r="C683" s="8" t="str">
        <f t="shared" si="27"/>
        <v/>
      </c>
      <c r="F683" s="8" t="str">
        <f t="shared" si="28"/>
        <v/>
      </c>
    </row>
    <row r="684" spans="3:6" x14ac:dyDescent="0.3">
      <c r="C684" s="8" t="str">
        <f t="shared" si="27"/>
        <v/>
      </c>
      <c r="F684" s="8" t="str">
        <f t="shared" si="28"/>
        <v/>
      </c>
    </row>
    <row r="685" spans="3:6" x14ac:dyDescent="0.3">
      <c r="C685" s="8" t="str">
        <f t="shared" si="27"/>
        <v/>
      </c>
      <c r="F685" s="8" t="str">
        <f t="shared" si="28"/>
        <v/>
      </c>
    </row>
    <row r="686" spans="3:6" x14ac:dyDescent="0.3">
      <c r="C686" s="8" t="str">
        <f t="shared" si="27"/>
        <v/>
      </c>
      <c r="F686" s="8" t="str">
        <f t="shared" si="28"/>
        <v/>
      </c>
    </row>
    <row r="687" spans="3:6" x14ac:dyDescent="0.3">
      <c r="C687" s="8" t="str">
        <f t="shared" si="27"/>
        <v/>
      </c>
      <c r="F687" s="8" t="str">
        <f t="shared" si="28"/>
        <v/>
      </c>
    </row>
    <row r="688" spans="3:6" x14ac:dyDescent="0.3">
      <c r="C688" s="8" t="str">
        <f t="shared" si="27"/>
        <v/>
      </c>
      <c r="F688" s="8" t="str">
        <f t="shared" si="28"/>
        <v/>
      </c>
    </row>
    <row r="689" spans="3:6" x14ac:dyDescent="0.3">
      <c r="C689" s="8" t="str">
        <f t="shared" si="27"/>
        <v/>
      </c>
      <c r="F689" s="8" t="str">
        <f t="shared" si="28"/>
        <v/>
      </c>
    </row>
    <row r="690" spans="3:6" x14ac:dyDescent="0.3">
      <c r="C690" s="8" t="str">
        <f t="shared" si="27"/>
        <v/>
      </c>
      <c r="F690" s="8" t="str">
        <f t="shared" si="28"/>
        <v/>
      </c>
    </row>
    <row r="691" spans="3:6" x14ac:dyDescent="0.3">
      <c r="C691" s="8" t="str">
        <f t="shared" si="27"/>
        <v/>
      </c>
      <c r="F691" s="8" t="str">
        <f t="shared" si="28"/>
        <v/>
      </c>
    </row>
    <row r="692" spans="3:6" x14ac:dyDescent="0.3">
      <c r="C692" s="8" t="str">
        <f t="shared" si="27"/>
        <v/>
      </c>
      <c r="F692" s="8" t="str">
        <f t="shared" si="28"/>
        <v/>
      </c>
    </row>
    <row r="693" spans="3:6" x14ac:dyDescent="0.3">
      <c r="C693" s="8" t="str">
        <f t="shared" si="27"/>
        <v/>
      </c>
      <c r="F693" s="8" t="str">
        <f t="shared" si="28"/>
        <v/>
      </c>
    </row>
    <row r="694" spans="3:6" x14ac:dyDescent="0.3">
      <c r="C694" s="8" t="str">
        <f t="shared" si="27"/>
        <v/>
      </c>
      <c r="F694" s="8" t="str">
        <f t="shared" si="28"/>
        <v/>
      </c>
    </row>
    <row r="695" spans="3:6" x14ac:dyDescent="0.3">
      <c r="C695" s="8" t="str">
        <f t="shared" si="27"/>
        <v/>
      </c>
      <c r="F695" s="8" t="str">
        <f t="shared" si="28"/>
        <v/>
      </c>
    </row>
    <row r="696" spans="3:6" x14ac:dyDescent="0.3">
      <c r="C696" s="8" t="str">
        <f t="shared" si="27"/>
        <v/>
      </c>
      <c r="F696" s="8" t="str">
        <f t="shared" si="28"/>
        <v/>
      </c>
    </row>
    <row r="697" spans="3:6" x14ac:dyDescent="0.3">
      <c r="C697" s="8" t="str">
        <f t="shared" si="27"/>
        <v/>
      </c>
      <c r="F697" s="8" t="str">
        <f t="shared" si="28"/>
        <v/>
      </c>
    </row>
    <row r="698" spans="3:6" x14ac:dyDescent="0.3">
      <c r="C698" s="8" t="str">
        <f t="shared" si="27"/>
        <v/>
      </c>
      <c r="F698" s="8" t="str">
        <f t="shared" si="28"/>
        <v/>
      </c>
    </row>
    <row r="699" spans="3:6" x14ac:dyDescent="0.3">
      <c r="C699" s="8" t="str">
        <f t="shared" si="27"/>
        <v/>
      </c>
      <c r="F699" s="8" t="str">
        <f t="shared" si="28"/>
        <v/>
      </c>
    </row>
    <row r="700" spans="3:6" x14ac:dyDescent="0.3">
      <c r="C700" s="8" t="str">
        <f t="shared" si="27"/>
        <v/>
      </c>
      <c r="F700" s="8" t="str">
        <f t="shared" si="28"/>
        <v/>
      </c>
    </row>
    <row r="701" spans="3:6" x14ac:dyDescent="0.3">
      <c r="C701" s="8" t="str">
        <f t="shared" si="27"/>
        <v/>
      </c>
      <c r="F701" s="8" t="str">
        <f t="shared" si="28"/>
        <v/>
      </c>
    </row>
    <row r="702" spans="3:6" x14ac:dyDescent="0.3">
      <c r="C702" s="8" t="str">
        <f t="shared" si="27"/>
        <v/>
      </c>
      <c r="F702" s="8" t="str">
        <f t="shared" si="28"/>
        <v/>
      </c>
    </row>
    <row r="703" spans="3:6" x14ac:dyDescent="0.3">
      <c r="C703" s="8" t="str">
        <f t="shared" si="27"/>
        <v/>
      </c>
      <c r="F703" s="8" t="str">
        <f t="shared" si="28"/>
        <v/>
      </c>
    </row>
    <row r="704" spans="3:6" x14ac:dyDescent="0.3">
      <c r="C704" s="8" t="str">
        <f t="shared" si="27"/>
        <v/>
      </c>
      <c r="F704" s="8" t="str">
        <f t="shared" si="28"/>
        <v/>
      </c>
    </row>
    <row r="705" spans="3:6" x14ac:dyDescent="0.3">
      <c r="C705" s="8" t="str">
        <f t="shared" si="27"/>
        <v/>
      </c>
      <c r="F705" s="8" t="str">
        <f t="shared" si="28"/>
        <v/>
      </c>
    </row>
    <row r="706" spans="3:6" x14ac:dyDescent="0.3">
      <c r="C706" s="8" t="str">
        <f t="shared" si="27"/>
        <v/>
      </c>
      <c r="F706" s="8" t="str">
        <f t="shared" si="28"/>
        <v/>
      </c>
    </row>
    <row r="707" spans="3:6" x14ac:dyDescent="0.3">
      <c r="C707" s="8" t="str">
        <f t="shared" si="27"/>
        <v/>
      </c>
      <c r="F707" s="8" t="str">
        <f t="shared" si="28"/>
        <v/>
      </c>
    </row>
    <row r="708" spans="3:6" x14ac:dyDescent="0.3">
      <c r="C708" s="8" t="str">
        <f t="shared" si="27"/>
        <v/>
      </c>
      <c r="F708" s="8" t="str">
        <f t="shared" si="28"/>
        <v/>
      </c>
    </row>
    <row r="709" spans="3:6" x14ac:dyDescent="0.3">
      <c r="C709" s="8" t="str">
        <f t="shared" si="27"/>
        <v/>
      </c>
      <c r="F709" s="8" t="str">
        <f t="shared" si="28"/>
        <v/>
      </c>
    </row>
    <row r="710" spans="3:6" x14ac:dyDescent="0.3">
      <c r="C710" s="8" t="str">
        <f t="shared" si="27"/>
        <v/>
      </c>
      <c r="F710" s="8" t="str">
        <f t="shared" si="28"/>
        <v/>
      </c>
    </row>
    <row r="711" spans="3:6" x14ac:dyDescent="0.3">
      <c r="C711" s="8" t="str">
        <f t="shared" si="27"/>
        <v/>
      </c>
      <c r="F711" s="8" t="str">
        <f t="shared" si="28"/>
        <v/>
      </c>
    </row>
    <row r="712" spans="3:6" x14ac:dyDescent="0.3">
      <c r="C712" s="8" t="str">
        <f t="shared" si="27"/>
        <v/>
      </c>
      <c r="F712" s="8" t="str">
        <f t="shared" si="28"/>
        <v/>
      </c>
    </row>
    <row r="713" spans="3:6" x14ac:dyDescent="0.3">
      <c r="C713" s="8" t="str">
        <f t="shared" si="27"/>
        <v/>
      </c>
      <c r="F713" s="8" t="str">
        <f t="shared" si="28"/>
        <v/>
      </c>
    </row>
    <row r="714" spans="3:6" x14ac:dyDescent="0.3">
      <c r="C714" s="8" t="str">
        <f t="shared" si="27"/>
        <v/>
      </c>
      <c r="F714" s="8" t="str">
        <f t="shared" si="28"/>
        <v/>
      </c>
    </row>
    <row r="715" spans="3:6" x14ac:dyDescent="0.3">
      <c r="C715" s="8" t="str">
        <f t="shared" si="27"/>
        <v/>
      </c>
      <c r="F715" s="8" t="str">
        <f t="shared" si="28"/>
        <v/>
      </c>
    </row>
    <row r="716" spans="3:6" x14ac:dyDescent="0.3">
      <c r="C716" s="8" t="str">
        <f t="shared" ref="C716:C779" si="29">IF(B716="PBHAv1.0","PCB"&amp;TEXT(A716,"yyyymmdd")&amp;"-01",IF(B716="SBCT","SBCT"&amp;TEXT(A716,"yyyymmdd"),IF(B716="SCRA","SCRA"&amp;TEXT(A716,"yyyymmdd"),"")))</f>
        <v/>
      </c>
      <c r="F716" s="8" t="str">
        <f t="shared" ref="F716:F779" si="30">IF(ISBLANK(B716),"",IF(B716="PBHAv1.0",IF(OR(ISBLANK(D716),ISBLANK(E716)),"",IF(AND(D716&gt;=360,D716&lt;=460,E716&lt;=0.4),"적합","부적합")),IF(ISBLANK(D716),"",IF(B716="SBCT",IF(AND(D716&gt;=170,D716&lt;=220),"적합","부적합"),IF(B716="SCRA",IF(AND(D716&gt;=50,D716&lt;=70),"적합","부적합"),"")))))</f>
        <v/>
      </c>
    </row>
    <row r="717" spans="3:6" x14ac:dyDescent="0.3">
      <c r="C717" s="8" t="str">
        <f t="shared" si="29"/>
        <v/>
      </c>
      <c r="F717" s="8" t="str">
        <f t="shared" si="30"/>
        <v/>
      </c>
    </row>
    <row r="718" spans="3:6" x14ac:dyDescent="0.3">
      <c r="C718" s="8" t="str">
        <f t="shared" si="29"/>
        <v/>
      </c>
      <c r="F718" s="8" t="str">
        <f t="shared" si="30"/>
        <v/>
      </c>
    </row>
    <row r="719" spans="3:6" x14ac:dyDescent="0.3">
      <c r="C719" s="8" t="str">
        <f t="shared" si="29"/>
        <v/>
      </c>
      <c r="F719" s="8" t="str">
        <f t="shared" si="30"/>
        <v/>
      </c>
    </row>
    <row r="720" spans="3:6" x14ac:dyDescent="0.3">
      <c r="C720" s="8" t="str">
        <f t="shared" si="29"/>
        <v/>
      </c>
      <c r="F720" s="8" t="str">
        <f t="shared" si="30"/>
        <v/>
      </c>
    </row>
    <row r="721" spans="3:6" x14ac:dyDescent="0.3">
      <c r="C721" s="8" t="str">
        <f t="shared" si="29"/>
        <v/>
      </c>
      <c r="F721" s="8" t="str">
        <f t="shared" si="30"/>
        <v/>
      </c>
    </row>
    <row r="722" spans="3:6" x14ac:dyDescent="0.3">
      <c r="C722" s="8" t="str">
        <f t="shared" si="29"/>
        <v/>
      </c>
      <c r="F722" s="8" t="str">
        <f t="shared" si="30"/>
        <v/>
      </c>
    </row>
    <row r="723" spans="3:6" x14ac:dyDescent="0.3">
      <c r="C723" s="8" t="str">
        <f t="shared" si="29"/>
        <v/>
      </c>
      <c r="F723" s="8" t="str">
        <f t="shared" si="30"/>
        <v/>
      </c>
    </row>
    <row r="724" spans="3:6" x14ac:dyDescent="0.3">
      <c r="C724" s="8" t="str">
        <f t="shared" si="29"/>
        <v/>
      </c>
      <c r="F724" s="8" t="str">
        <f t="shared" si="30"/>
        <v/>
      </c>
    </row>
    <row r="725" spans="3:6" x14ac:dyDescent="0.3">
      <c r="C725" s="8" t="str">
        <f t="shared" si="29"/>
        <v/>
      </c>
      <c r="F725" s="8" t="str">
        <f t="shared" si="30"/>
        <v/>
      </c>
    </row>
    <row r="726" spans="3:6" x14ac:dyDescent="0.3">
      <c r="C726" s="8" t="str">
        <f t="shared" si="29"/>
        <v/>
      </c>
      <c r="F726" s="8" t="str">
        <f t="shared" si="30"/>
        <v/>
      </c>
    </row>
    <row r="727" spans="3:6" x14ac:dyDescent="0.3">
      <c r="C727" s="8" t="str">
        <f t="shared" si="29"/>
        <v/>
      </c>
      <c r="F727" s="8" t="str">
        <f t="shared" si="30"/>
        <v/>
      </c>
    </row>
    <row r="728" spans="3:6" x14ac:dyDescent="0.3">
      <c r="C728" s="8" t="str">
        <f t="shared" si="29"/>
        <v/>
      </c>
      <c r="F728" s="8" t="str">
        <f t="shared" si="30"/>
        <v/>
      </c>
    </row>
    <row r="729" spans="3:6" x14ac:dyDescent="0.3">
      <c r="C729" s="8" t="str">
        <f t="shared" si="29"/>
        <v/>
      </c>
      <c r="F729" s="8" t="str">
        <f t="shared" si="30"/>
        <v/>
      </c>
    </row>
    <row r="730" spans="3:6" x14ac:dyDescent="0.3">
      <c r="C730" s="8" t="str">
        <f t="shared" si="29"/>
        <v/>
      </c>
      <c r="F730" s="8" t="str">
        <f t="shared" si="30"/>
        <v/>
      </c>
    </row>
    <row r="731" spans="3:6" x14ac:dyDescent="0.3">
      <c r="C731" s="8" t="str">
        <f t="shared" si="29"/>
        <v/>
      </c>
      <c r="F731" s="8" t="str">
        <f t="shared" si="30"/>
        <v/>
      </c>
    </row>
    <row r="732" spans="3:6" x14ac:dyDescent="0.3">
      <c r="C732" s="8" t="str">
        <f t="shared" si="29"/>
        <v/>
      </c>
      <c r="F732" s="8" t="str">
        <f t="shared" si="30"/>
        <v/>
      </c>
    </row>
    <row r="733" spans="3:6" x14ac:dyDescent="0.3">
      <c r="C733" s="8" t="str">
        <f t="shared" si="29"/>
        <v/>
      </c>
      <c r="F733" s="8" t="str">
        <f t="shared" si="30"/>
        <v/>
      </c>
    </row>
    <row r="734" spans="3:6" x14ac:dyDescent="0.3">
      <c r="C734" s="8" t="str">
        <f t="shared" si="29"/>
        <v/>
      </c>
      <c r="F734" s="8" t="str">
        <f t="shared" si="30"/>
        <v/>
      </c>
    </row>
    <row r="735" spans="3:6" x14ac:dyDescent="0.3">
      <c r="C735" s="8" t="str">
        <f t="shared" si="29"/>
        <v/>
      </c>
      <c r="F735" s="8" t="str">
        <f t="shared" si="30"/>
        <v/>
      </c>
    </row>
    <row r="736" spans="3:6" x14ac:dyDescent="0.3">
      <c r="C736" s="8" t="str">
        <f t="shared" si="29"/>
        <v/>
      </c>
      <c r="F736" s="8" t="str">
        <f t="shared" si="30"/>
        <v/>
      </c>
    </row>
    <row r="737" spans="3:6" x14ac:dyDescent="0.3">
      <c r="C737" s="8" t="str">
        <f t="shared" si="29"/>
        <v/>
      </c>
      <c r="F737" s="8" t="str">
        <f t="shared" si="30"/>
        <v/>
      </c>
    </row>
    <row r="738" spans="3:6" x14ac:dyDescent="0.3">
      <c r="C738" s="8" t="str">
        <f t="shared" si="29"/>
        <v/>
      </c>
      <c r="F738" s="8" t="str">
        <f t="shared" si="30"/>
        <v/>
      </c>
    </row>
    <row r="739" spans="3:6" x14ac:dyDescent="0.3">
      <c r="C739" s="8" t="str">
        <f t="shared" si="29"/>
        <v/>
      </c>
      <c r="F739" s="8" t="str">
        <f t="shared" si="30"/>
        <v/>
      </c>
    </row>
    <row r="740" spans="3:6" x14ac:dyDescent="0.3">
      <c r="C740" s="8" t="str">
        <f t="shared" si="29"/>
        <v/>
      </c>
      <c r="F740" s="8" t="str">
        <f t="shared" si="30"/>
        <v/>
      </c>
    </row>
    <row r="741" spans="3:6" x14ac:dyDescent="0.3">
      <c r="C741" s="8" t="str">
        <f t="shared" si="29"/>
        <v/>
      </c>
      <c r="F741" s="8" t="str">
        <f t="shared" si="30"/>
        <v/>
      </c>
    </row>
    <row r="742" spans="3:6" x14ac:dyDescent="0.3">
      <c r="C742" s="8" t="str">
        <f t="shared" si="29"/>
        <v/>
      </c>
      <c r="F742" s="8" t="str">
        <f t="shared" si="30"/>
        <v/>
      </c>
    </row>
    <row r="743" spans="3:6" x14ac:dyDescent="0.3">
      <c r="C743" s="8" t="str">
        <f t="shared" si="29"/>
        <v/>
      </c>
      <c r="F743" s="8" t="str">
        <f t="shared" si="30"/>
        <v/>
      </c>
    </row>
    <row r="744" spans="3:6" x14ac:dyDescent="0.3">
      <c r="C744" s="8" t="str">
        <f t="shared" si="29"/>
        <v/>
      </c>
      <c r="F744" s="8" t="str">
        <f t="shared" si="30"/>
        <v/>
      </c>
    </row>
    <row r="745" spans="3:6" x14ac:dyDescent="0.3">
      <c r="C745" s="8" t="str">
        <f t="shared" si="29"/>
        <v/>
      </c>
      <c r="F745" s="8" t="str">
        <f t="shared" si="30"/>
        <v/>
      </c>
    </row>
    <row r="746" spans="3:6" x14ac:dyDescent="0.3">
      <c r="C746" s="8" t="str">
        <f t="shared" si="29"/>
        <v/>
      </c>
      <c r="F746" s="8" t="str">
        <f t="shared" si="30"/>
        <v/>
      </c>
    </row>
    <row r="747" spans="3:6" x14ac:dyDescent="0.3">
      <c r="C747" s="8" t="str">
        <f t="shared" si="29"/>
        <v/>
      </c>
      <c r="F747" s="8" t="str">
        <f t="shared" si="30"/>
        <v/>
      </c>
    </row>
    <row r="748" spans="3:6" x14ac:dyDescent="0.3">
      <c r="C748" s="8" t="str">
        <f t="shared" si="29"/>
        <v/>
      </c>
      <c r="F748" s="8" t="str">
        <f t="shared" si="30"/>
        <v/>
      </c>
    </row>
    <row r="749" spans="3:6" x14ac:dyDescent="0.3">
      <c r="C749" s="8" t="str">
        <f t="shared" si="29"/>
        <v/>
      </c>
      <c r="F749" s="8" t="str">
        <f t="shared" si="30"/>
        <v/>
      </c>
    </row>
    <row r="750" spans="3:6" x14ac:dyDescent="0.3">
      <c r="C750" s="8" t="str">
        <f t="shared" si="29"/>
        <v/>
      </c>
      <c r="F750" s="8" t="str">
        <f t="shared" si="30"/>
        <v/>
      </c>
    </row>
    <row r="751" spans="3:6" x14ac:dyDescent="0.3">
      <c r="C751" s="8" t="str">
        <f t="shared" si="29"/>
        <v/>
      </c>
      <c r="F751" s="8" t="str">
        <f t="shared" si="30"/>
        <v/>
      </c>
    </row>
    <row r="752" spans="3:6" x14ac:dyDescent="0.3">
      <c r="C752" s="8" t="str">
        <f t="shared" si="29"/>
        <v/>
      </c>
      <c r="F752" s="8" t="str">
        <f t="shared" si="30"/>
        <v/>
      </c>
    </row>
    <row r="753" spans="3:6" x14ac:dyDescent="0.3">
      <c r="C753" s="8" t="str">
        <f t="shared" si="29"/>
        <v/>
      </c>
      <c r="F753" s="8" t="str">
        <f t="shared" si="30"/>
        <v/>
      </c>
    </row>
    <row r="754" spans="3:6" x14ac:dyDescent="0.3">
      <c r="C754" s="8" t="str">
        <f t="shared" si="29"/>
        <v/>
      </c>
      <c r="F754" s="8" t="str">
        <f t="shared" si="30"/>
        <v/>
      </c>
    </row>
    <row r="755" spans="3:6" x14ac:dyDescent="0.3">
      <c r="C755" s="8" t="str">
        <f t="shared" si="29"/>
        <v/>
      </c>
      <c r="F755" s="8" t="str">
        <f t="shared" si="30"/>
        <v/>
      </c>
    </row>
    <row r="756" spans="3:6" x14ac:dyDescent="0.3">
      <c r="C756" s="8" t="str">
        <f t="shared" si="29"/>
        <v/>
      </c>
      <c r="F756" s="8" t="str">
        <f t="shared" si="30"/>
        <v/>
      </c>
    </row>
    <row r="757" spans="3:6" x14ac:dyDescent="0.3">
      <c r="C757" s="8" t="str">
        <f t="shared" si="29"/>
        <v/>
      </c>
      <c r="F757" s="8" t="str">
        <f t="shared" si="30"/>
        <v/>
      </c>
    </row>
    <row r="758" spans="3:6" x14ac:dyDescent="0.3">
      <c r="C758" s="8" t="str">
        <f t="shared" si="29"/>
        <v/>
      </c>
      <c r="F758" s="8" t="str">
        <f t="shared" si="30"/>
        <v/>
      </c>
    </row>
    <row r="759" spans="3:6" x14ac:dyDescent="0.3">
      <c r="C759" s="8" t="str">
        <f t="shared" si="29"/>
        <v/>
      </c>
      <c r="F759" s="8" t="str">
        <f t="shared" si="30"/>
        <v/>
      </c>
    </row>
    <row r="760" spans="3:6" x14ac:dyDescent="0.3">
      <c r="C760" s="8" t="str">
        <f t="shared" si="29"/>
        <v/>
      </c>
      <c r="F760" s="8" t="str">
        <f t="shared" si="30"/>
        <v/>
      </c>
    </row>
    <row r="761" spans="3:6" x14ac:dyDescent="0.3">
      <c r="C761" s="8" t="str">
        <f t="shared" si="29"/>
        <v/>
      </c>
      <c r="F761" s="8" t="str">
        <f t="shared" si="30"/>
        <v/>
      </c>
    </row>
    <row r="762" spans="3:6" x14ac:dyDescent="0.3">
      <c r="C762" s="8" t="str">
        <f t="shared" si="29"/>
        <v/>
      </c>
      <c r="F762" s="8" t="str">
        <f t="shared" si="30"/>
        <v/>
      </c>
    </row>
    <row r="763" spans="3:6" x14ac:dyDescent="0.3">
      <c r="C763" s="8" t="str">
        <f t="shared" si="29"/>
        <v/>
      </c>
      <c r="F763" s="8" t="str">
        <f t="shared" si="30"/>
        <v/>
      </c>
    </row>
    <row r="764" spans="3:6" x14ac:dyDescent="0.3">
      <c r="C764" s="8" t="str">
        <f t="shared" si="29"/>
        <v/>
      </c>
      <c r="F764" s="8" t="str">
        <f t="shared" si="30"/>
        <v/>
      </c>
    </row>
    <row r="765" spans="3:6" x14ac:dyDescent="0.3">
      <c r="C765" s="8" t="str">
        <f t="shared" si="29"/>
        <v/>
      </c>
      <c r="F765" s="8" t="str">
        <f t="shared" si="30"/>
        <v/>
      </c>
    </row>
    <row r="766" spans="3:6" x14ac:dyDescent="0.3">
      <c r="C766" s="8" t="str">
        <f t="shared" si="29"/>
        <v/>
      </c>
      <c r="F766" s="8" t="str">
        <f t="shared" si="30"/>
        <v/>
      </c>
    </row>
    <row r="767" spans="3:6" x14ac:dyDescent="0.3">
      <c r="C767" s="8" t="str">
        <f t="shared" si="29"/>
        <v/>
      </c>
      <c r="F767" s="8" t="str">
        <f t="shared" si="30"/>
        <v/>
      </c>
    </row>
    <row r="768" spans="3:6" x14ac:dyDescent="0.3">
      <c r="C768" s="8" t="str">
        <f t="shared" si="29"/>
        <v/>
      </c>
      <c r="F768" s="8" t="str">
        <f t="shared" si="30"/>
        <v/>
      </c>
    </row>
    <row r="769" spans="3:6" x14ac:dyDescent="0.3">
      <c r="C769" s="8" t="str">
        <f t="shared" si="29"/>
        <v/>
      </c>
      <c r="F769" s="8" t="str">
        <f t="shared" si="30"/>
        <v/>
      </c>
    </row>
    <row r="770" spans="3:6" x14ac:dyDescent="0.3">
      <c r="C770" s="8" t="str">
        <f t="shared" si="29"/>
        <v/>
      </c>
      <c r="F770" s="8" t="str">
        <f t="shared" si="30"/>
        <v/>
      </c>
    </row>
    <row r="771" spans="3:6" x14ac:dyDescent="0.3">
      <c r="C771" s="8" t="str">
        <f t="shared" si="29"/>
        <v/>
      </c>
      <c r="F771" s="8" t="str">
        <f t="shared" si="30"/>
        <v/>
      </c>
    </row>
    <row r="772" spans="3:6" x14ac:dyDescent="0.3">
      <c r="C772" s="8" t="str">
        <f t="shared" si="29"/>
        <v/>
      </c>
      <c r="F772" s="8" t="str">
        <f t="shared" si="30"/>
        <v/>
      </c>
    </row>
    <row r="773" spans="3:6" x14ac:dyDescent="0.3">
      <c r="C773" s="8" t="str">
        <f t="shared" si="29"/>
        <v/>
      </c>
      <c r="F773" s="8" t="str">
        <f t="shared" si="30"/>
        <v/>
      </c>
    </row>
    <row r="774" spans="3:6" x14ac:dyDescent="0.3">
      <c r="C774" s="8" t="str">
        <f t="shared" si="29"/>
        <v/>
      </c>
      <c r="F774" s="8" t="str">
        <f t="shared" si="30"/>
        <v/>
      </c>
    </row>
    <row r="775" spans="3:6" x14ac:dyDescent="0.3">
      <c r="C775" s="8" t="str">
        <f t="shared" si="29"/>
        <v/>
      </c>
      <c r="F775" s="8" t="str">
        <f t="shared" si="30"/>
        <v/>
      </c>
    </row>
    <row r="776" spans="3:6" x14ac:dyDescent="0.3">
      <c r="C776" s="8" t="str">
        <f t="shared" si="29"/>
        <v/>
      </c>
      <c r="F776" s="8" t="str">
        <f t="shared" si="30"/>
        <v/>
      </c>
    </row>
    <row r="777" spans="3:6" x14ac:dyDescent="0.3">
      <c r="C777" s="8" t="str">
        <f t="shared" si="29"/>
        <v/>
      </c>
      <c r="F777" s="8" t="str">
        <f t="shared" si="30"/>
        <v/>
      </c>
    </row>
    <row r="778" spans="3:6" x14ac:dyDescent="0.3">
      <c r="C778" s="8" t="str">
        <f t="shared" si="29"/>
        <v/>
      </c>
      <c r="F778" s="8" t="str">
        <f t="shared" si="30"/>
        <v/>
      </c>
    </row>
    <row r="779" spans="3:6" x14ac:dyDescent="0.3">
      <c r="C779" s="8" t="str">
        <f t="shared" si="29"/>
        <v/>
      </c>
      <c r="F779" s="8" t="str">
        <f t="shared" si="30"/>
        <v/>
      </c>
    </row>
    <row r="780" spans="3:6" x14ac:dyDescent="0.3">
      <c r="C780" s="8" t="str">
        <f t="shared" ref="C780:C843" si="31">IF(B780="PBHAv1.0","PCB"&amp;TEXT(A780,"yyyymmdd")&amp;"-01",IF(B780="SBCT","SBCT"&amp;TEXT(A780,"yyyymmdd"),IF(B780="SCRA","SCRA"&amp;TEXT(A780,"yyyymmdd"),"")))</f>
        <v/>
      </c>
      <c r="F780" s="8" t="str">
        <f t="shared" ref="F780:F843" si="32">IF(ISBLANK(B780),"",IF(B780="PBHAv1.0",IF(OR(ISBLANK(D780),ISBLANK(E780)),"",IF(AND(D780&gt;=360,D780&lt;=460,E780&lt;=0.4),"적합","부적합")),IF(ISBLANK(D780),"",IF(B780="SBCT",IF(AND(D780&gt;=170,D780&lt;=220),"적합","부적합"),IF(B780="SCRA",IF(AND(D780&gt;=50,D780&lt;=70),"적합","부적합"),"")))))</f>
        <v/>
      </c>
    </row>
    <row r="781" spans="3:6" x14ac:dyDescent="0.3">
      <c r="C781" s="8" t="str">
        <f t="shared" si="31"/>
        <v/>
      </c>
      <c r="F781" s="8" t="str">
        <f t="shared" si="32"/>
        <v/>
      </c>
    </row>
    <row r="782" spans="3:6" x14ac:dyDescent="0.3">
      <c r="C782" s="8" t="str">
        <f t="shared" si="31"/>
        <v/>
      </c>
      <c r="F782" s="8" t="str">
        <f t="shared" si="32"/>
        <v/>
      </c>
    </row>
    <row r="783" spans="3:6" x14ac:dyDescent="0.3">
      <c r="C783" s="8" t="str">
        <f t="shared" si="31"/>
        <v/>
      </c>
      <c r="F783" s="8" t="str">
        <f t="shared" si="32"/>
        <v/>
      </c>
    </row>
    <row r="784" spans="3:6" x14ac:dyDescent="0.3">
      <c r="C784" s="8" t="str">
        <f t="shared" si="31"/>
        <v/>
      </c>
      <c r="F784" s="8" t="str">
        <f t="shared" si="32"/>
        <v/>
      </c>
    </row>
    <row r="785" spans="3:6" x14ac:dyDescent="0.3">
      <c r="C785" s="8" t="str">
        <f t="shared" si="31"/>
        <v/>
      </c>
      <c r="F785" s="8" t="str">
        <f t="shared" si="32"/>
        <v/>
      </c>
    </row>
    <row r="786" spans="3:6" x14ac:dyDescent="0.3">
      <c r="C786" s="8" t="str">
        <f t="shared" si="31"/>
        <v/>
      </c>
      <c r="F786" s="8" t="str">
        <f t="shared" si="32"/>
        <v/>
      </c>
    </row>
    <row r="787" spans="3:6" x14ac:dyDescent="0.3">
      <c r="C787" s="8" t="str">
        <f t="shared" si="31"/>
        <v/>
      </c>
      <c r="F787" s="8" t="str">
        <f t="shared" si="32"/>
        <v/>
      </c>
    </row>
    <row r="788" spans="3:6" x14ac:dyDescent="0.3">
      <c r="C788" s="8" t="str">
        <f t="shared" si="31"/>
        <v/>
      </c>
      <c r="F788" s="8" t="str">
        <f t="shared" si="32"/>
        <v/>
      </c>
    </row>
    <row r="789" spans="3:6" x14ac:dyDescent="0.3">
      <c r="C789" s="8" t="str">
        <f t="shared" si="31"/>
        <v/>
      </c>
      <c r="F789" s="8" t="str">
        <f t="shared" si="32"/>
        <v/>
      </c>
    </row>
    <row r="790" spans="3:6" x14ac:dyDescent="0.3">
      <c r="C790" s="8" t="str">
        <f t="shared" si="31"/>
        <v/>
      </c>
      <c r="F790" s="8" t="str">
        <f t="shared" si="32"/>
        <v/>
      </c>
    </row>
    <row r="791" spans="3:6" x14ac:dyDescent="0.3">
      <c r="C791" s="8" t="str">
        <f t="shared" si="31"/>
        <v/>
      </c>
      <c r="F791" s="8" t="str">
        <f t="shared" si="32"/>
        <v/>
      </c>
    </row>
    <row r="792" spans="3:6" x14ac:dyDescent="0.3">
      <c r="C792" s="8" t="str">
        <f t="shared" si="31"/>
        <v/>
      </c>
      <c r="F792" s="8" t="str">
        <f t="shared" si="32"/>
        <v/>
      </c>
    </row>
    <row r="793" spans="3:6" x14ac:dyDescent="0.3">
      <c r="C793" s="8" t="str">
        <f t="shared" si="31"/>
        <v/>
      </c>
      <c r="F793" s="8" t="str">
        <f t="shared" si="32"/>
        <v/>
      </c>
    </row>
    <row r="794" spans="3:6" x14ac:dyDescent="0.3">
      <c r="C794" s="8" t="str">
        <f t="shared" si="31"/>
        <v/>
      </c>
      <c r="F794" s="8" t="str">
        <f t="shared" si="32"/>
        <v/>
      </c>
    </row>
    <row r="795" spans="3:6" x14ac:dyDescent="0.3">
      <c r="C795" s="8" t="str">
        <f t="shared" si="31"/>
        <v/>
      </c>
      <c r="F795" s="8" t="str">
        <f t="shared" si="32"/>
        <v/>
      </c>
    </row>
    <row r="796" spans="3:6" x14ac:dyDescent="0.3">
      <c r="C796" s="8" t="str">
        <f t="shared" si="31"/>
        <v/>
      </c>
      <c r="F796" s="8" t="str">
        <f t="shared" si="32"/>
        <v/>
      </c>
    </row>
    <row r="797" spans="3:6" x14ac:dyDescent="0.3">
      <c r="C797" s="8" t="str">
        <f t="shared" si="31"/>
        <v/>
      </c>
      <c r="F797" s="8" t="str">
        <f t="shared" si="32"/>
        <v/>
      </c>
    </row>
    <row r="798" spans="3:6" x14ac:dyDescent="0.3">
      <c r="C798" s="8" t="str">
        <f t="shared" si="31"/>
        <v/>
      </c>
      <c r="F798" s="8" t="str">
        <f t="shared" si="32"/>
        <v/>
      </c>
    </row>
    <row r="799" spans="3:6" x14ac:dyDescent="0.3">
      <c r="C799" s="8" t="str">
        <f t="shared" si="31"/>
        <v/>
      </c>
      <c r="F799" s="8" t="str">
        <f t="shared" si="32"/>
        <v/>
      </c>
    </row>
    <row r="800" spans="3:6" x14ac:dyDescent="0.3">
      <c r="C800" s="8" t="str">
        <f t="shared" si="31"/>
        <v/>
      </c>
      <c r="F800" s="8" t="str">
        <f t="shared" si="32"/>
        <v/>
      </c>
    </row>
    <row r="801" spans="3:6" x14ac:dyDescent="0.3">
      <c r="C801" s="8" t="str">
        <f t="shared" si="31"/>
        <v/>
      </c>
      <c r="F801" s="8" t="str">
        <f t="shared" si="32"/>
        <v/>
      </c>
    </row>
    <row r="802" spans="3:6" x14ac:dyDescent="0.3">
      <c r="C802" s="8" t="str">
        <f t="shared" si="31"/>
        <v/>
      </c>
      <c r="F802" s="8" t="str">
        <f t="shared" si="32"/>
        <v/>
      </c>
    </row>
    <row r="803" spans="3:6" x14ac:dyDescent="0.3">
      <c r="C803" s="8" t="str">
        <f t="shared" si="31"/>
        <v/>
      </c>
      <c r="F803" s="8" t="str">
        <f t="shared" si="32"/>
        <v/>
      </c>
    </row>
    <row r="804" spans="3:6" x14ac:dyDescent="0.3">
      <c r="C804" s="8" t="str">
        <f t="shared" si="31"/>
        <v/>
      </c>
      <c r="F804" s="8" t="str">
        <f t="shared" si="32"/>
        <v/>
      </c>
    </row>
    <row r="805" spans="3:6" x14ac:dyDescent="0.3">
      <c r="C805" s="8" t="str">
        <f t="shared" si="31"/>
        <v/>
      </c>
      <c r="F805" s="8" t="str">
        <f t="shared" si="32"/>
        <v/>
      </c>
    </row>
    <row r="806" spans="3:6" x14ac:dyDescent="0.3">
      <c r="C806" s="8" t="str">
        <f t="shared" si="31"/>
        <v/>
      </c>
      <c r="F806" s="8" t="str">
        <f t="shared" si="32"/>
        <v/>
      </c>
    </row>
    <row r="807" spans="3:6" x14ac:dyDescent="0.3">
      <c r="C807" s="8" t="str">
        <f t="shared" si="31"/>
        <v/>
      </c>
      <c r="F807" s="8" t="str">
        <f t="shared" si="32"/>
        <v/>
      </c>
    </row>
    <row r="808" spans="3:6" x14ac:dyDescent="0.3">
      <c r="C808" s="8" t="str">
        <f t="shared" si="31"/>
        <v/>
      </c>
      <c r="F808" s="8" t="str">
        <f t="shared" si="32"/>
        <v/>
      </c>
    </row>
    <row r="809" spans="3:6" x14ac:dyDescent="0.3">
      <c r="C809" s="8" t="str">
        <f t="shared" si="31"/>
        <v/>
      </c>
      <c r="F809" s="8" t="str">
        <f t="shared" si="32"/>
        <v/>
      </c>
    </row>
    <row r="810" spans="3:6" x14ac:dyDescent="0.3">
      <c r="C810" s="8" t="str">
        <f t="shared" si="31"/>
        <v/>
      </c>
      <c r="F810" s="8" t="str">
        <f t="shared" si="32"/>
        <v/>
      </c>
    </row>
    <row r="811" spans="3:6" x14ac:dyDescent="0.3">
      <c r="C811" s="8" t="str">
        <f t="shared" si="31"/>
        <v/>
      </c>
      <c r="F811" s="8" t="str">
        <f t="shared" si="32"/>
        <v/>
      </c>
    </row>
    <row r="812" spans="3:6" x14ac:dyDescent="0.3">
      <c r="C812" s="8" t="str">
        <f t="shared" si="31"/>
        <v/>
      </c>
      <c r="F812" s="8" t="str">
        <f t="shared" si="32"/>
        <v/>
      </c>
    </row>
    <row r="813" spans="3:6" x14ac:dyDescent="0.3">
      <c r="C813" s="8" t="str">
        <f t="shared" si="31"/>
        <v/>
      </c>
      <c r="F813" s="8" t="str">
        <f t="shared" si="32"/>
        <v/>
      </c>
    </row>
    <row r="814" spans="3:6" x14ac:dyDescent="0.3">
      <c r="C814" s="8" t="str">
        <f t="shared" si="31"/>
        <v/>
      </c>
      <c r="F814" s="8" t="str">
        <f t="shared" si="32"/>
        <v/>
      </c>
    </row>
    <row r="815" spans="3:6" x14ac:dyDescent="0.3">
      <c r="C815" s="8" t="str">
        <f t="shared" si="31"/>
        <v/>
      </c>
      <c r="F815" s="8" t="str">
        <f t="shared" si="32"/>
        <v/>
      </c>
    </row>
    <row r="816" spans="3:6" x14ac:dyDescent="0.3">
      <c r="C816" s="8" t="str">
        <f t="shared" si="31"/>
        <v/>
      </c>
      <c r="F816" s="8" t="str">
        <f t="shared" si="32"/>
        <v/>
      </c>
    </row>
    <row r="817" spans="3:6" x14ac:dyDescent="0.3">
      <c r="C817" s="8" t="str">
        <f t="shared" si="31"/>
        <v/>
      </c>
      <c r="F817" s="8" t="str">
        <f t="shared" si="32"/>
        <v/>
      </c>
    </row>
    <row r="818" spans="3:6" x14ac:dyDescent="0.3">
      <c r="C818" s="8" t="str">
        <f t="shared" si="31"/>
        <v/>
      </c>
      <c r="F818" s="8" t="str">
        <f t="shared" si="32"/>
        <v/>
      </c>
    </row>
    <row r="819" spans="3:6" x14ac:dyDescent="0.3">
      <c r="C819" s="8" t="str">
        <f t="shared" si="31"/>
        <v/>
      </c>
      <c r="F819" s="8" t="str">
        <f t="shared" si="32"/>
        <v/>
      </c>
    </row>
    <row r="820" spans="3:6" x14ac:dyDescent="0.3">
      <c r="C820" s="8" t="str">
        <f t="shared" si="31"/>
        <v/>
      </c>
      <c r="F820" s="8" t="str">
        <f t="shared" si="32"/>
        <v/>
      </c>
    </row>
    <row r="821" spans="3:6" x14ac:dyDescent="0.3">
      <c r="C821" s="8" t="str">
        <f t="shared" si="31"/>
        <v/>
      </c>
      <c r="F821" s="8" t="str">
        <f t="shared" si="32"/>
        <v/>
      </c>
    </row>
    <row r="822" spans="3:6" x14ac:dyDescent="0.3">
      <c r="C822" s="8" t="str">
        <f t="shared" si="31"/>
        <v/>
      </c>
      <c r="F822" s="8" t="str">
        <f t="shared" si="32"/>
        <v/>
      </c>
    </row>
    <row r="823" spans="3:6" x14ac:dyDescent="0.3">
      <c r="C823" s="8" t="str">
        <f t="shared" si="31"/>
        <v/>
      </c>
      <c r="F823" s="8" t="str">
        <f t="shared" si="32"/>
        <v/>
      </c>
    </row>
    <row r="824" spans="3:6" x14ac:dyDescent="0.3">
      <c r="C824" s="8" t="str">
        <f t="shared" si="31"/>
        <v/>
      </c>
      <c r="F824" s="8" t="str">
        <f t="shared" si="32"/>
        <v/>
      </c>
    </row>
    <row r="825" spans="3:6" x14ac:dyDescent="0.3">
      <c r="C825" s="8" t="str">
        <f t="shared" si="31"/>
        <v/>
      </c>
      <c r="F825" s="8" t="str">
        <f t="shared" si="32"/>
        <v/>
      </c>
    </row>
    <row r="826" spans="3:6" x14ac:dyDescent="0.3">
      <c r="C826" s="8" t="str">
        <f t="shared" si="31"/>
        <v/>
      </c>
      <c r="F826" s="8" t="str">
        <f t="shared" si="32"/>
        <v/>
      </c>
    </row>
    <row r="827" spans="3:6" x14ac:dyDescent="0.3">
      <c r="C827" s="8" t="str">
        <f t="shared" si="31"/>
        <v/>
      </c>
      <c r="F827" s="8" t="str">
        <f t="shared" si="32"/>
        <v/>
      </c>
    </row>
    <row r="828" spans="3:6" x14ac:dyDescent="0.3">
      <c r="C828" s="8" t="str">
        <f t="shared" si="31"/>
        <v/>
      </c>
      <c r="F828" s="8" t="str">
        <f t="shared" si="32"/>
        <v/>
      </c>
    </row>
    <row r="829" spans="3:6" x14ac:dyDescent="0.3">
      <c r="C829" s="8" t="str">
        <f t="shared" si="31"/>
        <v/>
      </c>
      <c r="F829" s="8" t="str">
        <f t="shared" si="32"/>
        <v/>
      </c>
    </row>
    <row r="830" spans="3:6" x14ac:dyDescent="0.3">
      <c r="C830" s="8" t="str">
        <f t="shared" si="31"/>
        <v/>
      </c>
      <c r="F830" s="8" t="str">
        <f t="shared" si="32"/>
        <v/>
      </c>
    </row>
    <row r="831" spans="3:6" x14ac:dyDescent="0.3">
      <c r="C831" s="8" t="str">
        <f t="shared" si="31"/>
        <v/>
      </c>
      <c r="F831" s="8" t="str">
        <f t="shared" si="32"/>
        <v/>
      </c>
    </row>
    <row r="832" spans="3:6" x14ac:dyDescent="0.3">
      <c r="C832" s="8" t="str">
        <f t="shared" si="31"/>
        <v/>
      </c>
      <c r="F832" s="8" t="str">
        <f t="shared" si="32"/>
        <v/>
      </c>
    </row>
    <row r="833" spans="3:6" x14ac:dyDescent="0.3">
      <c r="C833" s="8" t="str">
        <f t="shared" si="31"/>
        <v/>
      </c>
      <c r="F833" s="8" t="str">
        <f t="shared" si="32"/>
        <v/>
      </c>
    </row>
    <row r="834" spans="3:6" x14ac:dyDescent="0.3">
      <c r="C834" s="8" t="str">
        <f t="shared" si="31"/>
        <v/>
      </c>
      <c r="F834" s="8" t="str">
        <f t="shared" si="32"/>
        <v/>
      </c>
    </row>
    <row r="835" spans="3:6" x14ac:dyDescent="0.3">
      <c r="C835" s="8" t="str">
        <f t="shared" si="31"/>
        <v/>
      </c>
      <c r="F835" s="8" t="str">
        <f t="shared" si="32"/>
        <v/>
      </c>
    </row>
    <row r="836" spans="3:6" x14ac:dyDescent="0.3">
      <c r="C836" s="8" t="str">
        <f t="shared" si="31"/>
        <v/>
      </c>
      <c r="F836" s="8" t="str">
        <f t="shared" si="32"/>
        <v/>
      </c>
    </row>
    <row r="837" spans="3:6" x14ac:dyDescent="0.3">
      <c r="C837" s="8" t="str">
        <f t="shared" si="31"/>
        <v/>
      </c>
      <c r="F837" s="8" t="str">
        <f t="shared" si="32"/>
        <v/>
      </c>
    </row>
    <row r="838" spans="3:6" x14ac:dyDescent="0.3">
      <c r="C838" s="8" t="str">
        <f t="shared" si="31"/>
        <v/>
      </c>
      <c r="F838" s="8" t="str">
        <f t="shared" si="32"/>
        <v/>
      </c>
    </row>
    <row r="839" spans="3:6" x14ac:dyDescent="0.3">
      <c r="C839" s="8" t="str">
        <f t="shared" si="31"/>
        <v/>
      </c>
      <c r="F839" s="8" t="str">
        <f t="shared" si="32"/>
        <v/>
      </c>
    </row>
    <row r="840" spans="3:6" x14ac:dyDescent="0.3">
      <c r="C840" s="8" t="str">
        <f t="shared" si="31"/>
        <v/>
      </c>
      <c r="F840" s="8" t="str">
        <f t="shared" si="32"/>
        <v/>
      </c>
    </row>
    <row r="841" spans="3:6" x14ac:dyDescent="0.3">
      <c r="C841" s="8" t="str">
        <f t="shared" si="31"/>
        <v/>
      </c>
      <c r="F841" s="8" t="str">
        <f t="shared" si="32"/>
        <v/>
      </c>
    </row>
    <row r="842" spans="3:6" x14ac:dyDescent="0.3">
      <c r="C842" s="8" t="str">
        <f t="shared" si="31"/>
        <v/>
      </c>
      <c r="F842" s="8" t="str">
        <f t="shared" si="32"/>
        <v/>
      </c>
    </row>
    <row r="843" spans="3:6" x14ac:dyDescent="0.3">
      <c r="C843" s="8" t="str">
        <f t="shared" si="31"/>
        <v/>
      </c>
      <c r="F843" s="8" t="str">
        <f t="shared" si="32"/>
        <v/>
      </c>
    </row>
    <row r="844" spans="3:6" x14ac:dyDescent="0.3">
      <c r="C844" s="8" t="str">
        <f t="shared" ref="C844:C907" si="33">IF(B844="PBHAv1.0","PCB"&amp;TEXT(A844,"yyyymmdd")&amp;"-01",IF(B844="SBCT","SBCT"&amp;TEXT(A844,"yyyymmdd"),IF(B844="SCRA","SCRA"&amp;TEXT(A844,"yyyymmdd"),"")))</f>
        <v/>
      </c>
      <c r="F844" s="8" t="str">
        <f t="shared" ref="F844:F907" si="34">IF(ISBLANK(B844),"",IF(B844="PBHAv1.0",IF(OR(ISBLANK(D844),ISBLANK(E844)),"",IF(AND(D844&gt;=360,D844&lt;=460,E844&lt;=0.4),"적합","부적합")),IF(ISBLANK(D844),"",IF(B844="SBCT",IF(AND(D844&gt;=170,D844&lt;=220),"적합","부적합"),IF(B844="SCRA",IF(AND(D844&gt;=50,D844&lt;=70),"적합","부적합"),"")))))</f>
        <v/>
      </c>
    </row>
    <row r="845" spans="3:6" x14ac:dyDescent="0.3">
      <c r="C845" s="8" t="str">
        <f t="shared" si="33"/>
        <v/>
      </c>
      <c r="F845" s="8" t="str">
        <f t="shared" si="34"/>
        <v/>
      </c>
    </row>
    <row r="846" spans="3:6" x14ac:dyDescent="0.3">
      <c r="C846" s="8" t="str">
        <f t="shared" si="33"/>
        <v/>
      </c>
      <c r="F846" s="8" t="str">
        <f t="shared" si="34"/>
        <v/>
      </c>
    </row>
    <row r="847" spans="3:6" x14ac:dyDescent="0.3">
      <c r="C847" s="8" t="str">
        <f t="shared" si="33"/>
        <v/>
      </c>
      <c r="F847" s="8" t="str">
        <f t="shared" si="34"/>
        <v/>
      </c>
    </row>
    <row r="848" spans="3:6" x14ac:dyDescent="0.3">
      <c r="C848" s="8" t="str">
        <f t="shared" si="33"/>
        <v/>
      </c>
      <c r="F848" s="8" t="str">
        <f t="shared" si="34"/>
        <v/>
      </c>
    </row>
    <row r="849" spans="3:6" x14ac:dyDescent="0.3">
      <c r="C849" s="8" t="str">
        <f t="shared" si="33"/>
        <v/>
      </c>
      <c r="F849" s="8" t="str">
        <f t="shared" si="34"/>
        <v/>
      </c>
    </row>
    <row r="850" spans="3:6" x14ac:dyDescent="0.3">
      <c r="C850" s="8" t="str">
        <f t="shared" si="33"/>
        <v/>
      </c>
      <c r="F850" s="8" t="str">
        <f t="shared" si="34"/>
        <v/>
      </c>
    </row>
    <row r="851" spans="3:6" x14ac:dyDescent="0.3">
      <c r="C851" s="8" t="str">
        <f t="shared" si="33"/>
        <v/>
      </c>
      <c r="F851" s="8" t="str">
        <f t="shared" si="34"/>
        <v/>
      </c>
    </row>
    <row r="852" spans="3:6" x14ac:dyDescent="0.3">
      <c r="C852" s="8" t="str">
        <f t="shared" si="33"/>
        <v/>
      </c>
      <c r="F852" s="8" t="str">
        <f t="shared" si="34"/>
        <v/>
      </c>
    </row>
    <row r="853" spans="3:6" x14ac:dyDescent="0.3">
      <c r="C853" s="8" t="str">
        <f t="shared" si="33"/>
        <v/>
      </c>
      <c r="F853" s="8" t="str">
        <f t="shared" si="34"/>
        <v/>
      </c>
    </row>
    <row r="854" spans="3:6" x14ac:dyDescent="0.3">
      <c r="C854" s="8" t="str">
        <f t="shared" si="33"/>
        <v/>
      </c>
      <c r="F854" s="8" t="str">
        <f t="shared" si="34"/>
        <v/>
      </c>
    </row>
    <row r="855" spans="3:6" x14ac:dyDescent="0.3">
      <c r="C855" s="8" t="str">
        <f t="shared" si="33"/>
        <v/>
      </c>
      <c r="F855" s="8" t="str">
        <f t="shared" si="34"/>
        <v/>
      </c>
    </row>
    <row r="856" spans="3:6" x14ac:dyDescent="0.3">
      <c r="C856" s="8" t="str">
        <f t="shared" si="33"/>
        <v/>
      </c>
      <c r="F856" s="8" t="str">
        <f t="shared" si="34"/>
        <v/>
      </c>
    </row>
    <row r="857" spans="3:6" x14ac:dyDescent="0.3">
      <c r="C857" s="8" t="str">
        <f t="shared" si="33"/>
        <v/>
      </c>
      <c r="F857" s="8" t="str">
        <f t="shared" si="34"/>
        <v/>
      </c>
    </row>
    <row r="858" spans="3:6" x14ac:dyDescent="0.3">
      <c r="C858" s="8" t="str">
        <f t="shared" si="33"/>
        <v/>
      </c>
      <c r="F858" s="8" t="str">
        <f t="shared" si="34"/>
        <v/>
      </c>
    </row>
    <row r="859" spans="3:6" x14ac:dyDescent="0.3">
      <c r="C859" s="8" t="str">
        <f t="shared" si="33"/>
        <v/>
      </c>
      <c r="F859" s="8" t="str">
        <f t="shared" si="34"/>
        <v/>
      </c>
    </row>
    <row r="860" spans="3:6" x14ac:dyDescent="0.3">
      <c r="C860" s="8" t="str">
        <f t="shared" si="33"/>
        <v/>
      </c>
      <c r="F860" s="8" t="str">
        <f t="shared" si="34"/>
        <v/>
      </c>
    </row>
    <row r="861" spans="3:6" x14ac:dyDescent="0.3">
      <c r="C861" s="8" t="str">
        <f t="shared" si="33"/>
        <v/>
      </c>
      <c r="F861" s="8" t="str">
        <f t="shared" si="34"/>
        <v/>
      </c>
    </row>
    <row r="862" spans="3:6" x14ac:dyDescent="0.3">
      <c r="C862" s="8" t="str">
        <f t="shared" si="33"/>
        <v/>
      </c>
      <c r="F862" s="8" t="str">
        <f t="shared" si="34"/>
        <v/>
      </c>
    </row>
    <row r="863" spans="3:6" x14ac:dyDescent="0.3">
      <c r="C863" s="8" t="str">
        <f t="shared" si="33"/>
        <v/>
      </c>
      <c r="F863" s="8" t="str">
        <f t="shared" si="34"/>
        <v/>
      </c>
    </row>
    <row r="864" spans="3:6" x14ac:dyDescent="0.3">
      <c r="C864" s="8" t="str">
        <f t="shared" si="33"/>
        <v/>
      </c>
      <c r="F864" s="8" t="str">
        <f t="shared" si="34"/>
        <v/>
      </c>
    </row>
    <row r="865" spans="3:6" x14ac:dyDescent="0.3">
      <c r="C865" s="8" t="str">
        <f t="shared" si="33"/>
        <v/>
      </c>
      <c r="F865" s="8" t="str">
        <f t="shared" si="34"/>
        <v/>
      </c>
    </row>
    <row r="866" spans="3:6" x14ac:dyDescent="0.3">
      <c r="C866" s="8" t="str">
        <f t="shared" si="33"/>
        <v/>
      </c>
      <c r="F866" s="8" t="str">
        <f t="shared" si="34"/>
        <v/>
      </c>
    </row>
    <row r="867" spans="3:6" x14ac:dyDescent="0.3">
      <c r="C867" s="8" t="str">
        <f t="shared" si="33"/>
        <v/>
      </c>
      <c r="F867" s="8" t="str">
        <f t="shared" si="34"/>
        <v/>
      </c>
    </row>
    <row r="868" spans="3:6" x14ac:dyDescent="0.3">
      <c r="C868" s="8" t="str">
        <f t="shared" si="33"/>
        <v/>
      </c>
      <c r="F868" s="8" t="str">
        <f t="shared" si="34"/>
        <v/>
      </c>
    </row>
    <row r="869" spans="3:6" x14ac:dyDescent="0.3">
      <c r="C869" s="8" t="str">
        <f t="shared" si="33"/>
        <v/>
      </c>
      <c r="F869" s="8" t="str">
        <f t="shared" si="34"/>
        <v/>
      </c>
    </row>
    <row r="870" spans="3:6" x14ac:dyDescent="0.3">
      <c r="C870" s="8" t="str">
        <f t="shared" si="33"/>
        <v/>
      </c>
      <c r="F870" s="8" t="str">
        <f t="shared" si="34"/>
        <v/>
      </c>
    </row>
    <row r="871" spans="3:6" x14ac:dyDescent="0.3">
      <c r="C871" s="8" t="str">
        <f t="shared" si="33"/>
        <v/>
      </c>
      <c r="F871" s="8" t="str">
        <f t="shared" si="34"/>
        <v/>
      </c>
    </row>
    <row r="872" spans="3:6" x14ac:dyDescent="0.3">
      <c r="C872" s="8" t="str">
        <f t="shared" si="33"/>
        <v/>
      </c>
      <c r="F872" s="8" t="str">
        <f t="shared" si="34"/>
        <v/>
      </c>
    </row>
    <row r="873" spans="3:6" x14ac:dyDescent="0.3">
      <c r="C873" s="8" t="str">
        <f t="shared" si="33"/>
        <v/>
      </c>
      <c r="F873" s="8" t="str">
        <f t="shared" si="34"/>
        <v/>
      </c>
    </row>
    <row r="874" spans="3:6" x14ac:dyDescent="0.3">
      <c r="C874" s="8" t="str">
        <f t="shared" si="33"/>
        <v/>
      </c>
      <c r="F874" s="8" t="str">
        <f t="shared" si="34"/>
        <v/>
      </c>
    </row>
    <row r="875" spans="3:6" x14ac:dyDescent="0.3">
      <c r="C875" s="8" t="str">
        <f t="shared" si="33"/>
        <v/>
      </c>
      <c r="F875" s="8" t="str">
        <f t="shared" si="34"/>
        <v/>
      </c>
    </row>
    <row r="876" spans="3:6" x14ac:dyDescent="0.3">
      <c r="C876" s="8" t="str">
        <f t="shared" si="33"/>
        <v/>
      </c>
      <c r="F876" s="8" t="str">
        <f t="shared" si="34"/>
        <v/>
      </c>
    </row>
    <row r="877" spans="3:6" x14ac:dyDescent="0.3">
      <c r="C877" s="8" t="str">
        <f t="shared" si="33"/>
        <v/>
      </c>
      <c r="F877" s="8" t="str">
        <f t="shared" si="34"/>
        <v/>
      </c>
    </row>
    <row r="878" spans="3:6" x14ac:dyDescent="0.3">
      <c r="C878" s="8" t="str">
        <f t="shared" si="33"/>
        <v/>
      </c>
      <c r="F878" s="8" t="str">
        <f t="shared" si="34"/>
        <v/>
      </c>
    </row>
    <row r="879" spans="3:6" x14ac:dyDescent="0.3">
      <c r="C879" s="8" t="str">
        <f t="shared" si="33"/>
        <v/>
      </c>
      <c r="F879" s="8" t="str">
        <f t="shared" si="34"/>
        <v/>
      </c>
    </row>
    <row r="880" spans="3:6" x14ac:dyDescent="0.3">
      <c r="C880" s="8" t="str">
        <f t="shared" si="33"/>
        <v/>
      </c>
      <c r="F880" s="8" t="str">
        <f t="shared" si="34"/>
        <v/>
      </c>
    </row>
    <row r="881" spans="3:6" x14ac:dyDescent="0.3">
      <c r="C881" s="8" t="str">
        <f t="shared" si="33"/>
        <v/>
      </c>
      <c r="F881" s="8" t="str">
        <f t="shared" si="34"/>
        <v/>
      </c>
    </row>
    <row r="882" spans="3:6" x14ac:dyDescent="0.3">
      <c r="C882" s="8" t="str">
        <f t="shared" si="33"/>
        <v/>
      </c>
      <c r="F882" s="8" t="str">
        <f t="shared" si="34"/>
        <v/>
      </c>
    </row>
    <row r="883" spans="3:6" x14ac:dyDescent="0.3">
      <c r="C883" s="8" t="str">
        <f t="shared" si="33"/>
        <v/>
      </c>
      <c r="F883" s="8" t="str">
        <f t="shared" si="34"/>
        <v/>
      </c>
    </row>
    <row r="884" spans="3:6" x14ac:dyDescent="0.3">
      <c r="C884" s="8" t="str">
        <f t="shared" si="33"/>
        <v/>
      </c>
      <c r="F884" s="8" t="str">
        <f t="shared" si="34"/>
        <v/>
      </c>
    </row>
    <row r="885" spans="3:6" x14ac:dyDescent="0.3">
      <c r="C885" s="8" t="str">
        <f t="shared" si="33"/>
        <v/>
      </c>
      <c r="F885" s="8" t="str">
        <f t="shared" si="34"/>
        <v/>
      </c>
    </row>
    <row r="886" spans="3:6" x14ac:dyDescent="0.3">
      <c r="C886" s="8" t="str">
        <f t="shared" si="33"/>
        <v/>
      </c>
      <c r="F886" s="8" t="str">
        <f t="shared" si="34"/>
        <v/>
      </c>
    </row>
    <row r="887" spans="3:6" x14ac:dyDescent="0.3">
      <c r="C887" s="8" t="str">
        <f t="shared" si="33"/>
        <v/>
      </c>
      <c r="F887" s="8" t="str">
        <f t="shared" si="34"/>
        <v/>
      </c>
    </row>
    <row r="888" spans="3:6" x14ac:dyDescent="0.3">
      <c r="C888" s="8" t="str">
        <f t="shared" si="33"/>
        <v/>
      </c>
      <c r="F888" s="8" t="str">
        <f t="shared" si="34"/>
        <v/>
      </c>
    </row>
    <row r="889" spans="3:6" x14ac:dyDescent="0.3">
      <c r="C889" s="8" t="str">
        <f t="shared" si="33"/>
        <v/>
      </c>
      <c r="F889" s="8" t="str">
        <f t="shared" si="34"/>
        <v/>
      </c>
    </row>
    <row r="890" spans="3:6" x14ac:dyDescent="0.3">
      <c r="C890" s="8" t="str">
        <f t="shared" si="33"/>
        <v/>
      </c>
      <c r="F890" s="8" t="str">
        <f t="shared" si="34"/>
        <v/>
      </c>
    </row>
    <row r="891" spans="3:6" x14ac:dyDescent="0.3">
      <c r="C891" s="8" t="str">
        <f t="shared" si="33"/>
        <v/>
      </c>
      <c r="F891" s="8" t="str">
        <f t="shared" si="34"/>
        <v/>
      </c>
    </row>
    <row r="892" spans="3:6" x14ac:dyDescent="0.3">
      <c r="C892" s="8" t="str">
        <f t="shared" si="33"/>
        <v/>
      </c>
      <c r="F892" s="8" t="str">
        <f t="shared" si="34"/>
        <v/>
      </c>
    </row>
    <row r="893" spans="3:6" x14ac:dyDescent="0.3">
      <c r="C893" s="8" t="str">
        <f t="shared" si="33"/>
        <v/>
      </c>
      <c r="F893" s="8" t="str">
        <f t="shared" si="34"/>
        <v/>
      </c>
    </row>
    <row r="894" spans="3:6" x14ac:dyDescent="0.3">
      <c r="C894" s="8" t="str">
        <f t="shared" si="33"/>
        <v/>
      </c>
      <c r="F894" s="8" t="str">
        <f t="shared" si="34"/>
        <v/>
      </c>
    </row>
    <row r="895" spans="3:6" x14ac:dyDescent="0.3">
      <c r="C895" s="8" t="str">
        <f t="shared" si="33"/>
        <v/>
      </c>
      <c r="F895" s="8" t="str">
        <f t="shared" si="34"/>
        <v/>
      </c>
    </row>
    <row r="896" spans="3:6" x14ac:dyDescent="0.3">
      <c r="C896" s="8" t="str">
        <f t="shared" si="33"/>
        <v/>
      </c>
      <c r="F896" s="8" t="str">
        <f t="shared" si="34"/>
        <v/>
      </c>
    </row>
    <row r="897" spans="3:6" x14ac:dyDescent="0.3">
      <c r="C897" s="8" t="str">
        <f t="shared" si="33"/>
        <v/>
      </c>
      <c r="F897" s="8" t="str">
        <f t="shared" si="34"/>
        <v/>
      </c>
    </row>
    <row r="898" spans="3:6" x14ac:dyDescent="0.3">
      <c r="C898" s="8" t="str">
        <f t="shared" si="33"/>
        <v/>
      </c>
      <c r="F898" s="8" t="str">
        <f t="shared" si="34"/>
        <v/>
      </c>
    </row>
    <row r="899" spans="3:6" x14ac:dyDescent="0.3">
      <c r="C899" s="8" t="str">
        <f t="shared" si="33"/>
        <v/>
      </c>
      <c r="F899" s="8" t="str">
        <f t="shared" si="34"/>
        <v/>
      </c>
    </row>
    <row r="900" spans="3:6" x14ac:dyDescent="0.3">
      <c r="C900" s="8" t="str">
        <f t="shared" si="33"/>
        <v/>
      </c>
      <c r="F900" s="8" t="str">
        <f t="shared" si="34"/>
        <v/>
      </c>
    </row>
    <row r="901" spans="3:6" x14ac:dyDescent="0.3">
      <c r="C901" s="8" t="str">
        <f t="shared" si="33"/>
        <v/>
      </c>
      <c r="F901" s="8" t="str">
        <f t="shared" si="34"/>
        <v/>
      </c>
    </row>
    <row r="902" spans="3:6" x14ac:dyDescent="0.3">
      <c r="C902" s="8" t="str">
        <f t="shared" si="33"/>
        <v/>
      </c>
      <c r="F902" s="8" t="str">
        <f t="shared" si="34"/>
        <v/>
      </c>
    </row>
    <row r="903" spans="3:6" x14ac:dyDescent="0.3">
      <c r="C903" s="8" t="str">
        <f t="shared" si="33"/>
        <v/>
      </c>
      <c r="F903" s="8" t="str">
        <f t="shared" si="34"/>
        <v/>
      </c>
    </row>
    <row r="904" spans="3:6" x14ac:dyDescent="0.3">
      <c r="C904" s="8" t="str">
        <f t="shared" si="33"/>
        <v/>
      </c>
      <c r="F904" s="8" t="str">
        <f t="shared" si="34"/>
        <v/>
      </c>
    </row>
    <row r="905" spans="3:6" x14ac:dyDescent="0.3">
      <c r="C905" s="8" t="str">
        <f t="shared" si="33"/>
        <v/>
      </c>
      <c r="F905" s="8" t="str">
        <f t="shared" si="34"/>
        <v/>
      </c>
    </row>
    <row r="906" spans="3:6" x14ac:dyDescent="0.3">
      <c r="C906" s="8" t="str">
        <f t="shared" si="33"/>
        <v/>
      </c>
      <c r="F906" s="8" t="str">
        <f t="shared" si="34"/>
        <v/>
      </c>
    </row>
    <row r="907" spans="3:6" x14ac:dyDescent="0.3">
      <c r="C907" s="8" t="str">
        <f t="shared" si="33"/>
        <v/>
      </c>
      <c r="F907" s="8" t="str">
        <f t="shared" si="34"/>
        <v/>
      </c>
    </row>
    <row r="908" spans="3:6" x14ac:dyDescent="0.3">
      <c r="C908" s="8" t="str">
        <f t="shared" ref="C908:C971" si="35">IF(B908="PBHAv1.0","PCB"&amp;TEXT(A908,"yyyymmdd")&amp;"-01",IF(B908="SBCT","SBCT"&amp;TEXT(A908,"yyyymmdd"),IF(B908="SCRA","SCRA"&amp;TEXT(A908,"yyyymmdd"),"")))</f>
        <v/>
      </c>
      <c r="F908" s="8" t="str">
        <f t="shared" ref="F908:F971" si="36">IF(ISBLANK(B908),"",IF(B908="PBHAv1.0",IF(OR(ISBLANK(D908),ISBLANK(E908)),"",IF(AND(D908&gt;=360,D908&lt;=460,E908&lt;=0.4),"적합","부적합")),IF(ISBLANK(D908),"",IF(B908="SBCT",IF(AND(D908&gt;=170,D908&lt;=220),"적합","부적합"),IF(B908="SCRA",IF(AND(D908&gt;=50,D908&lt;=70),"적합","부적합"),"")))))</f>
        <v/>
      </c>
    </row>
    <row r="909" spans="3:6" x14ac:dyDescent="0.3">
      <c r="C909" s="8" t="str">
        <f t="shared" si="35"/>
        <v/>
      </c>
      <c r="F909" s="8" t="str">
        <f t="shared" si="36"/>
        <v/>
      </c>
    </row>
    <row r="910" spans="3:6" x14ac:dyDescent="0.3">
      <c r="C910" s="8" t="str">
        <f t="shared" si="35"/>
        <v/>
      </c>
      <c r="F910" s="8" t="str">
        <f t="shared" si="36"/>
        <v/>
      </c>
    </row>
    <row r="911" spans="3:6" x14ac:dyDescent="0.3">
      <c r="C911" s="8" t="str">
        <f t="shared" si="35"/>
        <v/>
      </c>
      <c r="F911" s="8" t="str">
        <f t="shared" si="36"/>
        <v/>
      </c>
    </row>
    <row r="912" spans="3:6" x14ac:dyDescent="0.3">
      <c r="C912" s="8" t="str">
        <f t="shared" si="35"/>
        <v/>
      </c>
      <c r="F912" s="8" t="str">
        <f t="shared" si="36"/>
        <v/>
      </c>
    </row>
    <row r="913" spans="3:6" x14ac:dyDescent="0.3">
      <c r="C913" s="8" t="str">
        <f t="shared" si="35"/>
        <v/>
      </c>
      <c r="F913" s="8" t="str">
        <f t="shared" si="36"/>
        <v/>
      </c>
    </row>
    <row r="914" spans="3:6" x14ac:dyDescent="0.3">
      <c r="C914" s="8" t="str">
        <f t="shared" si="35"/>
        <v/>
      </c>
      <c r="F914" s="8" t="str">
        <f t="shared" si="36"/>
        <v/>
      </c>
    </row>
    <row r="915" spans="3:6" x14ac:dyDescent="0.3">
      <c r="C915" s="8" t="str">
        <f t="shared" si="35"/>
        <v/>
      </c>
      <c r="F915" s="8" t="str">
        <f t="shared" si="36"/>
        <v/>
      </c>
    </row>
    <row r="916" spans="3:6" x14ac:dyDescent="0.3">
      <c r="C916" s="8" t="str">
        <f t="shared" si="35"/>
        <v/>
      </c>
      <c r="F916" s="8" t="str">
        <f t="shared" si="36"/>
        <v/>
      </c>
    </row>
    <row r="917" spans="3:6" x14ac:dyDescent="0.3">
      <c r="C917" s="8" t="str">
        <f t="shared" si="35"/>
        <v/>
      </c>
      <c r="F917" s="8" t="str">
        <f t="shared" si="36"/>
        <v/>
      </c>
    </row>
    <row r="918" spans="3:6" x14ac:dyDescent="0.3">
      <c r="C918" s="8" t="str">
        <f t="shared" si="35"/>
        <v/>
      </c>
      <c r="F918" s="8" t="str">
        <f t="shared" si="36"/>
        <v/>
      </c>
    </row>
    <row r="919" spans="3:6" x14ac:dyDescent="0.3">
      <c r="C919" s="8" t="str">
        <f t="shared" si="35"/>
        <v/>
      </c>
      <c r="F919" s="8" t="str">
        <f t="shared" si="36"/>
        <v/>
      </c>
    </row>
    <row r="920" spans="3:6" x14ac:dyDescent="0.3">
      <c r="C920" s="8" t="str">
        <f t="shared" si="35"/>
        <v/>
      </c>
      <c r="F920" s="8" t="str">
        <f t="shared" si="36"/>
        <v/>
      </c>
    </row>
    <row r="921" spans="3:6" x14ac:dyDescent="0.3">
      <c r="C921" s="8" t="str">
        <f t="shared" si="35"/>
        <v/>
      </c>
      <c r="F921" s="8" t="str">
        <f t="shared" si="36"/>
        <v/>
      </c>
    </row>
    <row r="922" spans="3:6" x14ac:dyDescent="0.3">
      <c r="C922" s="8" t="str">
        <f t="shared" si="35"/>
        <v/>
      </c>
      <c r="F922" s="8" t="str">
        <f t="shared" si="36"/>
        <v/>
      </c>
    </row>
    <row r="923" spans="3:6" x14ac:dyDescent="0.3">
      <c r="C923" s="8" t="str">
        <f t="shared" si="35"/>
        <v/>
      </c>
      <c r="F923" s="8" t="str">
        <f t="shared" si="36"/>
        <v/>
      </c>
    </row>
    <row r="924" spans="3:6" x14ac:dyDescent="0.3">
      <c r="C924" s="8" t="str">
        <f t="shared" si="35"/>
        <v/>
      </c>
      <c r="F924" s="8" t="str">
        <f t="shared" si="36"/>
        <v/>
      </c>
    </row>
    <row r="925" spans="3:6" x14ac:dyDescent="0.3">
      <c r="C925" s="8" t="str">
        <f t="shared" si="35"/>
        <v/>
      </c>
      <c r="F925" s="8" t="str">
        <f t="shared" si="36"/>
        <v/>
      </c>
    </row>
    <row r="926" spans="3:6" x14ac:dyDescent="0.3">
      <c r="C926" s="8" t="str">
        <f t="shared" si="35"/>
        <v/>
      </c>
      <c r="F926" s="8" t="str">
        <f t="shared" si="36"/>
        <v/>
      </c>
    </row>
    <row r="927" spans="3:6" x14ac:dyDescent="0.3">
      <c r="C927" s="8" t="str">
        <f t="shared" si="35"/>
        <v/>
      </c>
      <c r="F927" s="8" t="str">
        <f t="shared" si="36"/>
        <v/>
      </c>
    </row>
    <row r="928" spans="3:6" x14ac:dyDescent="0.3">
      <c r="C928" s="8" t="str">
        <f t="shared" si="35"/>
        <v/>
      </c>
      <c r="F928" s="8" t="str">
        <f t="shared" si="36"/>
        <v/>
      </c>
    </row>
    <row r="929" spans="3:6" x14ac:dyDescent="0.3">
      <c r="C929" s="8" t="str">
        <f t="shared" si="35"/>
        <v/>
      </c>
      <c r="F929" s="8" t="str">
        <f t="shared" si="36"/>
        <v/>
      </c>
    </row>
    <row r="930" spans="3:6" x14ac:dyDescent="0.3">
      <c r="C930" s="8" t="str">
        <f t="shared" si="35"/>
        <v/>
      </c>
      <c r="F930" s="8" t="str">
        <f t="shared" si="36"/>
        <v/>
      </c>
    </row>
    <row r="931" spans="3:6" x14ac:dyDescent="0.3">
      <c r="C931" s="8" t="str">
        <f t="shared" si="35"/>
        <v/>
      </c>
      <c r="F931" s="8" t="str">
        <f t="shared" si="36"/>
        <v/>
      </c>
    </row>
    <row r="932" spans="3:6" x14ac:dyDescent="0.3">
      <c r="C932" s="8" t="str">
        <f t="shared" si="35"/>
        <v/>
      </c>
      <c r="F932" s="8" t="str">
        <f t="shared" si="36"/>
        <v/>
      </c>
    </row>
    <row r="933" spans="3:6" x14ac:dyDescent="0.3">
      <c r="C933" s="8" t="str">
        <f t="shared" si="35"/>
        <v/>
      </c>
      <c r="F933" s="8" t="str">
        <f t="shared" si="36"/>
        <v/>
      </c>
    </row>
    <row r="934" spans="3:6" x14ac:dyDescent="0.3">
      <c r="C934" s="8" t="str">
        <f t="shared" si="35"/>
        <v/>
      </c>
      <c r="F934" s="8" t="str">
        <f t="shared" si="36"/>
        <v/>
      </c>
    </row>
    <row r="935" spans="3:6" x14ac:dyDescent="0.3">
      <c r="C935" s="8" t="str">
        <f t="shared" si="35"/>
        <v/>
      </c>
      <c r="F935" s="8" t="str">
        <f t="shared" si="36"/>
        <v/>
      </c>
    </row>
    <row r="936" spans="3:6" x14ac:dyDescent="0.3">
      <c r="C936" s="8" t="str">
        <f t="shared" si="35"/>
        <v/>
      </c>
      <c r="F936" s="8" t="str">
        <f t="shared" si="36"/>
        <v/>
      </c>
    </row>
    <row r="937" spans="3:6" x14ac:dyDescent="0.3">
      <c r="C937" s="8" t="str">
        <f t="shared" si="35"/>
        <v/>
      </c>
      <c r="F937" s="8" t="str">
        <f t="shared" si="36"/>
        <v/>
      </c>
    </row>
    <row r="938" spans="3:6" x14ac:dyDescent="0.3">
      <c r="C938" s="8" t="str">
        <f t="shared" si="35"/>
        <v/>
      </c>
      <c r="F938" s="8" t="str">
        <f t="shared" si="36"/>
        <v/>
      </c>
    </row>
    <row r="939" spans="3:6" x14ac:dyDescent="0.3">
      <c r="C939" s="8" t="str">
        <f t="shared" si="35"/>
        <v/>
      </c>
      <c r="F939" s="8" t="str">
        <f t="shared" si="36"/>
        <v/>
      </c>
    </row>
    <row r="940" spans="3:6" x14ac:dyDescent="0.3">
      <c r="C940" s="8" t="str">
        <f t="shared" si="35"/>
        <v/>
      </c>
      <c r="F940" s="8" t="str">
        <f t="shared" si="36"/>
        <v/>
      </c>
    </row>
    <row r="941" spans="3:6" x14ac:dyDescent="0.3">
      <c r="C941" s="8" t="str">
        <f t="shared" si="35"/>
        <v/>
      </c>
      <c r="F941" s="8" t="str">
        <f t="shared" si="36"/>
        <v/>
      </c>
    </row>
    <row r="942" spans="3:6" x14ac:dyDescent="0.3">
      <c r="C942" s="8" t="str">
        <f t="shared" si="35"/>
        <v/>
      </c>
      <c r="F942" s="8" t="str">
        <f t="shared" si="36"/>
        <v/>
      </c>
    </row>
    <row r="943" spans="3:6" x14ac:dyDescent="0.3">
      <c r="C943" s="8" t="str">
        <f t="shared" si="35"/>
        <v/>
      </c>
      <c r="F943" s="8" t="str">
        <f t="shared" si="36"/>
        <v/>
      </c>
    </row>
    <row r="944" spans="3:6" x14ac:dyDescent="0.3">
      <c r="C944" s="8" t="str">
        <f t="shared" si="35"/>
        <v/>
      </c>
      <c r="F944" s="8" t="str">
        <f t="shared" si="36"/>
        <v/>
      </c>
    </row>
    <row r="945" spans="3:6" x14ac:dyDescent="0.3">
      <c r="C945" s="8" t="str">
        <f t="shared" si="35"/>
        <v/>
      </c>
      <c r="F945" s="8" t="str">
        <f t="shared" si="36"/>
        <v/>
      </c>
    </row>
    <row r="946" spans="3:6" x14ac:dyDescent="0.3">
      <c r="C946" s="8" t="str">
        <f t="shared" si="35"/>
        <v/>
      </c>
      <c r="F946" s="8" t="str">
        <f t="shared" si="36"/>
        <v/>
      </c>
    </row>
    <row r="947" spans="3:6" x14ac:dyDescent="0.3">
      <c r="C947" s="8" t="str">
        <f t="shared" si="35"/>
        <v/>
      </c>
      <c r="F947" s="8" t="str">
        <f t="shared" si="36"/>
        <v/>
      </c>
    </row>
    <row r="948" spans="3:6" x14ac:dyDescent="0.3">
      <c r="C948" s="8" t="str">
        <f t="shared" si="35"/>
        <v/>
      </c>
      <c r="F948" s="8" t="str">
        <f t="shared" si="36"/>
        <v/>
      </c>
    </row>
    <row r="949" spans="3:6" x14ac:dyDescent="0.3">
      <c r="C949" s="8" t="str">
        <f t="shared" si="35"/>
        <v/>
      </c>
      <c r="F949" s="8" t="str">
        <f t="shared" si="36"/>
        <v/>
      </c>
    </row>
    <row r="950" spans="3:6" x14ac:dyDescent="0.3">
      <c r="C950" s="8" t="str">
        <f t="shared" si="35"/>
        <v/>
      </c>
      <c r="F950" s="8" t="str">
        <f t="shared" si="36"/>
        <v/>
      </c>
    </row>
    <row r="951" spans="3:6" x14ac:dyDescent="0.3">
      <c r="C951" s="8" t="str">
        <f t="shared" si="35"/>
        <v/>
      </c>
      <c r="F951" s="8" t="str">
        <f t="shared" si="36"/>
        <v/>
      </c>
    </row>
    <row r="952" spans="3:6" x14ac:dyDescent="0.3">
      <c r="C952" s="8" t="str">
        <f t="shared" si="35"/>
        <v/>
      </c>
      <c r="F952" s="8" t="str">
        <f t="shared" si="36"/>
        <v/>
      </c>
    </row>
    <row r="953" spans="3:6" x14ac:dyDescent="0.3">
      <c r="C953" s="8" t="str">
        <f t="shared" si="35"/>
        <v/>
      </c>
      <c r="F953" s="8" t="str">
        <f t="shared" si="36"/>
        <v/>
      </c>
    </row>
    <row r="954" spans="3:6" x14ac:dyDescent="0.3">
      <c r="C954" s="8" t="str">
        <f t="shared" si="35"/>
        <v/>
      </c>
      <c r="F954" s="8" t="str">
        <f t="shared" si="36"/>
        <v/>
      </c>
    </row>
    <row r="955" spans="3:6" x14ac:dyDescent="0.3">
      <c r="C955" s="8" t="str">
        <f t="shared" si="35"/>
        <v/>
      </c>
      <c r="F955" s="8" t="str">
        <f t="shared" si="36"/>
        <v/>
      </c>
    </row>
    <row r="956" spans="3:6" x14ac:dyDescent="0.3">
      <c r="C956" s="8" t="str">
        <f t="shared" si="35"/>
        <v/>
      </c>
      <c r="F956" s="8" t="str">
        <f t="shared" si="36"/>
        <v/>
      </c>
    </row>
    <row r="957" spans="3:6" x14ac:dyDescent="0.3">
      <c r="C957" s="8" t="str">
        <f t="shared" si="35"/>
        <v/>
      </c>
      <c r="F957" s="8" t="str">
        <f t="shared" si="36"/>
        <v/>
      </c>
    </row>
    <row r="958" spans="3:6" x14ac:dyDescent="0.3">
      <c r="C958" s="8" t="str">
        <f t="shared" si="35"/>
        <v/>
      </c>
      <c r="F958" s="8" t="str">
        <f t="shared" si="36"/>
        <v/>
      </c>
    </row>
    <row r="959" spans="3:6" x14ac:dyDescent="0.3">
      <c r="C959" s="8" t="str">
        <f t="shared" si="35"/>
        <v/>
      </c>
      <c r="F959" s="8" t="str">
        <f t="shared" si="36"/>
        <v/>
      </c>
    </row>
    <row r="960" spans="3:6" x14ac:dyDescent="0.3">
      <c r="C960" s="8" t="str">
        <f t="shared" si="35"/>
        <v/>
      </c>
      <c r="F960" s="8" t="str">
        <f t="shared" si="36"/>
        <v/>
      </c>
    </row>
    <row r="961" spans="3:6" x14ac:dyDescent="0.3">
      <c r="C961" s="8" t="str">
        <f t="shared" si="35"/>
        <v/>
      </c>
      <c r="F961" s="8" t="str">
        <f t="shared" si="36"/>
        <v/>
      </c>
    </row>
    <row r="962" spans="3:6" x14ac:dyDescent="0.3">
      <c r="C962" s="8" t="str">
        <f t="shared" si="35"/>
        <v/>
      </c>
      <c r="F962" s="8" t="str">
        <f t="shared" si="36"/>
        <v/>
      </c>
    </row>
    <row r="963" spans="3:6" x14ac:dyDescent="0.3">
      <c r="C963" s="8" t="str">
        <f t="shared" si="35"/>
        <v/>
      </c>
      <c r="F963" s="8" t="str">
        <f t="shared" si="36"/>
        <v/>
      </c>
    </row>
    <row r="964" spans="3:6" x14ac:dyDescent="0.3">
      <c r="C964" s="8" t="str">
        <f t="shared" si="35"/>
        <v/>
      </c>
      <c r="F964" s="8" t="str">
        <f t="shared" si="36"/>
        <v/>
      </c>
    </row>
    <row r="965" spans="3:6" x14ac:dyDescent="0.3">
      <c r="C965" s="8" t="str">
        <f t="shared" si="35"/>
        <v/>
      </c>
      <c r="F965" s="8" t="str">
        <f t="shared" si="36"/>
        <v/>
      </c>
    </row>
    <row r="966" spans="3:6" x14ac:dyDescent="0.3">
      <c r="C966" s="8" t="str">
        <f t="shared" si="35"/>
        <v/>
      </c>
      <c r="F966" s="8" t="str">
        <f t="shared" si="36"/>
        <v/>
      </c>
    </row>
    <row r="967" spans="3:6" x14ac:dyDescent="0.3">
      <c r="C967" s="8" t="str">
        <f t="shared" si="35"/>
        <v/>
      </c>
      <c r="F967" s="8" t="str">
        <f t="shared" si="36"/>
        <v/>
      </c>
    </row>
    <row r="968" spans="3:6" x14ac:dyDescent="0.3">
      <c r="C968" s="8" t="str">
        <f t="shared" si="35"/>
        <v/>
      </c>
      <c r="F968" s="8" t="str">
        <f t="shared" si="36"/>
        <v/>
      </c>
    </row>
    <row r="969" spans="3:6" x14ac:dyDescent="0.3">
      <c r="C969" s="8" t="str">
        <f t="shared" si="35"/>
        <v/>
      </c>
      <c r="F969" s="8" t="str">
        <f t="shared" si="36"/>
        <v/>
      </c>
    </row>
    <row r="970" spans="3:6" x14ac:dyDescent="0.3">
      <c r="C970" s="8" t="str">
        <f t="shared" si="35"/>
        <v/>
      </c>
      <c r="F970" s="8" t="str">
        <f t="shared" si="36"/>
        <v/>
      </c>
    </row>
    <row r="971" spans="3:6" x14ac:dyDescent="0.3">
      <c r="C971" s="8" t="str">
        <f t="shared" si="35"/>
        <v/>
      </c>
      <c r="F971" s="8" t="str">
        <f t="shared" si="36"/>
        <v/>
      </c>
    </row>
    <row r="972" spans="3:6" x14ac:dyDescent="0.3">
      <c r="C972" s="8" t="str">
        <f t="shared" ref="C972:C1035" si="37">IF(B972="PBHAv1.0","PCB"&amp;TEXT(A972,"yyyymmdd")&amp;"-01",IF(B972="SBCT","SBCT"&amp;TEXT(A972,"yyyymmdd"),IF(B972="SCRA","SCRA"&amp;TEXT(A972,"yyyymmdd"),"")))</f>
        <v/>
      </c>
      <c r="F972" s="8" t="str">
        <f t="shared" ref="F972:F1035" si="38">IF(ISBLANK(B972),"",IF(B972="PBHAv1.0",IF(OR(ISBLANK(D972),ISBLANK(E972)),"",IF(AND(D972&gt;=360,D972&lt;=460,E972&lt;=0.4),"적합","부적합")),IF(ISBLANK(D972),"",IF(B972="SBCT",IF(AND(D972&gt;=170,D972&lt;=220),"적합","부적합"),IF(B972="SCRA",IF(AND(D972&gt;=50,D972&lt;=70),"적합","부적합"),"")))))</f>
        <v/>
      </c>
    </row>
    <row r="973" spans="3:6" x14ac:dyDescent="0.3">
      <c r="C973" s="8" t="str">
        <f t="shared" si="37"/>
        <v/>
      </c>
      <c r="F973" s="8" t="str">
        <f t="shared" si="38"/>
        <v/>
      </c>
    </row>
    <row r="974" spans="3:6" x14ac:dyDescent="0.3">
      <c r="C974" s="8" t="str">
        <f t="shared" si="37"/>
        <v/>
      </c>
      <c r="F974" s="8" t="str">
        <f t="shared" si="38"/>
        <v/>
      </c>
    </row>
    <row r="975" spans="3:6" x14ac:dyDescent="0.3">
      <c r="C975" s="8" t="str">
        <f t="shared" si="37"/>
        <v/>
      </c>
      <c r="F975" s="8" t="str">
        <f t="shared" si="38"/>
        <v/>
      </c>
    </row>
    <row r="976" spans="3:6" x14ac:dyDescent="0.3">
      <c r="C976" s="8" t="str">
        <f t="shared" si="37"/>
        <v/>
      </c>
      <c r="F976" s="8" t="str">
        <f t="shared" si="38"/>
        <v/>
      </c>
    </row>
    <row r="977" spans="3:6" x14ac:dyDescent="0.3">
      <c r="C977" s="8" t="str">
        <f t="shared" si="37"/>
        <v/>
      </c>
      <c r="F977" s="8" t="str">
        <f t="shared" si="38"/>
        <v/>
      </c>
    </row>
    <row r="978" spans="3:6" x14ac:dyDescent="0.3">
      <c r="C978" s="8" t="str">
        <f t="shared" si="37"/>
        <v/>
      </c>
      <c r="F978" s="8" t="str">
        <f t="shared" si="38"/>
        <v/>
      </c>
    </row>
    <row r="979" spans="3:6" x14ac:dyDescent="0.3">
      <c r="C979" s="8" t="str">
        <f t="shared" si="37"/>
        <v/>
      </c>
      <c r="F979" s="8" t="str">
        <f t="shared" si="38"/>
        <v/>
      </c>
    </row>
    <row r="980" spans="3:6" x14ac:dyDescent="0.3">
      <c r="C980" s="8" t="str">
        <f t="shared" si="37"/>
        <v/>
      </c>
      <c r="F980" s="8" t="str">
        <f t="shared" si="38"/>
        <v/>
      </c>
    </row>
    <row r="981" spans="3:6" x14ac:dyDescent="0.3">
      <c r="C981" s="8" t="str">
        <f t="shared" si="37"/>
        <v/>
      </c>
      <c r="F981" s="8" t="str">
        <f t="shared" si="38"/>
        <v/>
      </c>
    </row>
    <row r="982" spans="3:6" x14ac:dyDescent="0.3">
      <c r="C982" s="8" t="str">
        <f t="shared" si="37"/>
        <v/>
      </c>
      <c r="F982" s="8" t="str">
        <f t="shared" si="38"/>
        <v/>
      </c>
    </row>
    <row r="983" spans="3:6" x14ac:dyDescent="0.3">
      <c r="C983" s="8" t="str">
        <f t="shared" si="37"/>
        <v/>
      </c>
      <c r="F983" s="8" t="str">
        <f t="shared" si="38"/>
        <v/>
      </c>
    </row>
    <row r="984" spans="3:6" x14ac:dyDescent="0.3">
      <c r="C984" s="8" t="str">
        <f t="shared" si="37"/>
        <v/>
      </c>
      <c r="F984" s="8" t="str">
        <f t="shared" si="38"/>
        <v/>
      </c>
    </row>
    <row r="985" spans="3:6" x14ac:dyDescent="0.3">
      <c r="C985" s="8" t="str">
        <f t="shared" si="37"/>
        <v/>
      </c>
      <c r="F985" s="8" t="str">
        <f t="shared" si="38"/>
        <v/>
      </c>
    </row>
    <row r="986" spans="3:6" x14ac:dyDescent="0.3">
      <c r="C986" s="8" t="str">
        <f t="shared" si="37"/>
        <v/>
      </c>
      <c r="F986" s="8" t="str">
        <f t="shared" si="38"/>
        <v/>
      </c>
    </row>
    <row r="987" spans="3:6" x14ac:dyDescent="0.3">
      <c r="C987" s="8" t="str">
        <f t="shared" si="37"/>
        <v/>
      </c>
      <c r="F987" s="8" t="str">
        <f t="shared" si="38"/>
        <v/>
      </c>
    </row>
    <row r="988" spans="3:6" x14ac:dyDescent="0.3">
      <c r="C988" s="8" t="str">
        <f t="shared" si="37"/>
        <v/>
      </c>
      <c r="F988" s="8" t="str">
        <f t="shared" si="38"/>
        <v/>
      </c>
    </row>
    <row r="989" spans="3:6" x14ac:dyDescent="0.3">
      <c r="C989" s="8" t="str">
        <f t="shared" si="37"/>
        <v/>
      </c>
      <c r="F989" s="8" t="str">
        <f t="shared" si="38"/>
        <v/>
      </c>
    </row>
    <row r="990" spans="3:6" x14ac:dyDescent="0.3">
      <c r="C990" s="8" t="str">
        <f t="shared" si="37"/>
        <v/>
      </c>
      <c r="F990" s="8" t="str">
        <f t="shared" si="38"/>
        <v/>
      </c>
    </row>
    <row r="991" spans="3:6" x14ac:dyDescent="0.3">
      <c r="C991" s="8" t="str">
        <f t="shared" si="37"/>
        <v/>
      </c>
      <c r="F991" s="8" t="str">
        <f t="shared" si="38"/>
        <v/>
      </c>
    </row>
    <row r="992" spans="3:6" x14ac:dyDescent="0.3">
      <c r="C992" s="8" t="str">
        <f t="shared" si="37"/>
        <v/>
      </c>
      <c r="F992" s="8" t="str">
        <f t="shared" si="38"/>
        <v/>
      </c>
    </row>
    <row r="993" spans="3:6" x14ac:dyDescent="0.3">
      <c r="C993" s="8" t="str">
        <f t="shared" si="37"/>
        <v/>
      </c>
      <c r="F993" s="8" t="str">
        <f t="shared" si="38"/>
        <v/>
      </c>
    </row>
    <row r="994" spans="3:6" x14ac:dyDescent="0.3">
      <c r="C994" s="8" t="str">
        <f t="shared" si="37"/>
        <v/>
      </c>
      <c r="F994" s="8" t="str">
        <f t="shared" si="38"/>
        <v/>
      </c>
    </row>
    <row r="995" spans="3:6" x14ac:dyDescent="0.3">
      <c r="C995" s="8" t="str">
        <f t="shared" si="37"/>
        <v/>
      </c>
      <c r="F995" s="8" t="str">
        <f t="shared" si="38"/>
        <v/>
      </c>
    </row>
    <row r="996" spans="3:6" x14ac:dyDescent="0.3">
      <c r="C996" s="8" t="str">
        <f t="shared" si="37"/>
        <v/>
      </c>
      <c r="F996" s="8" t="str">
        <f t="shared" si="38"/>
        <v/>
      </c>
    </row>
    <row r="997" spans="3:6" x14ac:dyDescent="0.3">
      <c r="C997" s="8" t="str">
        <f t="shared" si="37"/>
        <v/>
      </c>
      <c r="F997" s="8" t="str">
        <f t="shared" si="38"/>
        <v/>
      </c>
    </row>
    <row r="998" spans="3:6" x14ac:dyDescent="0.3">
      <c r="C998" s="8" t="str">
        <f t="shared" si="37"/>
        <v/>
      </c>
      <c r="F998" s="8" t="str">
        <f t="shared" si="38"/>
        <v/>
      </c>
    </row>
    <row r="999" spans="3:6" x14ac:dyDescent="0.3">
      <c r="C999" s="8" t="str">
        <f t="shared" si="37"/>
        <v/>
      </c>
      <c r="F999" s="8" t="str">
        <f t="shared" si="38"/>
        <v/>
      </c>
    </row>
    <row r="1000" spans="3:6" x14ac:dyDescent="0.3">
      <c r="C1000" s="8" t="str">
        <f t="shared" si="37"/>
        <v/>
      </c>
      <c r="F1000" s="8" t="str">
        <f t="shared" si="38"/>
        <v/>
      </c>
    </row>
    <row r="1001" spans="3:6" x14ac:dyDescent="0.3">
      <c r="C1001" s="8" t="str">
        <f t="shared" si="37"/>
        <v/>
      </c>
      <c r="F1001" s="8" t="str">
        <f t="shared" si="38"/>
        <v/>
      </c>
    </row>
    <row r="1002" spans="3:6" x14ac:dyDescent="0.3">
      <c r="C1002" s="8" t="str">
        <f t="shared" si="37"/>
        <v/>
      </c>
      <c r="F1002" s="8" t="str">
        <f t="shared" si="38"/>
        <v/>
      </c>
    </row>
    <row r="1003" spans="3:6" x14ac:dyDescent="0.3">
      <c r="C1003" s="8" t="str">
        <f t="shared" si="37"/>
        <v/>
      </c>
      <c r="F1003" s="8" t="str">
        <f t="shared" si="38"/>
        <v/>
      </c>
    </row>
    <row r="1004" spans="3:6" x14ac:dyDescent="0.3">
      <c r="C1004" s="8" t="str">
        <f t="shared" si="37"/>
        <v/>
      </c>
      <c r="F1004" s="8" t="str">
        <f t="shared" si="38"/>
        <v/>
      </c>
    </row>
    <row r="1005" spans="3:6" x14ac:dyDescent="0.3">
      <c r="C1005" s="8" t="str">
        <f t="shared" si="37"/>
        <v/>
      </c>
      <c r="F1005" s="8" t="str">
        <f t="shared" si="38"/>
        <v/>
      </c>
    </row>
    <row r="1006" spans="3:6" x14ac:dyDescent="0.3">
      <c r="C1006" s="8" t="str">
        <f t="shared" si="37"/>
        <v/>
      </c>
      <c r="F1006" s="8" t="str">
        <f t="shared" si="38"/>
        <v/>
      </c>
    </row>
    <row r="1007" spans="3:6" x14ac:dyDescent="0.3">
      <c r="C1007" s="8" t="str">
        <f t="shared" si="37"/>
        <v/>
      </c>
      <c r="F1007" s="8" t="str">
        <f t="shared" si="38"/>
        <v/>
      </c>
    </row>
    <row r="1008" spans="3:6" x14ac:dyDescent="0.3">
      <c r="C1008" s="8" t="str">
        <f t="shared" si="37"/>
        <v/>
      </c>
      <c r="F1008" s="8" t="str">
        <f t="shared" si="38"/>
        <v/>
      </c>
    </row>
    <row r="1009" spans="3:6" x14ac:dyDescent="0.3">
      <c r="C1009" s="8" t="str">
        <f t="shared" si="37"/>
        <v/>
      </c>
      <c r="F1009" s="8" t="str">
        <f t="shared" si="38"/>
        <v/>
      </c>
    </row>
    <row r="1010" spans="3:6" x14ac:dyDescent="0.3">
      <c r="C1010" s="8" t="str">
        <f t="shared" si="37"/>
        <v/>
      </c>
      <c r="F1010" s="8" t="str">
        <f t="shared" si="38"/>
        <v/>
      </c>
    </row>
    <row r="1011" spans="3:6" x14ac:dyDescent="0.3">
      <c r="C1011" s="8" t="str">
        <f t="shared" si="37"/>
        <v/>
      </c>
      <c r="F1011" s="8" t="str">
        <f t="shared" si="38"/>
        <v/>
      </c>
    </row>
    <row r="1012" spans="3:6" x14ac:dyDescent="0.3">
      <c r="C1012" s="8" t="str">
        <f t="shared" si="37"/>
        <v/>
      </c>
      <c r="F1012" s="8" t="str">
        <f t="shared" si="38"/>
        <v/>
      </c>
    </row>
    <row r="1013" spans="3:6" x14ac:dyDescent="0.3">
      <c r="C1013" s="8" t="str">
        <f t="shared" si="37"/>
        <v/>
      </c>
      <c r="F1013" s="8" t="str">
        <f t="shared" si="38"/>
        <v/>
      </c>
    </row>
    <row r="1014" spans="3:6" x14ac:dyDescent="0.3">
      <c r="C1014" s="8" t="str">
        <f t="shared" si="37"/>
        <v/>
      </c>
      <c r="F1014" s="8" t="str">
        <f t="shared" si="38"/>
        <v/>
      </c>
    </row>
    <row r="1015" spans="3:6" x14ac:dyDescent="0.3">
      <c r="C1015" s="8" t="str">
        <f t="shared" si="37"/>
        <v/>
      </c>
      <c r="F1015" s="8" t="str">
        <f t="shared" si="38"/>
        <v/>
      </c>
    </row>
    <row r="1016" spans="3:6" x14ac:dyDescent="0.3">
      <c r="C1016" s="8" t="str">
        <f t="shared" si="37"/>
        <v/>
      </c>
      <c r="F1016" s="8" t="str">
        <f t="shared" si="38"/>
        <v/>
      </c>
    </row>
    <row r="1017" spans="3:6" x14ac:dyDescent="0.3">
      <c r="C1017" s="8" t="str">
        <f t="shared" si="37"/>
        <v/>
      </c>
      <c r="F1017" s="8" t="str">
        <f t="shared" si="38"/>
        <v/>
      </c>
    </row>
    <row r="1018" spans="3:6" x14ac:dyDescent="0.3">
      <c r="C1018" s="8" t="str">
        <f t="shared" si="37"/>
        <v/>
      </c>
      <c r="F1018" s="8" t="str">
        <f t="shared" si="38"/>
        <v/>
      </c>
    </row>
    <row r="1019" spans="3:6" x14ac:dyDescent="0.3">
      <c r="C1019" s="8" t="str">
        <f t="shared" si="37"/>
        <v/>
      </c>
      <c r="F1019" s="8" t="str">
        <f t="shared" si="38"/>
        <v/>
      </c>
    </row>
    <row r="1020" spans="3:6" x14ac:dyDescent="0.3">
      <c r="C1020" s="8" t="str">
        <f t="shared" si="37"/>
        <v/>
      </c>
      <c r="F1020" s="8" t="str">
        <f t="shared" si="38"/>
        <v/>
      </c>
    </row>
    <row r="1021" spans="3:6" x14ac:dyDescent="0.3">
      <c r="C1021" s="8" t="str">
        <f t="shared" si="37"/>
        <v/>
      </c>
      <c r="F1021" s="8" t="str">
        <f t="shared" si="38"/>
        <v/>
      </c>
    </row>
    <row r="1022" spans="3:6" x14ac:dyDescent="0.3">
      <c r="C1022" s="8" t="str">
        <f t="shared" si="37"/>
        <v/>
      </c>
      <c r="F1022" s="8" t="str">
        <f t="shared" si="38"/>
        <v/>
      </c>
    </row>
    <row r="1023" spans="3:6" x14ac:dyDescent="0.3">
      <c r="C1023" s="8" t="str">
        <f t="shared" si="37"/>
        <v/>
      </c>
      <c r="F1023" s="8" t="str">
        <f t="shared" si="38"/>
        <v/>
      </c>
    </row>
    <row r="1024" spans="3:6" x14ac:dyDescent="0.3">
      <c r="C1024" s="8" t="str">
        <f t="shared" si="37"/>
        <v/>
      </c>
      <c r="F1024" s="8" t="str">
        <f t="shared" si="38"/>
        <v/>
      </c>
    </row>
    <row r="1025" spans="3:6" x14ac:dyDescent="0.3">
      <c r="C1025" s="8" t="str">
        <f t="shared" si="37"/>
        <v/>
      </c>
      <c r="F1025" s="8" t="str">
        <f t="shared" si="38"/>
        <v/>
      </c>
    </row>
    <row r="1026" spans="3:6" x14ac:dyDescent="0.3">
      <c r="C1026" s="8" t="str">
        <f t="shared" si="37"/>
        <v/>
      </c>
      <c r="F1026" s="8" t="str">
        <f t="shared" si="38"/>
        <v/>
      </c>
    </row>
    <row r="1027" spans="3:6" x14ac:dyDescent="0.3">
      <c r="C1027" s="8" t="str">
        <f t="shared" si="37"/>
        <v/>
      </c>
      <c r="F1027" s="8" t="str">
        <f t="shared" si="38"/>
        <v/>
      </c>
    </row>
    <row r="1028" spans="3:6" x14ac:dyDescent="0.3">
      <c r="C1028" s="8" t="str">
        <f t="shared" si="37"/>
        <v/>
      </c>
      <c r="F1028" s="8" t="str">
        <f t="shared" si="38"/>
        <v/>
      </c>
    </row>
    <row r="1029" spans="3:6" x14ac:dyDescent="0.3">
      <c r="C1029" s="8" t="str">
        <f t="shared" si="37"/>
        <v/>
      </c>
      <c r="F1029" s="8" t="str">
        <f t="shared" si="38"/>
        <v/>
      </c>
    </row>
    <row r="1030" spans="3:6" x14ac:dyDescent="0.3">
      <c r="C1030" s="8" t="str">
        <f t="shared" si="37"/>
        <v/>
      </c>
      <c r="F1030" s="8" t="str">
        <f t="shared" si="38"/>
        <v/>
      </c>
    </row>
    <row r="1031" spans="3:6" x14ac:dyDescent="0.3">
      <c r="C1031" s="8" t="str">
        <f t="shared" si="37"/>
        <v/>
      </c>
      <c r="F1031" s="8" t="str">
        <f t="shared" si="38"/>
        <v/>
      </c>
    </row>
    <row r="1032" spans="3:6" x14ac:dyDescent="0.3">
      <c r="C1032" s="8" t="str">
        <f t="shared" si="37"/>
        <v/>
      </c>
      <c r="F1032" s="8" t="str">
        <f t="shared" si="38"/>
        <v/>
      </c>
    </row>
    <row r="1033" spans="3:6" x14ac:dyDescent="0.3">
      <c r="C1033" s="8" t="str">
        <f t="shared" si="37"/>
        <v/>
      </c>
      <c r="F1033" s="8" t="str">
        <f t="shared" si="38"/>
        <v/>
      </c>
    </row>
    <row r="1034" spans="3:6" x14ac:dyDescent="0.3">
      <c r="C1034" s="8" t="str">
        <f t="shared" si="37"/>
        <v/>
      </c>
      <c r="F1034" s="8" t="str">
        <f t="shared" si="38"/>
        <v/>
      </c>
    </row>
    <row r="1035" spans="3:6" x14ac:dyDescent="0.3">
      <c r="C1035" s="8" t="str">
        <f t="shared" si="37"/>
        <v/>
      </c>
      <c r="F1035" s="8" t="str">
        <f t="shared" si="38"/>
        <v/>
      </c>
    </row>
    <row r="1036" spans="3:6" x14ac:dyDescent="0.3">
      <c r="C1036" s="8" t="str">
        <f t="shared" ref="C1036:C1099" si="39">IF(B1036="PBHAv1.0","PCB"&amp;TEXT(A1036,"yyyymmdd")&amp;"-01",IF(B1036="SBCT","SBCT"&amp;TEXT(A1036,"yyyymmdd"),IF(B1036="SCRA","SCRA"&amp;TEXT(A1036,"yyyymmdd"),"")))</f>
        <v/>
      </c>
      <c r="F1036" s="8" t="str">
        <f t="shared" ref="F1036:F1099" si="40">IF(ISBLANK(B1036),"",IF(B1036="PBHAv1.0",IF(OR(ISBLANK(D1036),ISBLANK(E1036)),"",IF(AND(D1036&gt;=360,D1036&lt;=460,E1036&lt;=0.4),"적합","부적합")),IF(ISBLANK(D1036),"",IF(B1036="SBCT",IF(AND(D1036&gt;=170,D1036&lt;=220),"적합","부적합"),IF(B1036="SCRA",IF(AND(D1036&gt;=50,D1036&lt;=70),"적합","부적합"),"")))))</f>
        <v/>
      </c>
    </row>
    <row r="1037" spans="3:6" x14ac:dyDescent="0.3">
      <c r="C1037" s="8" t="str">
        <f t="shared" si="39"/>
        <v/>
      </c>
      <c r="F1037" s="8" t="str">
        <f t="shared" si="40"/>
        <v/>
      </c>
    </row>
    <row r="1038" spans="3:6" x14ac:dyDescent="0.3">
      <c r="C1038" s="8" t="str">
        <f t="shared" si="39"/>
        <v/>
      </c>
      <c r="F1038" s="8" t="str">
        <f t="shared" si="40"/>
        <v/>
      </c>
    </row>
    <row r="1039" spans="3:6" x14ac:dyDescent="0.3">
      <c r="C1039" s="8" t="str">
        <f t="shared" si="39"/>
        <v/>
      </c>
      <c r="F1039" s="8" t="str">
        <f t="shared" si="40"/>
        <v/>
      </c>
    </row>
    <row r="1040" spans="3:6" x14ac:dyDescent="0.3">
      <c r="C1040" s="8" t="str">
        <f t="shared" si="39"/>
        <v/>
      </c>
      <c r="F1040" s="8" t="str">
        <f t="shared" si="40"/>
        <v/>
      </c>
    </row>
    <row r="1041" spans="3:6" x14ac:dyDescent="0.3">
      <c r="C1041" s="8" t="str">
        <f t="shared" si="39"/>
        <v/>
      </c>
      <c r="F1041" s="8" t="str">
        <f t="shared" si="40"/>
        <v/>
      </c>
    </row>
    <row r="1042" spans="3:6" x14ac:dyDescent="0.3">
      <c r="C1042" s="8" t="str">
        <f t="shared" si="39"/>
        <v/>
      </c>
      <c r="F1042" s="8" t="str">
        <f t="shared" si="40"/>
        <v/>
      </c>
    </row>
    <row r="1043" spans="3:6" x14ac:dyDescent="0.3">
      <c r="C1043" s="8" t="str">
        <f t="shared" si="39"/>
        <v/>
      </c>
      <c r="F1043" s="8" t="str">
        <f t="shared" si="40"/>
        <v/>
      </c>
    </row>
    <row r="1044" spans="3:6" x14ac:dyDescent="0.3">
      <c r="C1044" s="8" t="str">
        <f t="shared" si="39"/>
        <v/>
      </c>
      <c r="F1044" s="8" t="str">
        <f t="shared" si="40"/>
        <v/>
      </c>
    </row>
    <row r="1045" spans="3:6" x14ac:dyDescent="0.3">
      <c r="C1045" s="8" t="str">
        <f t="shared" si="39"/>
        <v/>
      </c>
      <c r="F1045" s="8" t="str">
        <f t="shared" si="40"/>
        <v/>
      </c>
    </row>
    <row r="1046" spans="3:6" x14ac:dyDescent="0.3">
      <c r="C1046" s="8" t="str">
        <f t="shared" si="39"/>
        <v/>
      </c>
      <c r="F1046" s="8" t="str">
        <f t="shared" si="40"/>
        <v/>
      </c>
    </row>
    <row r="1047" spans="3:6" x14ac:dyDescent="0.3">
      <c r="C1047" s="8" t="str">
        <f t="shared" si="39"/>
        <v/>
      </c>
      <c r="F1047" s="8" t="str">
        <f t="shared" si="40"/>
        <v/>
      </c>
    </row>
    <row r="1048" spans="3:6" x14ac:dyDescent="0.3">
      <c r="C1048" s="8" t="str">
        <f t="shared" si="39"/>
        <v/>
      </c>
      <c r="F1048" s="8" t="str">
        <f t="shared" si="40"/>
        <v/>
      </c>
    </row>
    <row r="1049" spans="3:6" x14ac:dyDescent="0.3">
      <c r="C1049" s="8" t="str">
        <f t="shared" si="39"/>
        <v/>
      </c>
      <c r="F1049" s="8" t="str">
        <f t="shared" si="40"/>
        <v/>
      </c>
    </row>
    <row r="1050" spans="3:6" x14ac:dyDescent="0.3">
      <c r="C1050" s="8" t="str">
        <f t="shared" si="39"/>
        <v/>
      </c>
      <c r="F1050" s="8" t="str">
        <f t="shared" si="40"/>
        <v/>
      </c>
    </row>
    <row r="1051" spans="3:6" x14ac:dyDescent="0.3">
      <c r="C1051" s="8" t="str">
        <f t="shared" si="39"/>
        <v/>
      </c>
      <c r="F1051" s="8" t="str">
        <f t="shared" si="40"/>
        <v/>
      </c>
    </row>
    <row r="1052" spans="3:6" x14ac:dyDescent="0.3">
      <c r="C1052" s="8" t="str">
        <f t="shared" si="39"/>
        <v/>
      </c>
      <c r="F1052" s="8" t="str">
        <f t="shared" si="40"/>
        <v/>
      </c>
    </row>
    <row r="1053" spans="3:6" x14ac:dyDescent="0.3">
      <c r="C1053" s="8" t="str">
        <f t="shared" si="39"/>
        <v/>
      </c>
      <c r="F1053" s="8" t="str">
        <f t="shared" si="40"/>
        <v/>
      </c>
    </row>
    <row r="1054" spans="3:6" x14ac:dyDescent="0.3">
      <c r="C1054" s="8" t="str">
        <f t="shared" si="39"/>
        <v/>
      </c>
      <c r="F1054" s="8" t="str">
        <f t="shared" si="40"/>
        <v/>
      </c>
    </row>
    <row r="1055" spans="3:6" x14ac:dyDescent="0.3">
      <c r="C1055" s="8" t="str">
        <f t="shared" si="39"/>
        <v/>
      </c>
      <c r="F1055" s="8" t="str">
        <f t="shared" si="40"/>
        <v/>
      </c>
    </row>
    <row r="1056" spans="3:6" x14ac:dyDescent="0.3">
      <c r="C1056" s="8" t="str">
        <f t="shared" si="39"/>
        <v/>
      </c>
      <c r="F1056" s="8" t="str">
        <f t="shared" si="40"/>
        <v/>
      </c>
    </row>
    <row r="1057" spans="3:6" x14ac:dyDescent="0.3">
      <c r="C1057" s="8" t="str">
        <f t="shared" si="39"/>
        <v/>
      </c>
      <c r="F1057" s="8" t="str">
        <f t="shared" si="40"/>
        <v/>
      </c>
    </row>
    <row r="1058" spans="3:6" x14ac:dyDescent="0.3">
      <c r="C1058" s="8" t="str">
        <f t="shared" si="39"/>
        <v/>
      </c>
      <c r="F1058" s="8" t="str">
        <f t="shared" si="40"/>
        <v/>
      </c>
    </row>
    <row r="1059" spans="3:6" x14ac:dyDescent="0.3">
      <c r="C1059" s="8" t="str">
        <f t="shared" si="39"/>
        <v/>
      </c>
      <c r="F1059" s="8" t="str">
        <f t="shared" si="40"/>
        <v/>
      </c>
    </row>
    <row r="1060" spans="3:6" x14ac:dyDescent="0.3">
      <c r="C1060" s="8" t="str">
        <f t="shared" si="39"/>
        <v/>
      </c>
      <c r="F1060" s="8" t="str">
        <f t="shared" si="40"/>
        <v/>
      </c>
    </row>
    <row r="1061" spans="3:6" x14ac:dyDescent="0.3">
      <c r="C1061" s="8" t="str">
        <f t="shared" si="39"/>
        <v/>
      </c>
      <c r="F1061" s="8" t="str">
        <f t="shared" si="40"/>
        <v/>
      </c>
    </row>
    <row r="1062" spans="3:6" x14ac:dyDescent="0.3">
      <c r="C1062" s="8" t="str">
        <f t="shared" si="39"/>
        <v/>
      </c>
      <c r="F1062" s="8" t="str">
        <f t="shared" si="40"/>
        <v/>
      </c>
    </row>
    <row r="1063" spans="3:6" x14ac:dyDescent="0.3">
      <c r="C1063" s="8" t="str">
        <f t="shared" si="39"/>
        <v/>
      </c>
      <c r="F1063" s="8" t="str">
        <f t="shared" si="40"/>
        <v/>
      </c>
    </row>
    <row r="1064" spans="3:6" x14ac:dyDescent="0.3">
      <c r="C1064" s="8" t="str">
        <f t="shared" si="39"/>
        <v/>
      </c>
      <c r="F1064" s="8" t="str">
        <f t="shared" si="40"/>
        <v/>
      </c>
    </row>
    <row r="1065" spans="3:6" x14ac:dyDescent="0.3">
      <c r="C1065" s="8" t="str">
        <f t="shared" si="39"/>
        <v/>
      </c>
      <c r="F1065" s="8" t="str">
        <f t="shared" si="40"/>
        <v/>
      </c>
    </row>
    <row r="1066" spans="3:6" x14ac:dyDescent="0.3">
      <c r="C1066" s="8" t="str">
        <f t="shared" si="39"/>
        <v/>
      </c>
      <c r="F1066" s="8" t="str">
        <f t="shared" si="40"/>
        <v/>
      </c>
    </row>
    <row r="1067" spans="3:6" x14ac:dyDescent="0.3">
      <c r="C1067" s="8" t="str">
        <f t="shared" si="39"/>
        <v/>
      </c>
      <c r="F1067" s="8" t="str">
        <f t="shared" si="40"/>
        <v/>
      </c>
    </row>
    <row r="1068" spans="3:6" x14ac:dyDescent="0.3">
      <c r="C1068" s="8" t="str">
        <f t="shared" si="39"/>
        <v/>
      </c>
      <c r="F1068" s="8" t="str">
        <f t="shared" si="40"/>
        <v/>
      </c>
    </row>
    <row r="1069" spans="3:6" x14ac:dyDescent="0.3">
      <c r="C1069" s="8" t="str">
        <f t="shared" si="39"/>
        <v/>
      </c>
      <c r="F1069" s="8" t="str">
        <f t="shared" si="40"/>
        <v/>
      </c>
    </row>
    <row r="1070" spans="3:6" x14ac:dyDescent="0.3">
      <c r="C1070" s="8" t="str">
        <f t="shared" si="39"/>
        <v/>
      </c>
      <c r="F1070" s="8" t="str">
        <f t="shared" si="40"/>
        <v/>
      </c>
    </row>
    <row r="1071" spans="3:6" x14ac:dyDescent="0.3">
      <c r="C1071" s="8" t="str">
        <f t="shared" si="39"/>
        <v/>
      </c>
      <c r="F1071" s="8" t="str">
        <f t="shared" si="40"/>
        <v/>
      </c>
    </row>
    <row r="1072" spans="3:6" x14ac:dyDescent="0.3">
      <c r="C1072" s="8" t="str">
        <f t="shared" si="39"/>
        <v/>
      </c>
      <c r="F1072" s="8" t="str">
        <f t="shared" si="40"/>
        <v/>
      </c>
    </row>
    <row r="1073" spans="3:6" x14ac:dyDescent="0.3">
      <c r="C1073" s="8" t="str">
        <f t="shared" si="39"/>
        <v/>
      </c>
      <c r="F1073" s="8" t="str">
        <f t="shared" si="40"/>
        <v/>
      </c>
    </row>
    <row r="1074" spans="3:6" x14ac:dyDescent="0.3">
      <c r="C1074" s="8" t="str">
        <f t="shared" si="39"/>
        <v/>
      </c>
      <c r="F1074" s="8" t="str">
        <f t="shared" si="40"/>
        <v/>
      </c>
    </row>
    <row r="1075" spans="3:6" x14ac:dyDescent="0.3">
      <c r="C1075" s="8" t="str">
        <f t="shared" si="39"/>
        <v/>
      </c>
      <c r="F1075" s="8" t="str">
        <f t="shared" si="40"/>
        <v/>
      </c>
    </row>
    <row r="1076" spans="3:6" x14ac:dyDescent="0.3">
      <c r="C1076" s="8" t="str">
        <f t="shared" si="39"/>
        <v/>
      </c>
      <c r="F1076" s="8" t="str">
        <f t="shared" si="40"/>
        <v/>
      </c>
    </row>
    <row r="1077" spans="3:6" x14ac:dyDescent="0.3">
      <c r="C1077" s="8" t="str">
        <f t="shared" si="39"/>
        <v/>
      </c>
      <c r="F1077" s="8" t="str">
        <f t="shared" si="40"/>
        <v/>
      </c>
    </row>
    <row r="1078" spans="3:6" x14ac:dyDescent="0.3">
      <c r="C1078" s="8" t="str">
        <f t="shared" si="39"/>
        <v/>
      </c>
      <c r="F1078" s="8" t="str">
        <f t="shared" si="40"/>
        <v/>
      </c>
    </row>
    <row r="1079" spans="3:6" x14ac:dyDescent="0.3">
      <c r="C1079" s="8" t="str">
        <f t="shared" si="39"/>
        <v/>
      </c>
      <c r="F1079" s="8" t="str">
        <f t="shared" si="40"/>
        <v/>
      </c>
    </row>
    <row r="1080" spans="3:6" x14ac:dyDescent="0.3">
      <c r="C1080" s="8" t="str">
        <f t="shared" si="39"/>
        <v/>
      </c>
      <c r="F1080" s="8" t="str">
        <f t="shared" si="40"/>
        <v/>
      </c>
    </row>
    <row r="1081" spans="3:6" x14ac:dyDescent="0.3">
      <c r="C1081" s="8" t="str">
        <f t="shared" si="39"/>
        <v/>
      </c>
      <c r="F1081" s="8" t="str">
        <f t="shared" si="40"/>
        <v/>
      </c>
    </row>
    <row r="1082" spans="3:6" x14ac:dyDescent="0.3">
      <c r="C1082" s="8" t="str">
        <f t="shared" si="39"/>
        <v/>
      </c>
      <c r="F1082" s="8" t="str">
        <f t="shared" si="40"/>
        <v/>
      </c>
    </row>
    <row r="1083" spans="3:6" x14ac:dyDescent="0.3">
      <c r="C1083" s="8" t="str">
        <f t="shared" si="39"/>
        <v/>
      </c>
      <c r="F1083" s="8" t="str">
        <f t="shared" si="40"/>
        <v/>
      </c>
    </row>
    <row r="1084" spans="3:6" x14ac:dyDescent="0.3">
      <c r="C1084" s="8" t="str">
        <f t="shared" si="39"/>
        <v/>
      </c>
      <c r="F1084" s="8" t="str">
        <f t="shared" si="40"/>
        <v/>
      </c>
    </row>
    <row r="1085" spans="3:6" x14ac:dyDescent="0.3">
      <c r="C1085" s="8" t="str">
        <f t="shared" si="39"/>
        <v/>
      </c>
      <c r="F1085" s="8" t="str">
        <f t="shared" si="40"/>
        <v/>
      </c>
    </row>
    <row r="1086" spans="3:6" x14ac:dyDescent="0.3">
      <c r="C1086" s="8" t="str">
        <f t="shared" si="39"/>
        <v/>
      </c>
      <c r="F1086" s="8" t="str">
        <f t="shared" si="40"/>
        <v/>
      </c>
    </row>
    <row r="1087" spans="3:6" x14ac:dyDescent="0.3">
      <c r="C1087" s="8" t="str">
        <f t="shared" si="39"/>
        <v/>
      </c>
      <c r="F1087" s="8" t="str">
        <f t="shared" si="40"/>
        <v/>
      </c>
    </row>
    <row r="1088" spans="3:6" x14ac:dyDescent="0.3">
      <c r="C1088" s="8" t="str">
        <f t="shared" si="39"/>
        <v/>
      </c>
      <c r="F1088" s="8" t="str">
        <f t="shared" si="40"/>
        <v/>
      </c>
    </row>
    <row r="1089" spans="3:6" x14ac:dyDescent="0.3">
      <c r="C1089" s="8" t="str">
        <f t="shared" si="39"/>
        <v/>
      </c>
      <c r="F1089" s="8" t="str">
        <f t="shared" si="40"/>
        <v/>
      </c>
    </row>
    <row r="1090" spans="3:6" x14ac:dyDescent="0.3">
      <c r="C1090" s="8" t="str">
        <f t="shared" si="39"/>
        <v/>
      </c>
      <c r="F1090" s="8" t="str">
        <f t="shared" si="40"/>
        <v/>
      </c>
    </row>
    <row r="1091" spans="3:6" x14ac:dyDescent="0.3">
      <c r="C1091" s="8" t="str">
        <f t="shared" si="39"/>
        <v/>
      </c>
      <c r="F1091" s="8" t="str">
        <f t="shared" si="40"/>
        <v/>
      </c>
    </row>
    <row r="1092" spans="3:6" x14ac:dyDescent="0.3">
      <c r="C1092" s="8" t="str">
        <f t="shared" si="39"/>
        <v/>
      </c>
      <c r="F1092" s="8" t="str">
        <f t="shared" si="40"/>
        <v/>
      </c>
    </row>
    <row r="1093" spans="3:6" x14ac:dyDescent="0.3">
      <c r="C1093" s="8" t="str">
        <f t="shared" si="39"/>
        <v/>
      </c>
      <c r="F1093" s="8" t="str">
        <f t="shared" si="40"/>
        <v/>
      </c>
    </row>
    <row r="1094" spans="3:6" x14ac:dyDescent="0.3">
      <c r="C1094" s="8" t="str">
        <f t="shared" si="39"/>
        <v/>
      </c>
      <c r="F1094" s="8" t="str">
        <f t="shared" si="40"/>
        <v/>
      </c>
    </row>
    <row r="1095" spans="3:6" x14ac:dyDescent="0.3">
      <c r="C1095" s="8" t="str">
        <f t="shared" si="39"/>
        <v/>
      </c>
      <c r="F1095" s="8" t="str">
        <f t="shared" si="40"/>
        <v/>
      </c>
    </row>
    <row r="1096" spans="3:6" x14ac:dyDescent="0.3">
      <c r="C1096" s="8" t="str">
        <f t="shared" si="39"/>
        <v/>
      </c>
      <c r="F1096" s="8" t="str">
        <f t="shared" si="40"/>
        <v/>
      </c>
    </row>
    <row r="1097" spans="3:6" x14ac:dyDescent="0.3">
      <c r="C1097" s="8" t="str">
        <f t="shared" si="39"/>
        <v/>
      </c>
      <c r="F1097" s="8" t="str">
        <f t="shared" si="40"/>
        <v/>
      </c>
    </row>
    <row r="1098" spans="3:6" x14ac:dyDescent="0.3">
      <c r="C1098" s="8" t="str">
        <f t="shared" si="39"/>
        <v/>
      </c>
      <c r="F1098" s="8" t="str">
        <f t="shared" si="40"/>
        <v/>
      </c>
    </row>
    <row r="1099" spans="3:6" x14ac:dyDescent="0.3">
      <c r="C1099" s="8" t="str">
        <f t="shared" si="39"/>
        <v/>
      </c>
      <c r="F1099" s="8" t="str">
        <f t="shared" si="40"/>
        <v/>
      </c>
    </row>
    <row r="1100" spans="3:6" x14ac:dyDescent="0.3">
      <c r="C1100" s="8" t="str">
        <f t="shared" ref="C1100:C1163" si="41">IF(B1100="PBHAv1.0","PCB"&amp;TEXT(A1100,"yyyymmdd")&amp;"-01",IF(B1100="SBCT","SBCT"&amp;TEXT(A1100,"yyyymmdd"),IF(B1100="SCRA","SCRA"&amp;TEXT(A1100,"yyyymmdd"),"")))</f>
        <v/>
      </c>
      <c r="F1100" s="8" t="str">
        <f t="shared" ref="F1100:F1163" si="42">IF(ISBLANK(B1100),"",IF(B1100="PBHAv1.0",IF(OR(ISBLANK(D1100),ISBLANK(E1100)),"",IF(AND(D1100&gt;=360,D1100&lt;=460,E1100&lt;=0.4),"적합","부적합")),IF(ISBLANK(D1100),"",IF(B1100="SBCT",IF(AND(D1100&gt;=170,D1100&lt;=220),"적합","부적합"),IF(B1100="SCRA",IF(AND(D1100&gt;=50,D1100&lt;=70),"적합","부적합"),"")))))</f>
        <v/>
      </c>
    </row>
    <row r="1101" spans="3:6" x14ac:dyDescent="0.3">
      <c r="C1101" s="8" t="str">
        <f t="shared" si="41"/>
        <v/>
      </c>
      <c r="F1101" s="8" t="str">
        <f t="shared" si="42"/>
        <v/>
      </c>
    </row>
    <row r="1102" spans="3:6" x14ac:dyDescent="0.3">
      <c r="C1102" s="8" t="str">
        <f t="shared" si="41"/>
        <v/>
      </c>
      <c r="F1102" s="8" t="str">
        <f t="shared" si="42"/>
        <v/>
      </c>
    </row>
    <row r="1103" spans="3:6" x14ac:dyDescent="0.3">
      <c r="C1103" s="8" t="str">
        <f t="shared" si="41"/>
        <v/>
      </c>
      <c r="F1103" s="8" t="str">
        <f t="shared" si="42"/>
        <v/>
      </c>
    </row>
    <row r="1104" spans="3:6" x14ac:dyDescent="0.3">
      <c r="C1104" s="8" t="str">
        <f t="shared" si="41"/>
        <v/>
      </c>
      <c r="F1104" s="8" t="str">
        <f t="shared" si="42"/>
        <v/>
      </c>
    </row>
    <row r="1105" spans="3:6" x14ac:dyDescent="0.3">
      <c r="C1105" s="8" t="str">
        <f t="shared" si="41"/>
        <v/>
      </c>
      <c r="F1105" s="8" t="str">
        <f t="shared" si="42"/>
        <v/>
      </c>
    </row>
    <row r="1106" spans="3:6" x14ac:dyDescent="0.3">
      <c r="C1106" s="8" t="str">
        <f t="shared" si="41"/>
        <v/>
      </c>
      <c r="F1106" s="8" t="str">
        <f t="shared" si="42"/>
        <v/>
      </c>
    </row>
    <row r="1107" spans="3:6" x14ac:dyDescent="0.3">
      <c r="C1107" s="8" t="str">
        <f t="shared" si="41"/>
        <v/>
      </c>
      <c r="F1107" s="8" t="str">
        <f t="shared" si="42"/>
        <v/>
      </c>
    </row>
    <row r="1108" spans="3:6" x14ac:dyDescent="0.3">
      <c r="C1108" s="8" t="str">
        <f t="shared" si="41"/>
        <v/>
      </c>
      <c r="F1108" s="8" t="str">
        <f t="shared" si="42"/>
        <v/>
      </c>
    </row>
    <row r="1109" spans="3:6" x14ac:dyDescent="0.3">
      <c r="C1109" s="8" t="str">
        <f t="shared" si="41"/>
        <v/>
      </c>
      <c r="F1109" s="8" t="str">
        <f t="shared" si="42"/>
        <v/>
      </c>
    </row>
    <row r="1110" spans="3:6" x14ac:dyDescent="0.3">
      <c r="C1110" s="8" t="str">
        <f t="shared" si="41"/>
        <v/>
      </c>
      <c r="F1110" s="8" t="str">
        <f t="shared" si="42"/>
        <v/>
      </c>
    </row>
    <row r="1111" spans="3:6" x14ac:dyDescent="0.3">
      <c r="C1111" s="8" t="str">
        <f t="shared" si="41"/>
        <v/>
      </c>
      <c r="F1111" s="8" t="str">
        <f t="shared" si="42"/>
        <v/>
      </c>
    </row>
    <row r="1112" spans="3:6" x14ac:dyDescent="0.3">
      <c r="C1112" s="8" t="str">
        <f t="shared" si="41"/>
        <v/>
      </c>
      <c r="F1112" s="8" t="str">
        <f t="shared" si="42"/>
        <v/>
      </c>
    </row>
    <row r="1113" spans="3:6" x14ac:dyDescent="0.3">
      <c r="C1113" s="8" t="str">
        <f t="shared" si="41"/>
        <v/>
      </c>
      <c r="F1113" s="8" t="str">
        <f t="shared" si="42"/>
        <v/>
      </c>
    </row>
    <row r="1114" spans="3:6" x14ac:dyDescent="0.3">
      <c r="C1114" s="8" t="str">
        <f t="shared" si="41"/>
        <v/>
      </c>
      <c r="F1114" s="8" t="str">
        <f t="shared" si="42"/>
        <v/>
      </c>
    </row>
    <row r="1115" spans="3:6" x14ac:dyDescent="0.3">
      <c r="C1115" s="8" t="str">
        <f t="shared" si="41"/>
        <v/>
      </c>
      <c r="F1115" s="8" t="str">
        <f t="shared" si="42"/>
        <v/>
      </c>
    </row>
    <row r="1116" spans="3:6" x14ac:dyDescent="0.3">
      <c r="C1116" s="8" t="str">
        <f t="shared" si="41"/>
        <v/>
      </c>
      <c r="F1116" s="8" t="str">
        <f t="shared" si="42"/>
        <v/>
      </c>
    </row>
    <row r="1117" spans="3:6" x14ac:dyDescent="0.3">
      <c r="C1117" s="8" t="str">
        <f t="shared" si="41"/>
        <v/>
      </c>
      <c r="F1117" s="8" t="str">
        <f t="shared" si="42"/>
        <v/>
      </c>
    </row>
    <row r="1118" spans="3:6" x14ac:dyDescent="0.3">
      <c r="C1118" s="8" t="str">
        <f t="shared" si="41"/>
        <v/>
      </c>
      <c r="F1118" s="8" t="str">
        <f t="shared" si="42"/>
        <v/>
      </c>
    </row>
    <row r="1119" spans="3:6" x14ac:dyDescent="0.3">
      <c r="C1119" s="8" t="str">
        <f t="shared" si="41"/>
        <v/>
      </c>
      <c r="F1119" s="8" t="str">
        <f t="shared" si="42"/>
        <v/>
      </c>
    </row>
    <row r="1120" spans="3:6" x14ac:dyDescent="0.3">
      <c r="C1120" s="8" t="str">
        <f t="shared" si="41"/>
        <v/>
      </c>
      <c r="F1120" s="8" t="str">
        <f t="shared" si="42"/>
        <v/>
      </c>
    </row>
    <row r="1121" spans="3:6" x14ac:dyDescent="0.3">
      <c r="C1121" s="8" t="str">
        <f t="shared" si="41"/>
        <v/>
      </c>
      <c r="F1121" s="8" t="str">
        <f t="shared" si="42"/>
        <v/>
      </c>
    </row>
    <row r="1122" spans="3:6" x14ac:dyDescent="0.3">
      <c r="C1122" s="8" t="str">
        <f t="shared" si="41"/>
        <v/>
      </c>
      <c r="F1122" s="8" t="str">
        <f t="shared" si="42"/>
        <v/>
      </c>
    </row>
    <row r="1123" spans="3:6" x14ac:dyDescent="0.3">
      <c r="C1123" s="8" t="str">
        <f t="shared" si="41"/>
        <v/>
      </c>
      <c r="F1123" s="8" t="str">
        <f t="shared" si="42"/>
        <v/>
      </c>
    </row>
    <row r="1124" spans="3:6" x14ac:dyDescent="0.3">
      <c r="C1124" s="8" t="str">
        <f t="shared" si="41"/>
        <v/>
      </c>
      <c r="F1124" s="8" t="str">
        <f t="shared" si="42"/>
        <v/>
      </c>
    </row>
    <row r="1125" spans="3:6" x14ac:dyDescent="0.3">
      <c r="C1125" s="8" t="str">
        <f t="shared" si="41"/>
        <v/>
      </c>
      <c r="F1125" s="8" t="str">
        <f t="shared" si="42"/>
        <v/>
      </c>
    </row>
    <row r="1126" spans="3:6" x14ac:dyDescent="0.3">
      <c r="C1126" s="8" t="str">
        <f t="shared" si="41"/>
        <v/>
      </c>
      <c r="F1126" s="8" t="str">
        <f t="shared" si="42"/>
        <v/>
      </c>
    </row>
    <row r="1127" spans="3:6" x14ac:dyDescent="0.3">
      <c r="C1127" s="8" t="str">
        <f t="shared" si="41"/>
        <v/>
      </c>
      <c r="F1127" s="8" t="str">
        <f t="shared" si="42"/>
        <v/>
      </c>
    </row>
    <row r="1128" spans="3:6" x14ac:dyDescent="0.3">
      <c r="C1128" s="8" t="str">
        <f t="shared" si="41"/>
        <v/>
      </c>
      <c r="F1128" s="8" t="str">
        <f t="shared" si="42"/>
        <v/>
      </c>
    </row>
    <row r="1129" spans="3:6" x14ac:dyDescent="0.3">
      <c r="C1129" s="8" t="str">
        <f t="shared" si="41"/>
        <v/>
      </c>
      <c r="F1129" s="8" t="str">
        <f t="shared" si="42"/>
        <v/>
      </c>
    </row>
    <row r="1130" spans="3:6" x14ac:dyDescent="0.3">
      <c r="C1130" s="8" t="str">
        <f t="shared" si="41"/>
        <v/>
      </c>
      <c r="F1130" s="8" t="str">
        <f t="shared" si="42"/>
        <v/>
      </c>
    </row>
    <row r="1131" spans="3:6" x14ac:dyDescent="0.3">
      <c r="C1131" s="8" t="str">
        <f t="shared" si="41"/>
        <v/>
      </c>
      <c r="F1131" s="8" t="str">
        <f t="shared" si="42"/>
        <v/>
      </c>
    </row>
    <row r="1132" spans="3:6" x14ac:dyDescent="0.3">
      <c r="C1132" s="8" t="str">
        <f t="shared" si="41"/>
        <v/>
      </c>
      <c r="F1132" s="8" t="str">
        <f t="shared" si="42"/>
        <v/>
      </c>
    </row>
    <row r="1133" spans="3:6" x14ac:dyDescent="0.3">
      <c r="C1133" s="8" t="str">
        <f t="shared" si="41"/>
        <v/>
      </c>
      <c r="F1133" s="8" t="str">
        <f t="shared" si="42"/>
        <v/>
      </c>
    </row>
    <row r="1134" spans="3:6" x14ac:dyDescent="0.3">
      <c r="C1134" s="8" t="str">
        <f t="shared" si="41"/>
        <v/>
      </c>
      <c r="F1134" s="8" t="str">
        <f t="shared" si="42"/>
        <v/>
      </c>
    </row>
    <row r="1135" spans="3:6" x14ac:dyDescent="0.3">
      <c r="C1135" s="8" t="str">
        <f t="shared" si="41"/>
        <v/>
      </c>
      <c r="F1135" s="8" t="str">
        <f t="shared" si="42"/>
        <v/>
      </c>
    </row>
    <row r="1136" spans="3:6" x14ac:dyDescent="0.3">
      <c r="C1136" s="8" t="str">
        <f t="shared" si="41"/>
        <v/>
      </c>
      <c r="F1136" s="8" t="str">
        <f t="shared" si="42"/>
        <v/>
      </c>
    </row>
    <row r="1137" spans="3:6" x14ac:dyDescent="0.3">
      <c r="C1137" s="8" t="str">
        <f t="shared" si="41"/>
        <v/>
      </c>
      <c r="F1137" s="8" t="str">
        <f t="shared" si="42"/>
        <v/>
      </c>
    </row>
    <row r="1138" spans="3:6" x14ac:dyDescent="0.3">
      <c r="C1138" s="8" t="str">
        <f t="shared" si="41"/>
        <v/>
      </c>
      <c r="F1138" s="8" t="str">
        <f t="shared" si="42"/>
        <v/>
      </c>
    </row>
    <row r="1139" spans="3:6" x14ac:dyDescent="0.3">
      <c r="C1139" s="8" t="str">
        <f t="shared" si="41"/>
        <v/>
      </c>
      <c r="F1139" s="8" t="str">
        <f t="shared" si="42"/>
        <v/>
      </c>
    </row>
    <row r="1140" spans="3:6" x14ac:dyDescent="0.3">
      <c r="C1140" s="8" t="str">
        <f t="shared" si="41"/>
        <v/>
      </c>
      <c r="F1140" s="8" t="str">
        <f t="shared" si="42"/>
        <v/>
      </c>
    </row>
    <row r="1141" spans="3:6" x14ac:dyDescent="0.3">
      <c r="C1141" s="8" t="str">
        <f t="shared" si="41"/>
        <v/>
      </c>
      <c r="F1141" s="8" t="str">
        <f t="shared" si="42"/>
        <v/>
      </c>
    </row>
    <row r="1142" spans="3:6" x14ac:dyDescent="0.3">
      <c r="C1142" s="8" t="str">
        <f t="shared" si="41"/>
        <v/>
      </c>
      <c r="F1142" s="8" t="str">
        <f t="shared" si="42"/>
        <v/>
      </c>
    </row>
    <row r="1143" spans="3:6" x14ac:dyDescent="0.3">
      <c r="C1143" s="8" t="str">
        <f t="shared" si="41"/>
        <v/>
      </c>
      <c r="F1143" s="8" t="str">
        <f t="shared" si="42"/>
        <v/>
      </c>
    </row>
    <row r="1144" spans="3:6" x14ac:dyDescent="0.3">
      <c r="C1144" s="8" t="str">
        <f t="shared" si="41"/>
        <v/>
      </c>
      <c r="F1144" s="8" t="str">
        <f t="shared" si="42"/>
        <v/>
      </c>
    </row>
    <row r="1145" spans="3:6" x14ac:dyDescent="0.3">
      <c r="C1145" s="8" t="str">
        <f t="shared" si="41"/>
        <v/>
      </c>
      <c r="F1145" s="8" t="str">
        <f t="shared" si="42"/>
        <v/>
      </c>
    </row>
    <row r="1146" spans="3:6" x14ac:dyDescent="0.3">
      <c r="C1146" s="8" t="str">
        <f t="shared" si="41"/>
        <v/>
      </c>
      <c r="F1146" s="8" t="str">
        <f t="shared" si="42"/>
        <v/>
      </c>
    </row>
    <row r="1147" spans="3:6" x14ac:dyDescent="0.3">
      <c r="C1147" s="8" t="str">
        <f t="shared" si="41"/>
        <v/>
      </c>
      <c r="F1147" s="8" t="str">
        <f t="shared" si="42"/>
        <v/>
      </c>
    </row>
    <row r="1148" spans="3:6" x14ac:dyDescent="0.3">
      <c r="C1148" s="8" t="str">
        <f t="shared" si="41"/>
        <v/>
      </c>
      <c r="F1148" s="8" t="str">
        <f t="shared" si="42"/>
        <v/>
      </c>
    </row>
    <row r="1149" spans="3:6" x14ac:dyDescent="0.3">
      <c r="C1149" s="8" t="str">
        <f t="shared" si="41"/>
        <v/>
      </c>
      <c r="F1149" s="8" t="str">
        <f t="shared" si="42"/>
        <v/>
      </c>
    </row>
    <row r="1150" spans="3:6" x14ac:dyDescent="0.3">
      <c r="C1150" s="8" t="str">
        <f t="shared" si="41"/>
        <v/>
      </c>
      <c r="F1150" s="8" t="str">
        <f t="shared" si="42"/>
        <v/>
      </c>
    </row>
    <row r="1151" spans="3:6" x14ac:dyDescent="0.3">
      <c r="C1151" s="8" t="str">
        <f t="shared" si="41"/>
        <v/>
      </c>
      <c r="F1151" s="8" t="str">
        <f t="shared" si="42"/>
        <v/>
      </c>
    </row>
    <row r="1152" spans="3:6" x14ac:dyDescent="0.3">
      <c r="C1152" s="8" t="str">
        <f t="shared" si="41"/>
        <v/>
      </c>
      <c r="F1152" s="8" t="str">
        <f t="shared" si="42"/>
        <v/>
      </c>
    </row>
    <row r="1153" spans="3:6" x14ac:dyDescent="0.3">
      <c r="C1153" s="8" t="str">
        <f t="shared" si="41"/>
        <v/>
      </c>
      <c r="F1153" s="8" t="str">
        <f t="shared" si="42"/>
        <v/>
      </c>
    </row>
    <row r="1154" spans="3:6" x14ac:dyDescent="0.3">
      <c r="C1154" s="8" t="str">
        <f t="shared" si="41"/>
        <v/>
      </c>
      <c r="F1154" s="8" t="str">
        <f t="shared" si="42"/>
        <v/>
      </c>
    </row>
    <row r="1155" spans="3:6" x14ac:dyDescent="0.3">
      <c r="C1155" s="8" t="str">
        <f t="shared" si="41"/>
        <v/>
      </c>
      <c r="F1155" s="8" t="str">
        <f t="shared" si="42"/>
        <v/>
      </c>
    </row>
    <row r="1156" spans="3:6" x14ac:dyDescent="0.3">
      <c r="C1156" s="8" t="str">
        <f t="shared" si="41"/>
        <v/>
      </c>
      <c r="F1156" s="8" t="str">
        <f t="shared" si="42"/>
        <v/>
      </c>
    </row>
    <row r="1157" spans="3:6" x14ac:dyDescent="0.3">
      <c r="C1157" s="8" t="str">
        <f t="shared" si="41"/>
        <v/>
      </c>
      <c r="F1157" s="8" t="str">
        <f t="shared" si="42"/>
        <v/>
      </c>
    </row>
    <row r="1158" spans="3:6" x14ac:dyDescent="0.3">
      <c r="C1158" s="8" t="str">
        <f t="shared" si="41"/>
        <v/>
      </c>
      <c r="F1158" s="8" t="str">
        <f t="shared" si="42"/>
        <v/>
      </c>
    </row>
    <row r="1159" spans="3:6" x14ac:dyDescent="0.3">
      <c r="C1159" s="8" t="str">
        <f t="shared" si="41"/>
        <v/>
      </c>
      <c r="F1159" s="8" t="str">
        <f t="shared" si="42"/>
        <v/>
      </c>
    </row>
    <row r="1160" spans="3:6" x14ac:dyDescent="0.3">
      <c r="C1160" s="8" t="str">
        <f t="shared" si="41"/>
        <v/>
      </c>
      <c r="F1160" s="8" t="str">
        <f t="shared" si="42"/>
        <v/>
      </c>
    </row>
    <row r="1161" spans="3:6" x14ac:dyDescent="0.3">
      <c r="C1161" s="8" t="str">
        <f t="shared" si="41"/>
        <v/>
      </c>
      <c r="F1161" s="8" t="str">
        <f t="shared" si="42"/>
        <v/>
      </c>
    </row>
    <row r="1162" spans="3:6" x14ac:dyDescent="0.3">
      <c r="C1162" s="8" t="str">
        <f t="shared" si="41"/>
        <v/>
      </c>
      <c r="F1162" s="8" t="str">
        <f t="shared" si="42"/>
        <v/>
      </c>
    </row>
    <row r="1163" spans="3:6" x14ac:dyDescent="0.3">
      <c r="C1163" s="8" t="str">
        <f t="shared" si="41"/>
        <v/>
      </c>
      <c r="F1163" s="8" t="str">
        <f t="shared" si="42"/>
        <v/>
      </c>
    </row>
    <row r="1164" spans="3:6" x14ac:dyDescent="0.3">
      <c r="C1164" s="8" t="str">
        <f t="shared" ref="C1164:C1227" si="43">IF(B1164="PBHAv1.0","PCB"&amp;TEXT(A1164,"yyyymmdd")&amp;"-01",IF(B1164="SBCT","SBCT"&amp;TEXT(A1164,"yyyymmdd"),IF(B1164="SCRA","SCRA"&amp;TEXT(A1164,"yyyymmdd"),"")))</f>
        <v/>
      </c>
      <c r="F1164" s="8" t="str">
        <f t="shared" ref="F1164:F1227" si="44">IF(ISBLANK(B1164),"",IF(B1164="PBHAv1.0",IF(OR(ISBLANK(D1164),ISBLANK(E1164)),"",IF(AND(D1164&gt;=360,D1164&lt;=460,E1164&lt;=0.4),"적합","부적합")),IF(ISBLANK(D1164),"",IF(B1164="SBCT",IF(AND(D1164&gt;=170,D1164&lt;=220),"적합","부적합"),IF(B1164="SCRA",IF(AND(D1164&gt;=50,D1164&lt;=70),"적합","부적합"),"")))))</f>
        <v/>
      </c>
    </row>
    <row r="1165" spans="3:6" x14ac:dyDescent="0.3">
      <c r="C1165" s="8" t="str">
        <f t="shared" si="43"/>
        <v/>
      </c>
      <c r="F1165" s="8" t="str">
        <f t="shared" si="44"/>
        <v/>
      </c>
    </row>
    <row r="1166" spans="3:6" x14ac:dyDescent="0.3">
      <c r="C1166" s="8" t="str">
        <f t="shared" si="43"/>
        <v/>
      </c>
      <c r="F1166" s="8" t="str">
        <f t="shared" si="44"/>
        <v/>
      </c>
    </row>
    <row r="1167" spans="3:6" x14ac:dyDescent="0.3">
      <c r="C1167" s="8" t="str">
        <f t="shared" si="43"/>
        <v/>
      </c>
      <c r="F1167" s="8" t="str">
        <f t="shared" si="44"/>
        <v/>
      </c>
    </row>
    <row r="1168" spans="3:6" x14ac:dyDescent="0.3">
      <c r="C1168" s="8" t="str">
        <f t="shared" si="43"/>
        <v/>
      </c>
      <c r="F1168" s="8" t="str">
        <f t="shared" si="44"/>
        <v/>
      </c>
    </row>
    <row r="1169" spans="3:6" x14ac:dyDescent="0.3">
      <c r="C1169" s="8" t="str">
        <f t="shared" si="43"/>
        <v/>
      </c>
      <c r="F1169" s="8" t="str">
        <f t="shared" si="44"/>
        <v/>
      </c>
    </row>
    <row r="1170" spans="3:6" x14ac:dyDescent="0.3">
      <c r="C1170" s="8" t="str">
        <f t="shared" si="43"/>
        <v/>
      </c>
      <c r="F1170" s="8" t="str">
        <f t="shared" si="44"/>
        <v/>
      </c>
    </row>
    <row r="1171" spans="3:6" x14ac:dyDescent="0.3">
      <c r="C1171" s="8" t="str">
        <f t="shared" si="43"/>
        <v/>
      </c>
      <c r="F1171" s="8" t="str">
        <f t="shared" si="44"/>
        <v/>
      </c>
    </row>
    <row r="1172" spans="3:6" x14ac:dyDescent="0.3">
      <c r="C1172" s="8" t="str">
        <f t="shared" si="43"/>
        <v/>
      </c>
      <c r="F1172" s="8" t="str">
        <f t="shared" si="44"/>
        <v/>
      </c>
    </row>
    <row r="1173" spans="3:6" x14ac:dyDescent="0.3">
      <c r="C1173" s="8" t="str">
        <f t="shared" si="43"/>
        <v/>
      </c>
      <c r="F1173" s="8" t="str">
        <f t="shared" si="44"/>
        <v/>
      </c>
    </row>
    <row r="1174" spans="3:6" x14ac:dyDescent="0.3">
      <c r="C1174" s="8" t="str">
        <f t="shared" si="43"/>
        <v/>
      </c>
      <c r="F1174" s="8" t="str">
        <f t="shared" si="44"/>
        <v/>
      </c>
    </row>
    <row r="1175" spans="3:6" x14ac:dyDescent="0.3">
      <c r="C1175" s="8" t="str">
        <f t="shared" si="43"/>
        <v/>
      </c>
      <c r="F1175" s="8" t="str">
        <f t="shared" si="44"/>
        <v/>
      </c>
    </row>
    <row r="1176" spans="3:6" x14ac:dyDescent="0.3">
      <c r="C1176" s="8" t="str">
        <f t="shared" si="43"/>
        <v/>
      </c>
      <c r="F1176" s="8" t="str">
        <f t="shared" si="44"/>
        <v/>
      </c>
    </row>
    <row r="1177" spans="3:6" x14ac:dyDescent="0.3">
      <c r="C1177" s="8" t="str">
        <f t="shared" si="43"/>
        <v/>
      </c>
      <c r="F1177" s="8" t="str">
        <f t="shared" si="44"/>
        <v/>
      </c>
    </row>
    <row r="1178" spans="3:6" x14ac:dyDescent="0.3">
      <c r="C1178" s="8" t="str">
        <f t="shared" si="43"/>
        <v/>
      </c>
      <c r="F1178" s="8" t="str">
        <f t="shared" si="44"/>
        <v/>
      </c>
    </row>
    <row r="1179" spans="3:6" x14ac:dyDescent="0.3">
      <c r="C1179" s="8" t="str">
        <f t="shared" si="43"/>
        <v/>
      </c>
      <c r="F1179" s="8" t="str">
        <f t="shared" si="44"/>
        <v/>
      </c>
    </row>
    <row r="1180" spans="3:6" x14ac:dyDescent="0.3">
      <c r="C1180" s="8" t="str">
        <f t="shared" si="43"/>
        <v/>
      </c>
      <c r="F1180" s="8" t="str">
        <f t="shared" si="44"/>
        <v/>
      </c>
    </row>
    <row r="1181" spans="3:6" x14ac:dyDescent="0.3">
      <c r="C1181" s="8" t="str">
        <f t="shared" si="43"/>
        <v/>
      </c>
      <c r="F1181" s="8" t="str">
        <f t="shared" si="44"/>
        <v/>
      </c>
    </row>
    <row r="1182" spans="3:6" x14ac:dyDescent="0.3">
      <c r="C1182" s="8" t="str">
        <f t="shared" si="43"/>
        <v/>
      </c>
      <c r="F1182" s="8" t="str">
        <f t="shared" si="44"/>
        <v/>
      </c>
    </row>
    <row r="1183" spans="3:6" x14ac:dyDescent="0.3">
      <c r="C1183" s="8" t="str">
        <f t="shared" si="43"/>
        <v/>
      </c>
      <c r="F1183" s="8" t="str">
        <f t="shared" si="44"/>
        <v/>
      </c>
    </row>
    <row r="1184" spans="3:6" x14ac:dyDescent="0.3">
      <c r="C1184" s="8" t="str">
        <f t="shared" si="43"/>
        <v/>
      </c>
      <c r="F1184" s="8" t="str">
        <f t="shared" si="44"/>
        <v/>
      </c>
    </row>
    <row r="1185" spans="3:6" x14ac:dyDescent="0.3">
      <c r="C1185" s="8" t="str">
        <f t="shared" si="43"/>
        <v/>
      </c>
      <c r="F1185" s="8" t="str">
        <f t="shared" si="44"/>
        <v/>
      </c>
    </row>
    <row r="1186" spans="3:6" x14ac:dyDescent="0.3">
      <c r="C1186" s="8" t="str">
        <f t="shared" si="43"/>
        <v/>
      </c>
      <c r="F1186" s="8" t="str">
        <f t="shared" si="44"/>
        <v/>
      </c>
    </row>
    <row r="1187" spans="3:6" x14ac:dyDescent="0.3">
      <c r="C1187" s="8" t="str">
        <f t="shared" si="43"/>
        <v/>
      </c>
      <c r="F1187" s="8" t="str">
        <f t="shared" si="44"/>
        <v/>
      </c>
    </row>
    <row r="1188" spans="3:6" x14ac:dyDescent="0.3">
      <c r="C1188" s="8" t="str">
        <f t="shared" si="43"/>
        <v/>
      </c>
      <c r="F1188" s="8" t="str">
        <f t="shared" si="44"/>
        <v/>
      </c>
    </row>
    <row r="1189" spans="3:6" x14ac:dyDescent="0.3">
      <c r="C1189" s="8" t="str">
        <f t="shared" si="43"/>
        <v/>
      </c>
      <c r="F1189" s="8" t="str">
        <f t="shared" si="44"/>
        <v/>
      </c>
    </row>
    <row r="1190" spans="3:6" x14ac:dyDescent="0.3">
      <c r="C1190" s="8" t="str">
        <f t="shared" si="43"/>
        <v/>
      </c>
      <c r="F1190" s="8" t="str">
        <f t="shared" si="44"/>
        <v/>
      </c>
    </row>
    <row r="1191" spans="3:6" x14ac:dyDescent="0.3">
      <c r="C1191" s="8" t="str">
        <f t="shared" si="43"/>
        <v/>
      </c>
      <c r="F1191" s="8" t="str">
        <f t="shared" si="44"/>
        <v/>
      </c>
    </row>
    <row r="1192" spans="3:6" x14ac:dyDescent="0.3">
      <c r="C1192" s="8" t="str">
        <f t="shared" si="43"/>
        <v/>
      </c>
      <c r="F1192" s="8" t="str">
        <f t="shared" si="44"/>
        <v/>
      </c>
    </row>
    <row r="1193" spans="3:6" x14ac:dyDescent="0.3">
      <c r="C1193" s="8" t="str">
        <f t="shared" si="43"/>
        <v/>
      </c>
      <c r="F1193" s="8" t="str">
        <f t="shared" si="44"/>
        <v/>
      </c>
    </row>
    <row r="1194" spans="3:6" x14ac:dyDescent="0.3">
      <c r="C1194" s="8" t="str">
        <f t="shared" si="43"/>
        <v/>
      </c>
      <c r="F1194" s="8" t="str">
        <f t="shared" si="44"/>
        <v/>
      </c>
    </row>
    <row r="1195" spans="3:6" x14ac:dyDescent="0.3">
      <c r="C1195" s="8" t="str">
        <f t="shared" si="43"/>
        <v/>
      </c>
      <c r="F1195" s="8" t="str">
        <f t="shared" si="44"/>
        <v/>
      </c>
    </row>
    <row r="1196" spans="3:6" x14ac:dyDescent="0.3">
      <c r="C1196" s="8" t="str">
        <f t="shared" si="43"/>
        <v/>
      </c>
      <c r="F1196" s="8" t="str">
        <f t="shared" si="44"/>
        <v/>
      </c>
    </row>
    <row r="1197" spans="3:6" x14ac:dyDescent="0.3">
      <c r="C1197" s="8" t="str">
        <f t="shared" si="43"/>
        <v/>
      </c>
      <c r="F1197" s="8" t="str">
        <f t="shared" si="44"/>
        <v/>
      </c>
    </row>
    <row r="1198" spans="3:6" x14ac:dyDescent="0.3">
      <c r="C1198" s="8" t="str">
        <f t="shared" si="43"/>
        <v/>
      </c>
      <c r="F1198" s="8" t="str">
        <f t="shared" si="44"/>
        <v/>
      </c>
    </row>
    <row r="1199" spans="3:6" x14ac:dyDescent="0.3">
      <c r="C1199" s="8" t="str">
        <f t="shared" si="43"/>
        <v/>
      </c>
      <c r="F1199" s="8" t="str">
        <f t="shared" si="44"/>
        <v/>
      </c>
    </row>
    <row r="1200" spans="3:6" x14ac:dyDescent="0.3">
      <c r="C1200" s="8" t="str">
        <f t="shared" si="43"/>
        <v/>
      </c>
      <c r="F1200" s="8" t="str">
        <f t="shared" si="44"/>
        <v/>
      </c>
    </row>
    <row r="1201" spans="3:6" x14ac:dyDescent="0.3">
      <c r="C1201" s="8" t="str">
        <f t="shared" si="43"/>
        <v/>
      </c>
      <c r="F1201" s="8" t="str">
        <f t="shared" si="44"/>
        <v/>
      </c>
    </row>
    <row r="1202" spans="3:6" x14ac:dyDescent="0.3">
      <c r="C1202" s="8" t="str">
        <f t="shared" si="43"/>
        <v/>
      </c>
      <c r="F1202" s="8" t="str">
        <f t="shared" si="44"/>
        <v/>
      </c>
    </row>
    <row r="1203" spans="3:6" x14ac:dyDescent="0.3">
      <c r="C1203" s="8" t="str">
        <f t="shared" si="43"/>
        <v/>
      </c>
      <c r="F1203" s="8" t="str">
        <f t="shared" si="44"/>
        <v/>
      </c>
    </row>
    <row r="1204" spans="3:6" x14ac:dyDescent="0.3">
      <c r="C1204" s="8" t="str">
        <f t="shared" si="43"/>
        <v/>
      </c>
      <c r="F1204" s="8" t="str">
        <f t="shared" si="44"/>
        <v/>
      </c>
    </row>
    <row r="1205" spans="3:6" x14ac:dyDescent="0.3">
      <c r="C1205" s="8" t="str">
        <f t="shared" si="43"/>
        <v/>
      </c>
      <c r="F1205" s="8" t="str">
        <f t="shared" si="44"/>
        <v/>
      </c>
    </row>
    <row r="1206" spans="3:6" x14ac:dyDescent="0.3">
      <c r="C1206" s="8" t="str">
        <f t="shared" si="43"/>
        <v/>
      </c>
      <c r="F1206" s="8" t="str">
        <f t="shared" si="44"/>
        <v/>
      </c>
    </row>
    <row r="1207" spans="3:6" x14ac:dyDescent="0.3">
      <c r="C1207" s="8" t="str">
        <f t="shared" si="43"/>
        <v/>
      </c>
      <c r="F1207" s="8" t="str">
        <f t="shared" si="44"/>
        <v/>
      </c>
    </row>
    <row r="1208" spans="3:6" x14ac:dyDescent="0.3">
      <c r="C1208" s="8" t="str">
        <f t="shared" si="43"/>
        <v/>
      </c>
      <c r="F1208" s="8" t="str">
        <f t="shared" si="44"/>
        <v/>
      </c>
    </row>
    <row r="1209" spans="3:6" x14ac:dyDescent="0.3">
      <c r="C1209" s="8" t="str">
        <f t="shared" si="43"/>
        <v/>
      </c>
      <c r="F1209" s="8" t="str">
        <f t="shared" si="44"/>
        <v/>
      </c>
    </row>
    <row r="1210" spans="3:6" x14ac:dyDescent="0.3">
      <c r="C1210" s="8" t="str">
        <f t="shared" si="43"/>
        <v/>
      </c>
      <c r="F1210" s="8" t="str">
        <f t="shared" si="44"/>
        <v/>
      </c>
    </row>
    <row r="1211" spans="3:6" x14ac:dyDescent="0.3">
      <c r="C1211" s="8" t="str">
        <f t="shared" si="43"/>
        <v/>
      </c>
      <c r="F1211" s="8" t="str">
        <f t="shared" si="44"/>
        <v/>
      </c>
    </row>
    <row r="1212" spans="3:6" x14ac:dyDescent="0.3">
      <c r="C1212" s="8" t="str">
        <f t="shared" si="43"/>
        <v/>
      </c>
      <c r="F1212" s="8" t="str">
        <f t="shared" si="44"/>
        <v/>
      </c>
    </row>
    <row r="1213" spans="3:6" x14ac:dyDescent="0.3">
      <c r="C1213" s="8" t="str">
        <f t="shared" si="43"/>
        <v/>
      </c>
      <c r="F1213" s="8" t="str">
        <f t="shared" si="44"/>
        <v/>
      </c>
    </row>
    <row r="1214" spans="3:6" x14ac:dyDescent="0.3">
      <c r="C1214" s="8" t="str">
        <f t="shared" si="43"/>
        <v/>
      </c>
      <c r="F1214" s="8" t="str">
        <f t="shared" si="44"/>
        <v/>
      </c>
    </row>
    <row r="1215" spans="3:6" x14ac:dyDescent="0.3">
      <c r="C1215" s="8" t="str">
        <f t="shared" si="43"/>
        <v/>
      </c>
      <c r="F1215" s="8" t="str">
        <f t="shared" si="44"/>
        <v/>
      </c>
    </row>
    <row r="1216" spans="3:6" x14ac:dyDescent="0.3">
      <c r="C1216" s="8" t="str">
        <f t="shared" si="43"/>
        <v/>
      </c>
      <c r="F1216" s="8" t="str">
        <f t="shared" si="44"/>
        <v/>
      </c>
    </row>
    <row r="1217" spans="3:6" x14ac:dyDescent="0.3">
      <c r="C1217" s="8" t="str">
        <f t="shared" si="43"/>
        <v/>
      </c>
      <c r="F1217" s="8" t="str">
        <f t="shared" si="44"/>
        <v/>
      </c>
    </row>
    <row r="1218" spans="3:6" x14ac:dyDescent="0.3">
      <c r="C1218" s="8" t="str">
        <f t="shared" si="43"/>
        <v/>
      </c>
      <c r="F1218" s="8" t="str">
        <f t="shared" si="44"/>
        <v/>
      </c>
    </row>
    <row r="1219" spans="3:6" x14ac:dyDescent="0.3">
      <c r="C1219" s="8" t="str">
        <f t="shared" si="43"/>
        <v/>
      </c>
      <c r="F1219" s="8" t="str">
        <f t="shared" si="44"/>
        <v/>
      </c>
    </row>
    <row r="1220" spans="3:6" x14ac:dyDescent="0.3">
      <c r="C1220" s="8" t="str">
        <f t="shared" si="43"/>
        <v/>
      </c>
      <c r="F1220" s="8" t="str">
        <f t="shared" si="44"/>
        <v/>
      </c>
    </row>
    <row r="1221" spans="3:6" x14ac:dyDescent="0.3">
      <c r="C1221" s="8" t="str">
        <f t="shared" si="43"/>
        <v/>
      </c>
      <c r="F1221" s="8" t="str">
        <f t="shared" si="44"/>
        <v/>
      </c>
    </row>
    <row r="1222" spans="3:6" x14ac:dyDescent="0.3">
      <c r="C1222" s="8" t="str">
        <f t="shared" si="43"/>
        <v/>
      </c>
      <c r="F1222" s="8" t="str">
        <f t="shared" si="44"/>
        <v/>
      </c>
    </row>
    <row r="1223" spans="3:6" x14ac:dyDescent="0.3">
      <c r="C1223" s="8" t="str">
        <f t="shared" si="43"/>
        <v/>
      </c>
      <c r="F1223" s="8" t="str">
        <f t="shared" si="44"/>
        <v/>
      </c>
    </row>
    <row r="1224" spans="3:6" x14ac:dyDescent="0.3">
      <c r="C1224" s="8" t="str">
        <f t="shared" si="43"/>
        <v/>
      </c>
      <c r="F1224" s="8" t="str">
        <f t="shared" si="44"/>
        <v/>
      </c>
    </row>
    <row r="1225" spans="3:6" x14ac:dyDescent="0.3">
      <c r="C1225" s="8" t="str">
        <f t="shared" si="43"/>
        <v/>
      </c>
      <c r="F1225" s="8" t="str">
        <f t="shared" si="44"/>
        <v/>
      </c>
    </row>
    <row r="1226" spans="3:6" x14ac:dyDescent="0.3">
      <c r="C1226" s="8" t="str">
        <f t="shared" si="43"/>
        <v/>
      </c>
      <c r="F1226" s="8" t="str">
        <f t="shared" si="44"/>
        <v/>
      </c>
    </row>
    <row r="1227" spans="3:6" x14ac:dyDescent="0.3">
      <c r="C1227" s="8" t="str">
        <f t="shared" si="43"/>
        <v/>
      </c>
      <c r="F1227" s="8" t="str">
        <f t="shared" si="44"/>
        <v/>
      </c>
    </row>
    <row r="1228" spans="3:6" x14ac:dyDescent="0.3">
      <c r="C1228" s="8" t="str">
        <f t="shared" ref="C1228:C1291" si="45">IF(B1228="PBHAv1.0","PCB"&amp;TEXT(A1228,"yyyymmdd")&amp;"-01",IF(B1228="SBCT","SBCT"&amp;TEXT(A1228,"yyyymmdd"),IF(B1228="SCRA","SCRA"&amp;TEXT(A1228,"yyyymmdd"),"")))</f>
        <v/>
      </c>
      <c r="F1228" s="8" t="str">
        <f t="shared" ref="F1228:F1291" si="46">IF(ISBLANK(B1228),"",IF(B1228="PBHAv1.0",IF(OR(ISBLANK(D1228),ISBLANK(E1228)),"",IF(AND(D1228&gt;=360,D1228&lt;=460,E1228&lt;=0.4),"적합","부적합")),IF(ISBLANK(D1228),"",IF(B1228="SBCT",IF(AND(D1228&gt;=170,D1228&lt;=220),"적합","부적합"),IF(B1228="SCRA",IF(AND(D1228&gt;=50,D1228&lt;=70),"적합","부적합"),"")))))</f>
        <v/>
      </c>
    </row>
    <row r="1229" spans="3:6" x14ac:dyDescent="0.3">
      <c r="C1229" s="8" t="str">
        <f t="shared" si="45"/>
        <v/>
      </c>
      <c r="F1229" s="8" t="str">
        <f t="shared" si="46"/>
        <v/>
      </c>
    </row>
    <row r="1230" spans="3:6" x14ac:dyDescent="0.3">
      <c r="C1230" s="8" t="str">
        <f t="shared" si="45"/>
        <v/>
      </c>
      <c r="F1230" s="8" t="str">
        <f t="shared" si="46"/>
        <v/>
      </c>
    </row>
    <row r="1231" spans="3:6" x14ac:dyDescent="0.3">
      <c r="C1231" s="8" t="str">
        <f t="shared" si="45"/>
        <v/>
      </c>
      <c r="F1231" s="8" t="str">
        <f t="shared" si="46"/>
        <v/>
      </c>
    </row>
    <row r="1232" spans="3:6" x14ac:dyDescent="0.3">
      <c r="C1232" s="8" t="str">
        <f t="shared" si="45"/>
        <v/>
      </c>
      <c r="F1232" s="8" t="str">
        <f t="shared" si="46"/>
        <v/>
      </c>
    </row>
    <row r="1233" spans="3:6" x14ac:dyDescent="0.3">
      <c r="C1233" s="8" t="str">
        <f t="shared" si="45"/>
        <v/>
      </c>
      <c r="F1233" s="8" t="str">
        <f t="shared" si="46"/>
        <v/>
      </c>
    </row>
    <row r="1234" spans="3:6" x14ac:dyDescent="0.3">
      <c r="C1234" s="8" t="str">
        <f t="shared" si="45"/>
        <v/>
      </c>
      <c r="F1234" s="8" t="str">
        <f t="shared" si="46"/>
        <v/>
      </c>
    </row>
    <row r="1235" spans="3:6" x14ac:dyDescent="0.3">
      <c r="C1235" s="8" t="str">
        <f t="shared" si="45"/>
        <v/>
      </c>
      <c r="F1235" s="8" t="str">
        <f t="shared" si="46"/>
        <v/>
      </c>
    </row>
    <row r="1236" spans="3:6" x14ac:dyDescent="0.3">
      <c r="C1236" s="8" t="str">
        <f t="shared" si="45"/>
        <v/>
      </c>
      <c r="F1236" s="8" t="str">
        <f t="shared" si="46"/>
        <v/>
      </c>
    </row>
    <row r="1237" spans="3:6" x14ac:dyDescent="0.3">
      <c r="C1237" s="8" t="str">
        <f t="shared" si="45"/>
        <v/>
      </c>
      <c r="F1237" s="8" t="str">
        <f t="shared" si="46"/>
        <v/>
      </c>
    </row>
    <row r="1238" spans="3:6" x14ac:dyDescent="0.3">
      <c r="C1238" s="8" t="str">
        <f t="shared" si="45"/>
        <v/>
      </c>
      <c r="F1238" s="8" t="str">
        <f t="shared" si="46"/>
        <v/>
      </c>
    </row>
    <row r="1239" spans="3:6" x14ac:dyDescent="0.3">
      <c r="C1239" s="8" t="str">
        <f t="shared" si="45"/>
        <v/>
      </c>
      <c r="F1239" s="8" t="str">
        <f t="shared" si="46"/>
        <v/>
      </c>
    </row>
    <row r="1240" spans="3:6" x14ac:dyDescent="0.3">
      <c r="C1240" s="8" t="str">
        <f t="shared" si="45"/>
        <v/>
      </c>
      <c r="F1240" s="8" t="str">
        <f t="shared" si="46"/>
        <v/>
      </c>
    </row>
    <row r="1241" spans="3:6" x14ac:dyDescent="0.3">
      <c r="C1241" s="8" t="str">
        <f t="shared" si="45"/>
        <v/>
      </c>
      <c r="F1241" s="8" t="str">
        <f t="shared" si="46"/>
        <v/>
      </c>
    </row>
    <row r="1242" spans="3:6" x14ac:dyDescent="0.3">
      <c r="C1242" s="8" t="str">
        <f t="shared" si="45"/>
        <v/>
      </c>
      <c r="F1242" s="8" t="str">
        <f t="shared" si="46"/>
        <v/>
      </c>
    </row>
    <row r="1243" spans="3:6" x14ac:dyDescent="0.3">
      <c r="C1243" s="8" t="str">
        <f t="shared" si="45"/>
        <v/>
      </c>
      <c r="F1243" s="8" t="str">
        <f t="shared" si="46"/>
        <v/>
      </c>
    </row>
    <row r="1244" spans="3:6" x14ac:dyDescent="0.3">
      <c r="C1244" s="8" t="str">
        <f t="shared" si="45"/>
        <v/>
      </c>
      <c r="F1244" s="8" t="str">
        <f t="shared" si="46"/>
        <v/>
      </c>
    </row>
    <row r="1245" spans="3:6" x14ac:dyDescent="0.3">
      <c r="C1245" s="8" t="str">
        <f t="shared" si="45"/>
        <v/>
      </c>
      <c r="F1245" s="8" t="str">
        <f t="shared" si="46"/>
        <v/>
      </c>
    </row>
    <row r="1246" spans="3:6" x14ac:dyDescent="0.3">
      <c r="C1246" s="8" t="str">
        <f t="shared" si="45"/>
        <v/>
      </c>
      <c r="F1246" s="8" t="str">
        <f t="shared" si="46"/>
        <v/>
      </c>
    </row>
    <row r="1247" spans="3:6" x14ac:dyDescent="0.3">
      <c r="C1247" s="8" t="str">
        <f t="shared" si="45"/>
        <v/>
      </c>
      <c r="F1247" s="8" t="str">
        <f t="shared" si="46"/>
        <v/>
      </c>
    </row>
    <row r="1248" spans="3:6" x14ac:dyDescent="0.3">
      <c r="C1248" s="8" t="str">
        <f t="shared" si="45"/>
        <v/>
      </c>
      <c r="F1248" s="8" t="str">
        <f t="shared" si="46"/>
        <v/>
      </c>
    </row>
    <row r="1249" spans="3:6" x14ac:dyDescent="0.3">
      <c r="C1249" s="8" t="str">
        <f t="shared" si="45"/>
        <v/>
      </c>
      <c r="F1249" s="8" t="str">
        <f t="shared" si="46"/>
        <v/>
      </c>
    </row>
    <row r="1250" spans="3:6" x14ac:dyDescent="0.3">
      <c r="C1250" s="8" t="str">
        <f t="shared" si="45"/>
        <v/>
      </c>
      <c r="F1250" s="8" t="str">
        <f t="shared" si="46"/>
        <v/>
      </c>
    </row>
    <row r="1251" spans="3:6" x14ac:dyDescent="0.3">
      <c r="C1251" s="8" t="str">
        <f t="shared" si="45"/>
        <v/>
      </c>
      <c r="F1251" s="8" t="str">
        <f t="shared" si="46"/>
        <v/>
      </c>
    </row>
    <row r="1252" spans="3:6" x14ac:dyDescent="0.3">
      <c r="C1252" s="8" t="str">
        <f t="shared" si="45"/>
        <v/>
      </c>
      <c r="F1252" s="8" t="str">
        <f t="shared" si="46"/>
        <v/>
      </c>
    </row>
    <row r="1253" spans="3:6" x14ac:dyDescent="0.3">
      <c r="C1253" s="8" t="str">
        <f t="shared" si="45"/>
        <v/>
      </c>
      <c r="F1253" s="8" t="str">
        <f t="shared" si="46"/>
        <v/>
      </c>
    </row>
    <row r="1254" spans="3:6" x14ac:dyDescent="0.3">
      <c r="C1254" s="8" t="str">
        <f t="shared" si="45"/>
        <v/>
      </c>
      <c r="F1254" s="8" t="str">
        <f t="shared" si="46"/>
        <v/>
      </c>
    </row>
    <row r="1255" spans="3:6" x14ac:dyDescent="0.3">
      <c r="C1255" s="8" t="str">
        <f t="shared" si="45"/>
        <v/>
      </c>
      <c r="F1255" s="8" t="str">
        <f t="shared" si="46"/>
        <v/>
      </c>
    </row>
    <row r="1256" spans="3:6" x14ac:dyDescent="0.3">
      <c r="C1256" s="8" t="str">
        <f t="shared" si="45"/>
        <v/>
      </c>
      <c r="F1256" s="8" t="str">
        <f t="shared" si="46"/>
        <v/>
      </c>
    </row>
    <row r="1257" spans="3:6" x14ac:dyDescent="0.3">
      <c r="C1257" s="8" t="str">
        <f t="shared" si="45"/>
        <v/>
      </c>
      <c r="F1257" s="8" t="str">
        <f t="shared" si="46"/>
        <v/>
      </c>
    </row>
    <row r="1258" spans="3:6" x14ac:dyDescent="0.3">
      <c r="C1258" s="8" t="str">
        <f t="shared" si="45"/>
        <v/>
      </c>
      <c r="F1258" s="8" t="str">
        <f t="shared" si="46"/>
        <v/>
      </c>
    </row>
    <row r="1259" spans="3:6" x14ac:dyDescent="0.3">
      <c r="C1259" s="8" t="str">
        <f t="shared" si="45"/>
        <v/>
      </c>
      <c r="F1259" s="8" t="str">
        <f t="shared" si="46"/>
        <v/>
      </c>
    </row>
    <row r="1260" spans="3:6" x14ac:dyDescent="0.3">
      <c r="C1260" s="8" t="str">
        <f t="shared" si="45"/>
        <v/>
      </c>
      <c r="F1260" s="8" t="str">
        <f t="shared" si="46"/>
        <v/>
      </c>
    </row>
    <row r="1261" spans="3:6" x14ac:dyDescent="0.3">
      <c r="C1261" s="8" t="str">
        <f t="shared" si="45"/>
        <v/>
      </c>
      <c r="F1261" s="8" t="str">
        <f t="shared" si="46"/>
        <v/>
      </c>
    </row>
    <row r="1262" spans="3:6" x14ac:dyDescent="0.3">
      <c r="C1262" s="8" t="str">
        <f t="shared" si="45"/>
        <v/>
      </c>
      <c r="F1262" s="8" t="str">
        <f t="shared" si="46"/>
        <v/>
      </c>
    </row>
    <row r="1263" spans="3:6" x14ac:dyDescent="0.3">
      <c r="C1263" s="8" t="str">
        <f t="shared" si="45"/>
        <v/>
      </c>
      <c r="F1263" s="8" t="str">
        <f t="shared" si="46"/>
        <v/>
      </c>
    </row>
    <row r="1264" spans="3:6" x14ac:dyDescent="0.3">
      <c r="C1264" s="8" t="str">
        <f t="shared" si="45"/>
        <v/>
      </c>
      <c r="F1264" s="8" t="str">
        <f t="shared" si="46"/>
        <v/>
      </c>
    </row>
    <row r="1265" spans="3:6" x14ac:dyDescent="0.3">
      <c r="C1265" s="8" t="str">
        <f t="shared" si="45"/>
        <v/>
      </c>
      <c r="F1265" s="8" t="str">
        <f t="shared" si="46"/>
        <v/>
      </c>
    </row>
    <row r="1266" spans="3:6" x14ac:dyDescent="0.3">
      <c r="C1266" s="8" t="str">
        <f t="shared" si="45"/>
        <v/>
      </c>
      <c r="F1266" s="8" t="str">
        <f t="shared" si="46"/>
        <v/>
      </c>
    </row>
    <row r="1267" spans="3:6" x14ac:dyDescent="0.3">
      <c r="C1267" s="8" t="str">
        <f t="shared" si="45"/>
        <v/>
      </c>
      <c r="F1267" s="8" t="str">
        <f t="shared" si="46"/>
        <v/>
      </c>
    </row>
    <row r="1268" spans="3:6" x14ac:dyDescent="0.3">
      <c r="C1268" s="8" t="str">
        <f t="shared" si="45"/>
        <v/>
      </c>
      <c r="F1268" s="8" t="str">
        <f t="shared" si="46"/>
        <v/>
      </c>
    </row>
    <row r="1269" spans="3:6" x14ac:dyDescent="0.3">
      <c r="C1269" s="8" t="str">
        <f t="shared" si="45"/>
        <v/>
      </c>
      <c r="F1269" s="8" t="str">
        <f t="shared" si="46"/>
        <v/>
      </c>
    </row>
    <row r="1270" spans="3:6" x14ac:dyDescent="0.3">
      <c r="C1270" s="8" t="str">
        <f t="shared" si="45"/>
        <v/>
      </c>
      <c r="F1270" s="8" t="str">
        <f t="shared" si="46"/>
        <v/>
      </c>
    </row>
    <row r="1271" spans="3:6" x14ac:dyDescent="0.3">
      <c r="C1271" s="8" t="str">
        <f t="shared" si="45"/>
        <v/>
      </c>
      <c r="F1271" s="8" t="str">
        <f t="shared" si="46"/>
        <v/>
      </c>
    </row>
    <row r="1272" spans="3:6" x14ac:dyDescent="0.3">
      <c r="C1272" s="8" t="str">
        <f t="shared" si="45"/>
        <v/>
      </c>
      <c r="F1272" s="8" t="str">
        <f t="shared" si="46"/>
        <v/>
      </c>
    </row>
    <row r="1273" spans="3:6" x14ac:dyDescent="0.3">
      <c r="C1273" s="8" t="str">
        <f t="shared" si="45"/>
        <v/>
      </c>
      <c r="F1273" s="8" t="str">
        <f t="shared" si="46"/>
        <v/>
      </c>
    </row>
    <row r="1274" spans="3:6" x14ac:dyDescent="0.3">
      <c r="C1274" s="8" t="str">
        <f t="shared" si="45"/>
        <v/>
      </c>
      <c r="F1274" s="8" t="str">
        <f t="shared" si="46"/>
        <v/>
      </c>
    </row>
    <row r="1275" spans="3:6" x14ac:dyDescent="0.3">
      <c r="C1275" s="8" t="str">
        <f t="shared" si="45"/>
        <v/>
      </c>
      <c r="F1275" s="8" t="str">
        <f t="shared" si="46"/>
        <v/>
      </c>
    </row>
    <row r="1276" spans="3:6" x14ac:dyDescent="0.3">
      <c r="C1276" s="8" t="str">
        <f t="shared" si="45"/>
        <v/>
      </c>
      <c r="F1276" s="8" t="str">
        <f t="shared" si="46"/>
        <v/>
      </c>
    </row>
    <row r="1277" spans="3:6" x14ac:dyDescent="0.3">
      <c r="C1277" s="8" t="str">
        <f t="shared" si="45"/>
        <v/>
      </c>
      <c r="F1277" s="8" t="str">
        <f t="shared" si="46"/>
        <v/>
      </c>
    </row>
    <row r="1278" spans="3:6" x14ac:dyDescent="0.3">
      <c r="C1278" s="8" t="str">
        <f t="shared" si="45"/>
        <v/>
      </c>
      <c r="F1278" s="8" t="str">
        <f t="shared" si="46"/>
        <v/>
      </c>
    </row>
    <row r="1279" spans="3:6" x14ac:dyDescent="0.3">
      <c r="C1279" s="8" t="str">
        <f t="shared" si="45"/>
        <v/>
      </c>
      <c r="F1279" s="8" t="str">
        <f t="shared" si="46"/>
        <v/>
      </c>
    </row>
    <row r="1280" spans="3:6" x14ac:dyDescent="0.3">
      <c r="C1280" s="8" t="str">
        <f t="shared" si="45"/>
        <v/>
      </c>
      <c r="F1280" s="8" t="str">
        <f t="shared" si="46"/>
        <v/>
      </c>
    </row>
    <row r="1281" spans="3:6" x14ac:dyDescent="0.3">
      <c r="C1281" s="8" t="str">
        <f t="shared" si="45"/>
        <v/>
      </c>
      <c r="F1281" s="8" t="str">
        <f t="shared" si="46"/>
        <v/>
      </c>
    </row>
    <row r="1282" spans="3:6" x14ac:dyDescent="0.3">
      <c r="C1282" s="8" t="str">
        <f t="shared" si="45"/>
        <v/>
      </c>
      <c r="F1282" s="8" t="str">
        <f t="shared" si="46"/>
        <v/>
      </c>
    </row>
    <row r="1283" spans="3:6" x14ac:dyDescent="0.3">
      <c r="C1283" s="8" t="str">
        <f t="shared" si="45"/>
        <v/>
      </c>
      <c r="F1283" s="8" t="str">
        <f t="shared" si="46"/>
        <v/>
      </c>
    </row>
    <row r="1284" spans="3:6" x14ac:dyDescent="0.3">
      <c r="C1284" s="8" t="str">
        <f t="shared" si="45"/>
        <v/>
      </c>
      <c r="F1284" s="8" t="str">
        <f t="shared" si="46"/>
        <v/>
      </c>
    </row>
    <row r="1285" spans="3:6" x14ac:dyDescent="0.3">
      <c r="C1285" s="8" t="str">
        <f t="shared" si="45"/>
        <v/>
      </c>
      <c r="F1285" s="8" t="str">
        <f t="shared" si="46"/>
        <v/>
      </c>
    </row>
    <row r="1286" spans="3:6" x14ac:dyDescent="0.3">
      <c r="C1286" s="8" t="str">
        <f t="shared" si="45"/>
        <v/>
      </c>
      <c r="F1286" s="8" t="str">
        <f t="shared" si="46"/>
        <v/>
      </c>
    </row>
    <row r="1287" spans="3:6" x14ac:dyDescent="0.3">
      <c r="C1287" s="8" t="str">
        <f t="shared" si="45"/>
        <v/>
      </c>
      <c r="F1287" s="8" t="str">
        <f t="shared" si="46"/>
        <v/>
      </c>
    </row>
    <row r="1288" spans="3:6" x14ac:dyDescent="0.3">
      <c r="C1288" s="8" t="str">
        <f t="shared" si="45"/>
        <v/>
      </c>
      <c r="F1288" s="8" t="str">
        <f t="shared" si="46"/>
        <v/>
      </c>
    </row>
    <row r="1289" spans="3:6" x14ac:dyDescent="0.3">
      <c r="C1289" s="8" t="str">
        <f t="shared" si="45"/>
        <v/>
      </c>
      <c r="F1289" s="8" t="str">
        <f t="shared" si="46"/>
        <v/>
      </c>
    </row>
    <row r="1290" spans="3:6" x14ac:dyDescent="0.3">
      <c r="C1290" s="8" t="str">
        <f t="shared" si="45"/>
        <v/>
      </c>
      <c r="F1290" s="8" t="str">
        <f t="shared" si="46"/>
        <v/>
      </c>
    </row>
    <row r="1291" spans="3:6" x14ac:dyDescent="0.3">
      <c r="C1291" s="8" t="str">
        <f t="shared" si="45"/>
        <v/>
      </c>
      <c r="F1291" s="8" t="str">
        <f t="shared" si="46"/>
        <v/>
      </c>
    </row>
    <row r="1292" spans="3:6" x14ac:dyDescent="0.3">
      <c r="C1292" s="8" t="str">
        <f t="shared" ref="C1292:C1355" si="47">IF(B1292="PBHAv1.0","PCB"&amp;TEXT(A1292,"yyyymmdd")&amp;"-01",IF(B1292="SBCT","SBCT"&amp;TEXT(A1292,"yyyymmdd"),IF(B1292="SCRA","SCRA"&amp;TEXT(A1292,"yyyymmdd"),"")))</f>
        <v/>
      </c>
      <c r="F1292" s="8" t="str">
        <f t="shared" ref="F1292:F1355" si="48">IF(ISBLANK(B1292),"",IF(B1292="PBHAv1.0",IF(OR(ISBLANK(D1292),ISBLANK(E1292)),"",IF(AND(D1292&gt;=360,D1292&lt;=460,E1292&lt;=0.4),"적합","부적합")),IF(ISBLANK(D1292),"",IF(B1292="SBCT",IF(AND(D1292&gt;=170,D1292&lt;=220),"적합","부적합"),IF(B1292="SCRA",IF(AND(D1292&gt;=50,D1292&lt;=70),"적합","부적합"),"")))))</f>
        <v/>
      </c>
    </row>
    <row r="1293" spans="3:6" x14ac:dyDescent="0.3">
      <c r="C1293" s="8" t="str">
        <f t="shared" si="47"/>
        <v/>
      </c>
      <c r="F1293" s="8" t="str">
        <f t="shared" si="48"/>
        <v/>
      </c>
    </row>
    <row r="1294" spans="3:6" x14ac:dyDescent="0.3">
      <c r="C1294" s="8" t="str">
        <f t="shared" si="47"/>
        <v/>
      </c>
      <c r="F1294" s="8" t="str">
        <f t="shared" si="48"/>
        <v/>
      </c>
    </row>
    <row r="1295" spans="3:6" x14ac:dyDescent="0.3">
      <c r="C1295" s="8" t="str">
        <f t="shared" si="47"/>
        <v/>
      </c>
      <c r="F1295" s="8" t="str">
        <f t="shared" si="48"/>
        <v/>
      </c>
    </row>
    <row r="1296" spans="3:6" x14ac:dyDescent="0.3">
      <c r="C1296" s="8" t="str">
        <f t="shared" si="47"/>
        <v/>
      </c>
      <c r="F1296" s="8" t="str">
        <f t="shared" si="48"/>
        <v/>
      </c>
    </row>
    <row r="1297" spans="3:6" x14ac:dyDescent="0.3">
      <c r="C1297" s="8" t="str">
        <f t="shared" si="47"/>
        <v/>
      </c>
      <c r="F1297" s="8" t="str">
        <f t="shared" si="48"/>
        <v/>
      </c>
    </row>
    <row r="1298" spans="3:6" x14ac:dyDescent="0.3">
      <c r="C1298" s="8" t="str">
        <f t="shared" si="47"/>
        <v/>
      </c>
      <c r="F1298" s="8" t="str">
        <f t="shared" si="48"/>
        <v/>
      </c>
    </row>
    <row r="1299" spans="3:6" x14ac:dyDescent="0.3">
      <c r="C1299" s="8" t="str">
        <f t="shared" si="47"/>
        <v/>
      </c>
      <c r="F1299" s="8" t="str">
        <f t="shared" si="48"/>
        <v/>
      </c>
    </row>
    <row r="1300" spans="3:6" x14ac:dyDescent="0.3">
      <c r="C1300" s="8" t="str">
        <f t="shared" si="47"/>
        <v/>
      </c>
      <c r="F1300" s="8" t="str">
        <f t="shared" si="48"/>
        <v/>
      </c>
    </row>
    <row r="1301" spans="3:6" x14ac:dyDescent="0.3">
      <c r="C1301" s="8" t="str">
        <f t="shared" si="47"/>
        <v/>
      </c>
      <c r="F1301" s="8" t="str">
        <f t="shared" si="48"/>
        <v/>
      </c>
    </row>
    <row r="1302" spans="3:6" x14ac:dyDescent="0.3">
      <c r="C1302" s="8" t="str">
        <f t="shared" si="47"/>
        <v/>
      </c>
      <c r="F1302" s="8" t="str">
        <f t="shared" si="48"/>
        <v/>
      </c>
    </row>
    <row r="1303" spans="3:6" x14ac:dyDescent="0.3">
      <c r="C1303" s="8" t="str">
        <f t="shared" si="47"/>
        <v/>
      </c>
      <c r="F1303" s="8" t="str">
        <f t="shared" si="48"/>
        <v/>
      </c>
    </row>
    <row r="1304" spans="3:6" x14ac:dyDescent="0.3">
      <c r="C1304" s="8" t="str">
        <f t="shared" si="47"/>
        <v/>
      </c>
      <c r="F1304" s="8" t="str">
        <f t="shared" si="48"/>
        <v/>
      </c>
    </row>
    <row r="1305" spans="3:6" x14ac:dyDescent="0.3">
      <c r="C1305" s="8" t="str">
        <f t="shared" si="47"/>
        <v/>
      </c>
      <c r="F1305" s="8" t="str">
        <f t="shared" si="48"/>
        <v/>
      </c>
    </row>
    <row r="1306" spans="3:6" x14ac:dyDescent="0.3">
      <c r="C1306" s="8" t="str">
        <f t="shared" si="47"/>
        <v/>
      </c>
      <c r="F1306" s="8" t="str">
        <f t="shared" si="48"/>
        <v/>
      </c>
    </row>
    <row r="1307" spans="3:6" x14ac:dyDescent="0.3">
      <c r="C1307" s="8" t="str">
        <f t="shared" si="47"/>
        <v/>
      </c>
      <c r="F1307" s="8" t="str">
        <f t="shared" si="48"/>
        <v/>
      </c>
    </row>
    <row r="1308" spans="3:6" x14ac:dyDescent="0.3">
      <c r="C1308" s="8" t="str">
        <f t="shared" si="47"/>
        <v/>
      </c>
      <c r="F1308" s="8" t="str">
        <f t="shared" si="48"/>
        <v/>
      </c>
    </row>
    <row r="1309" spans="3:6" x14ac:dyDescent="0.3">
      <c r="C1309" s="8" t="str">
        <f t="shared" si="47"/>
        <v/>
      </c>
      <c r="F1309" s="8" t="str">
        <f t="shared" si="48"/>
        <v/>
      </c>
    </row>
    <row r="1310" spans="3:6" x14ac:dyDescent="0.3">
      <c r="C1310" s="8" t="str">
        <f t="shared" si="47"/>
        <v/>
      </c>
      <c r="F1310" s="8" t="str">
        <f t="shared" si="48"/>
        <v/>
      </c>
    </row>
    <row r="1311" spans="3:6" x14ac:dyDescent="0.3">
      <c r="C1311" s="8" t="str">
        <f t="shared" si="47"/>
        <v/>
      </c>
      <c r="F1311" s="8" t="str">
        <f t="shared" si="48"/>
        <v/>
      </c>
    </row>
    <row r="1312" spans="3:6" x14ac:dyDescent="0.3">
      <c r="C1312" s="8" t="str">
        <f t="shared" si="47"/>
        <v/>
      </c>
      <c r="F1312" s="8" t="str">
        <f t="shared" si="48"/>
        <v/>
      </c>
    </row>
    <row r="1313" spans="3:6" x14ac:dyDescent="0.3">
      <c r="C1313" s="8" t="str">
        <f t="shared" si="47"/>
        <v/>
      </c>
      <c r="F1313" s="8" t="str">
        <f t="shared" si="48"/>
        <v/>
      </c>
    </row>
    <row r="1314" spans="3:6" x14ac:dyDescent="0.3">
      <c r="C1314" s="8" t="str">
        <f t="shared" si="47"/>
        <v/>
      </c>
      <c r="F1314" s="8" t="str">
        <f t="shared" si="48"/>
        <v/>
      </c>
    </row>
    <row r="1315" spans="3:6" x14ac:dyDescent="0.3">
      <c r="C1315" s="8" t="str">
        <f t="shared" si="47"/>
        <v/>
      </c>
      <c r="F1315" s="8" t="str">
        <f t="shared" si="48"/>
        <v/>
      </c>
    </row>
    <row r="1316" spans="3:6" x14ac:dyDescent="0.3">
      <c r="C1316" s="8" t="str">
        <f t="shared" si="47"/>
        <v/>
      </c>
      <c r="F1316" s="8" t="str">
        <f t="shared" si="48"/>
        <v/>
      </c>
    </row>
    <row r="1317" spans="3:6" x14ac:dyDescent="0.3">
      <c r="C1317" s="8" t="str">
        <f t="shared" si="47"/>
        <v/>
      </c>
      <c r="F1317" s="8" t="str">
        <f t="shared" si="48"/>
        <v/>
      </c>
    </row>
    <row r="1318" spans="3:6" x14ac:dyDescent="0.3">
      <c r="C1318" s="8" t="str">
        <f t="shared" si="47"/>
        <v/>
      </c>
      <c r="F1318" s="8" t="str">
        <f t="shared" si="48"/>
        <v/>
      </c>
    </row>
    <row r="1319" spans="3:6" x14ac:dyDescent="0.3">
      <c r="C1319" s="8" t="str">
        <f t="shared" si="47"/>
        <v/>
      </c>
      <c r="F1319" s="8" t="str">
        <f t="shared" si="48"/>
        <v/>
      </c>
    </row>
    <row r="1320" spans="3:6" x14ac:dyDescent="0.3">
      <c r="C1320" s="8" t="str">
        <f t="shared" si="47"/>
        <v/>
      </c>
      <c r="F1320" s="8" t="str">
        <f t="shared" si="48"/>
        <v/>
      </c>
    </row>
    <row r="1321" spans="3:6" x14ac:dyDescent="0.3">
      <c r="C1321" s="8" t="str">
        <f t="shared" si="47"/>
        <v/>
      </c>
      <c r="F1321" s="8" t="str">
        <f t="shared" si="48"/>
        <v/>
      </c>
    </row>
    <row r="1322" spans="3:6" x14ac:dyDescent="0.3">
      <c r="C1322" s="8" t="str">
        <f t="shared" si="47"/>
        <v/>
      </c>
      <c r="F1322" s="8" t="str">
        <f t="shared" si="48"/>
        <v/>
      </c>
    </row>
    <row r="1323" spans="3:6" x14ac:dyDescent="0.3">
      <c r="C1323" s="8" t="str">
        <f t="shared" si="47"/>
        <v/>
      </c>
      <c r="F1323" s="8" t="str">
        <f t="shared" si="48"/>
        <v/>
      </c>
    </row>
    <row r="1324" spans="3:6" x14ac:dyDescent="0.3">
      <c r="C1324" s="8" t="str">
        <f t="shared" si="47"/>
        <v/>
      </c>
      <c r="F1324" s="8" t="str">
        <f t="shared" si="48"/>
        <v/>
      </c>
    </row>
    <row r="1325" spans="3:6" x14ac:dyDescent="0.3">
      <c r="C1325" s="8" t="str">
        <f t="shared" si="47"/>
        <v/>
      </c>
      <c r="F1325" s="8" t="str">
        <f t="shared" si="48"/>
        <v/>
      </c>
    </row>
    <row r="1326" spans="3:6" x14ac:dyDescent="0.3">
      <c r="C1326" s="8" t="str">
        <f t="shared" si="47"/>
        <v/>
      </c>
      <c r="F1326" s="8" t="str">
        <f t="shared" si="48"/>
        <v/>
      </c>
    </row>
    <row r="1327" spans="3:6" x14ac:dyDescent="0.3">
      <c r="C1327" s="8" t="str">
        <f t="shared" si="47"/>
        <v/>
      </c>
      <c r="F1327" s="8" t="str">
        <f t="shared" si="48"/>
        <v/>
      </c>
    </row>
    <row r="1328" spans="3:6" x14ac:dyDescent="0.3">
      <c r="C1328" s="8" t="str">
        <f t="shared" si="47"/>
        <v/>
      </c>
      <c r="F1328" s="8" t="str">
        <f t="shared" si="48"/>
        <v/>
      </c>
    </row>
    <row r="1329" spans="3:6" x14ac:dyDescent="0.3">
      <c r="C1329" s="8" t="str">
        <f t="shared" si="47"/>
        <v/>
      </c>
      <c r="F1329" s="8" t="str">
        <f t="shared" si="48"/>
        <v/>
      </c>
    </row>
    <row r="1330" spans="3:6" x14ac:dyDescent="0.3">
      <c r="C1330" s="8" t="str">
        <f t="shared" si="47"/>
        <v/>
      </c>
      <c r="F1330" s="8" t="str">
        <f t="shared" si="48"/>
        <v/>
      </c>
    </row>
    <row r="1331" spans="3:6" x14ac:dyDescent="0.3">
      <c r="C1331" s="8" t="str">
        <f t="shared" si="47"/>
        <v/>
      </c>
      <c r="F1331" s="8" t="str">
        <f t="shared" si="48"/>
        <v/>
      </c>
    </row>
    <row r="1332" spans="3:6" x14ac:dyDescent="0.3">
      <c r="C1332" s="8" t="str">
        <f t="shared" si="47"/>
        <v/>
      </c>
      <c r="F1332" s="8" t="str">
        <f t="shared" si="48"/>
        <v/>
      </c>
    </row>
    <row r="1333" spans="3:6" x14ac:dyDescent="0.3">
      <c r="C1333" s="8" t="str">
        <f t="shared" si="47"/>
        <v/>
      </c>
      <c r="F1333" s="8" t="str">
        <f t="shared" si="48"/>
        <v/>
      </c>
    </row>
    <row r="1334" spans="3:6" x14ac:dyDescent="0.3">
      <c r="C1334" s="8" t="str">
        <f t="shared" si="47"/>
        <v/>
      </c>
      <c r="F1334" s="8" t="str">
        <f t="shared" si="48"/>
        <v/>
      </c>
    </row>
    <row r="1335" spans="3:6" x14ac:dyDescent="0.3">
      <c r="C1335" s="8" t="str">
        <f t="shared" si="47"/>
        <v/>
      </c>
      <c r="F1335" s="8" t="str">
        <f t="shared" si="48"/>
        <v/>
      </c>
    </row>
    <row r="1336" spans="3:6" x14ac:dyDescent="0.3">
      <c r="C1336" s="8" t="str">
        <f t="shared" si="47"/>
        <v/>
      </c>
      <c r="F1336" s="8" t="str">
        <f t="shared" si="48"/>
        <v/>
      </c>
    </row>
    <row r="1337" spans="3:6" x14ac:dyDescent="0.3">
      <c r="C1337" s="8" t="str">
        <f t="shared" si="47"/>
        <v/>
      </c>
      <c r="F1337" s="8" t="str">
        <f t="shared" si="48"/>
        <v/>
      </c>
    </row>
    <row r="1338" spans="3:6" x14ac:dyDescent="0.3">
      <c r="C1338" s="8" t="str">
        <f t="shared" si="47"/>
        <v/>
      </c>
      <c r="F1338" s="8" t="str">
        <f t="shared" si="48"/>
        <v/>
      </c>
    </row>
    <row r="1339" spans="3:6" x14ac:dyDescent="0.3">
      <c r="C1339" s="8" t="str">
        <f t="shared" si="47"/>
        <v/>
      </c>
      <c r="F1339" s="8" t="str">
        <f t="shared" si="48"/>
        <v/>
      </c>
    </row>
    <row r="1340" spans="3:6" x14ac:dyDescent="0.3">
      <c r="C1340" s="8" t="str">
        <f t="shared" si="47"/>
        <v/>
      </c>
      <c r="F1340" s="8" t="str">
        <f t="shared" si="48"/>
        <v/>
      </c>
    </row>
    <row r="1341" spans="3:6" x14ac:dyDescent="0.3">
      <c r="C1341" s="8" t="str">
        <f t="shared" si="47"/>
        <v/>
      </c>
      <c r="F1341" s="8" t="str">
        <f t="shared" si="48"/>
        <v/>
      </c>
    </row>
    <row r="1342" spans="3:6" x14ac:dyDescent="0.3">
      <c r="C1342" s="8" t="str">
        <f t="shared" si="47"/>
        <v/>
      </c>
      <c r="F1342" s="8" t="str">
        <f t="shared" si="48"/>
        <v/>
      </c>
    </row>
    <row r="1343" spans="3:6" x14ac:dyDescent="0.3">
      <c r="C1343" s="8" t="str">
        <f t="shared" si="47"/>
        <v/>
      </c>
      <c r="F1343" s="8" t="str">
        <f t="shared" si="48"/>
        <v/>
      </c>
    </row>
    <row r="1344" spans="3:6" x14ac:dyDescent="0.3">
      <c r="C1344" s="8" t="str">
        <f t="shared" si="47"/>
        <v/>
      </c>
      <c r="F1344" s="8" t="str">
        <f t="shared" si="48"/>
        <v/>
      </c>
    </row>
    <row r="1345" spans="3:6" x14ac:dyDescent="0.3">
      <c r="C1345" s="8" t="str">
        <f t="shared" si="47"/>
        <v/>
      </c>
      <c r="F1345" s="8" t="str">
        <f t="shared" si="48"/>
        <v/>
      </c>
    </row>
    <row r="1346" spans="3:6" x14ac:dyDescent="0.3">
      <c r="C1346" s="8" t="str">
        <f t="shared" si="47"/>
        <v/>
      </c>
      <c r="F1346" s="8" t="str">
        <f t="shared" si="48"/>
        <v/>
      </c>
    </row>
    <row r="1347" spans="3:6" x14ac:dyDescent="0.3">
      <c r="C1347" s="8" t="str">
        <f t="shared" si="47"/>
        <v/>
      </c>
      <c r="F1347" s="8" t="str">
        <f t="shared" si="48"/>
        <v/>
      </c>
    </row>
    <row r="1348" spans="3:6" x14ac:dyDescent="0.3">
      <c r="C1348" s="8" t="str">
        <f t="shared" si="47"/>
        <v/>
      </c>
      <c r="F1348" s="8" t="str">
        <f t="shared" si="48"/>
        <v/>
      </c>
    </row>
    <row r="1349" spans="3:6" x14ac:dyDescent="0.3">
      <c r="C1349" s="8" t="str">
        <f t="shared" si="47"/>
        <v/>
      </c>
      <c r="F1349" s="8" t="str">
        <f t="shared" si="48"/>
        <v/>
      </c>
    </row>
    <row r="1350" spans="3:6" x14ac:dyDescent="0.3">
      <c r="C1350" s="8" t="str">
        <f t="shared" si="47"/>
        <v/>
      </c>
      <c r="F1350" s="8" t="str">
        <f t="shared" si="48"/>
        <v/>
      </c>
    </row>
    <row r="1351" spans="3:6" x14ac:dyDescent="0.3">
      <c r="C1351" s="8" t="str">
        <f t="shared" si="47"/>
        <v/>
      </c>
      <c r="F1351" s="8" t="str">
        <f t="shared" si="48"/>
        <v/>
      </c>
    </row>
    <row r="1352" spans="3:6" x14ac:dyDescent="0.3">
      <c r="C1352" s="8" t="str">
        <f t="shared" si="47"/>
        <v/>
      </c>
      <c r="F1352" s="8" t="str">
        <f t="shared" si="48"/>
        <v/>
      </c>
    </row>
    <row r="1353" spans="3:6" x14ac:dyDescent="0.3">
      <c r="C1353" s="8" t="str">
        <f t="shared" si="47"/>
        <v/>
      </c>
      <c r="F1353" s="8" t="str">
        <f t="shared" si="48"/>
        <v/>
      </c>
    </row>
    <row r="1354" spans="3:6" x14ac:dyDescent="0.3">
      <c r="C1354" s="8" t="str">
        <f t="shared" si="47"/>
        <v/>
      </c>
      <c r="F1354" s="8" t="str">
        <f t="shared" si="48"/>
        <v/>
      </c>
    </row>
    <row r="1355" spans="3:6" x14ac:dyDescent="0.3">
      <c r="C1355" s="8" t="str">
        <f t="shared" si="47"/>
        <v/>
      </c>
      <c r="F1355" s="8" t="str">
        <f t="shared" si="48"/>
        <v/>
      </c>
    </row>
    <row r="1356" spans="3:6" x14ac:dyDescent="0.3">
      <c r="C1356" s="8" t="str">
        <f t="shared" ref="C1356:C1419" si="49">IF(B1356="PBHAv1.0","PCB"&amp;TEXT(A1356,"yyyymmdd")&amp;"-01",IF(B1356="SBCT","SBCT"&amp;TEXT(A1356,"yyyymmdd"),IF(B1356="SCRA","SCRA"&amp;TEXT(A1356,"yyyymmdd"),"")))</f>
        <v/>
      </c>
      <c r="F1356" s="8" t="str">
        <f t="shared" ref="F1356:F1419" si="50">IF(ISBLANK(B1356),"",IF(B1356="PBHAv1.0",IF(OR(ISBLANK(D1356),ISBLANK(E1356)),"",IF(AND(D1356&gt;=360,D1356&lt;=460,E1356&lt;=0.4),"적합","부적합")),IF(ISBLANK(D1356),"",IF(B1356="SBCT",IF(AND(D1356&gt;=170,D1356&lt;=220),"적합","부적합"),IF(B1356="SCRA",IF(AND(D1356&gt;=50,D1356&lt;=70),"적합","부적합"),"")))))</f>
        <v/>
      </c>
    </row>
    <row r="1357" spans="3:6" x14ac:dyDescent="0.3">
      <c r="C1357" s="8" t="str">
        <f t="shared" si="49"/>
        <v/>
      </c>
      <c r="F1357" s="8" t="str">
        <f t="shared" si="50"/>
        <v/>
      </c>
    </row>
    <row r="1358" spans="3:6" x14ac:dyDescent="0.3">
      <c r="C1358" s="8" t="str">
        <f t="shared" si="49"/>
        <v/>
      </c>
      <c r="F1358" s="8" t="str">
        <f t="shared" si="50"/>
        <v/>
      </c>
    </row>
    <row r="1359" spans="3:6" x14ac:dyDescent="0.3">
      <c r="C1359" s="8" t="str">
        <f t="shared" si="49"/>
        <v/>
      </c>
      <c r="F1359" s="8" t="str">
        <f t="shared" si="50"/>
        <v/>
      </c>
    </row>
    <row r="1360" spans="3:6" x14ac:dyDescent="0.3">
      <c r="C1360" s="8" t="str">
        <f t="shared" si="49"/>
        <v/>
      </c>
      <c r="F1360" s="8" t="str">
        <f t="shared" si="50"/>
        <v/>
      </c>
    </row>
    <row r="1361" spans="3:6" x14ac:dyDescent="0.3">
      <c r="C1361" s="8" t="str">
        <f t="shared" si="49"/>
        <v/>
      </c>
      <c r="F1361" s="8" t="str">
        <f t="shared" si="50"/>
        <v/>
      </c>
    </row>
    <row r="1362" spans="3:6" x14ac:dyDescent="0.3">
      <c r="C1362" s="8" t="str">
        <f t="shared" si="49"/>
        <v/>
      </c>
      <c r="F1362" s="8" t="str">
        <f t="shared" si="50"/>
        <v/>
      </c>
    </row>
    <row r="1363" spans="3:6" x14ac:dyDescent="0.3">
      <c r="C1363" s="8" t="str">
        <f t="shared" si="49"/>
        <v/>
      </c>
      <c r="F1363" s="8" t="str">
        <f t="shared" si="50"/>
        <v/>
      </c>
    </row>
    <row r="1364" spans="3:6" x14ac:dyDescent="0.3">
      <c r="C1364" s="8" t="str">
        <f t="shared" si="49"/>
        <v/>
      </c>
      <c r="F1364" s="8" t="str">
        <f t="shared" si="50"/>
        <v/>
      </c>
    </row>
    <row r="1365" spans="3:6" x14ac:dyDescent="0.3">
      <c r="C1365" s="8" t="str">
        <f t="shared" si="49"/>
        <v/>
      </c>
      <c r="F1365" s="8" t="str">
        <f t="shared" si="50"/>
        <v/>
      </c>
    </row>
    <row r="1366" spans="3:6" x14ac:dyDescent="0.3">
      <c r="C1366" s="8" t="str">
        <f t="shared" si="49"/>
        <v/>
      </c>
      <c r="F1366" s="8" t="str">
        <f t="shared" si="50"/>
        <v/>
      </c>
    </row>
    <row r="1367" spans="3:6" x14ac:dyDescent="0.3">
      <c r="C1367" s="8" t="str">
        <f t="shared" si="49"/>
        <v/>
      </c>
      <c r="F1367" s="8" t="str">
        <f t="shared" si="50"/>
        <v/>
      </c>
    </row>
    <row r="1368" spans="3:6" x14ac:dyDescent="0.3">
      <c r="C1368" s="8" t="str">
        <f t="shared" si="49"/>
        <v/>
      </c>
      <c r="F1368" s="8" t="str">
        <f t="shared" si="50"/>
        <v/>
      </c>
    </row>
    <row r="1369" spans="3:6" x14ac:dyDescent="0.3">
      <c r="C1369" s="8" t="str">
        <f t="shared" si="49"/>
        <v/>
      </c>
      <c r="F1369" s="8" t="str">
        <f t="shared" si="50"/>
        <v/>
      </c>
    </row>
    <row r="1370" spans="3:6" x14ac:dyDescent="0.3">
      <c r="C1370" s="8" t="str">
        <f t="shared" si="49"/>
        <v/>
      </c>
      <c r="F1370" s="8" t="str">
        <f t="shared" si="50"/>
        <v/>
      </c>
    </row>
    <row r="1371" spans="3:6" x14ac:dyDescent="0.3">
      <c r="C1371" s="8" t="str">
        <f t="shared" si="49"/>
        <v/>
      </c>
      <c r="F1371" s="8" t="str">
        <f t="shared" si="50"/>
        <v/>
      </c>
    </row>
    <row r="1372" spans="3:6" x14ac:dyDescent="0.3">
      <c r="C1372" s="8" t="str">
        <f t="shared" si="49"/>
        <v/>
      </c>
      <c r="F1372" s="8" t="str">
        <f t="shared" si="50"/>
        <v/>
      </c>
    </row>
    <row r="1373" spans="3:6" x14ac:dyDescent="0.3">
      <c r="C1373" s="8" t="str">
        <f t="shared" si="49"/>
        <v/>
      </c>
      <c r="F1373" s="8" t="str">
        <f t="shared" si="50"/>
        <v/>
      </c>
    </row>
    <row r="1374" spans="3:6" x14ac:dyDescent="0.3">
      <c r="C1374" s="8" t="str">
        <f t="shared" si="49"/>
        <v/>
      </c>
      <c r="F1374" s="8" t="str">
        <f t="shared" si="50"/>
        <v/>
      </c>
    </row>
    <row r="1375" spans="3:6" x14ac:dyDescent="0.3">
      <c r="C1375" s="8" t="str">
        <f t="shared" si="49"/>
        <v/>
      </c>
      <c r="F1375" s="8" t="str">
        <f t="shared" si="50"/>
        <v/>
      </c>
    </row>
    <row r="1376" spans="3:6" x14ac:dyDescent="0.3">
      <c r="C1376" s="8" t="str">
        <f t="shared" si="49"/>
        <v/>
      </c>
      <c r="F1376" s="8" t="str">
        <f t="shared" si="50"/>
        <v/>
      </c>
    </row>
    <row r="1377" spans="3:6" x14ac:dyDescent="0.3">
      <c r="C1377" s="8" t="str">
        <f t="shared" si="49"/>
        <v/>
      </c>
      <c r="F1377" s="8" t="str">
        <f t="shared" si="50"/>
        <v/>
      </c>
    </row>
    <row r="1378" spans="3:6" x14ac:dyDescent="0.3">
      <c r="C1378" s="8" t="str">
        <f t="shared" si="49"/>
        <v/>
      </c>
      <c r="F1378" s="8" t="str">
        <f t="shared" si="50"/>
        <v/>
      </c>
    </row>
    <row r="1379" spans="3:6" x14ac:dyDescent="0.3">
      <c r="C1379" s="8" t="str">
        <f t="shared" si="49"/>
        <v/>
      </c>
      <c r="F1379" s="8" t="str">
        <f t="shared" si="50"/>
        <v/>
      </c>
    </row>
    <row r="1380" spans="3:6" x14ac:dyDescent="0.3">
      <c r="C1380" s="8" t="str">
        <f t="shared" si="49"/>
        <v/>
      </c>
      <c r="F1380" s="8" t="str">
        <f t="shared" si="50"/>
        <v/>
      </c>
    </row>
    <row r="1381" spans="3:6" x14ac:dyDescent="0.3">
      <c r="C1381" s="8" t="str">
        <f t="shared" si="49"/>
        <v/>
      </c>
      <c r="F1381" s="8" t="str">
        <f t="shared" si="50"/>
        <v/>
      </c>
    </row>
    <row r="1382" spans="3:6" x14ac:dyDescent="0.3">
      <c r="C1382" s="8" t="str">
        <f t="shared" si="49"/>
        <v/>
      </c>
      <c r="F1382" s="8" t="str">
        <f t="shared" si="50"/>
        <v/>
      </c>
    </row>
    <row r="1383" spans="3:6" x14ac:dyDescent="0.3">
      <c r="C1383" s="8" t="str">
        <f t="shared" si="49"/>
        <v/>
      </c>
      <c r="F1383" s="8" t="str">
        <f t="shared" si="50"/>
        <v/>
      </c>
    </row>
    <row r="1384" spans="3:6" x14ac:dyDescent="0.3">
      <c r="C1384" s="8" t="str">
        <f t="shared" si="49"/>
        <v/>
      </c>
      <c r="F1384" s="8" t="str">
        <f t="shared" si="50"/>
        <v/>
      </c>
    </row>
    <row r="1385" spans="3:6" x14ac:dyDescent="0.3">
      <c r="C1385" s="8" t="str">
        <f t="shared" si="49"/>
        <v/>
      </c>
      <c r="F1385" s="8" t="str">
        <f t="shared" si="50"/>
        <v/>
      </c>
    </row>
    <row r="1386" spans="3:6" x14ac:dyDescent="0.3">
      <c r="C1386" s="8" t="str">
        <f t="shared" si="49"/>
        <v/>
      </c>
      <c r="F1386" s="8" t="str">
        <f t="shared" si="50"/>
        <v/>
      </c>
    </row>
    <row r="1387" spans="3:6" x14ac:dyDescent="0.3">
      <c r="C1387" s="8" t="str">
        <f t="shared" si="49"/>
        <v/>
      </c>
      <c r="F1387" s="8" t="str">
        <f t="shared" si="50"/>
        <v/>
      </c>
    </row>
    <row r="1388" spans="3:6" x14ac:dyDescent="0.3">
      <c r="C1388" s="8" t="str">
        <f t="shared" si="49"/>
        <v/>
      </c>
      <c r="F1388" s="8" t="str">
        <f t="shared" si="50"/>
        <v/>
      </c>
    </row>
    <row r="1389" spans="3:6" x14ac:dyDescent="0.3">
      <c r="C1389" s="8" t="str">
        <f t="shared" si="49"/>
        <v/>
      </c>
      <c r="F1389" s="8" t="str">
        <f t="shared" si="50"/>
        <v/>
      </c>
    </row>
    <row r="1390" spans="3:6" x14ac:dyDescent="0.3">
      <c r="C1390" s="8" t="str">
        <f t="shared" si="49"/>
        <v/>
      </c>
      <c r="F1390" s="8" t="str">
        <f t="shared" si="50"/>
        <v/>
      </c>
    </row>
    <row r="1391" spans="3:6" x14ac:dyDescent="0.3">
      <c r="C1391" s="8" t="str">
        <f t="shared" si="49"/>
        <v/>
      </c>
      <c r="F1391" s="8" t="str">
        <f t="shared" si="50"/>
        <v/>
      </c>
    </row>
    <row r="1392" spans="3:6" x14ac:dyDescent="0.3">
      <c r="C1392" s="8" t="str">
        <f t="shared" si="49"/>
        <v/>
      </c>
      <c r="F1392" s="8" t="str">
        <f t="shared" si="50"/>
        <v/>
      </c>
    </row>
    <row r="1393" spans="3:6" x14ac:dyDescent="0.3">
      <c r="C1393" s="8" t="str">
        <f t="shared" si="49"/>
        <v/>
      </c>
      <c r="F1393" s="8" t="str">
        <f t="shared" si="50"/>
        <v/>
      </c>
    </row>
    <row r="1394" spans="3:6" x14ac:dyDescent="0.3">
      <c r="C1394" s="8" t="str">
        <f t="shared" si="49"/>
        <v/>
      </c>
      <c r="F1394" s="8" t="str">
        <f t="shared" si="50"/>
        <v/>
      </c>
    </row>
    <row r="1395" spans="3:6" x14ac:dyDescent="0.3">
      <c r="C1395" s="8" t="str">
        <f t="shared" si="49"/>
        <v/>
      </c>
      <c r="F1395" s="8" t="str">
        <f t="shared" si="50"/>
        <v/>
      </c>
    </row>
    <row r="1396" spans="3:6" x14ac:dyDescent="0.3">
      <c r="C1396" s="8" t="str">
        <f t="shared" si="49"/>
        <v/>
      </c>
      <c r="F1396" s="8" t="str">
        <f t="shared" si="50"/>
        <v/>
      </c>
    </row>
    <row r="1397" spans="3:6" x14ac:dyDescent="0.3">
      <c r="C1397" s="8" t="str">
        <f t="shared" si="49"/>
        <v/>
      </c>
      <c r="F1397" s="8" t="str">
        <f t="shared" si="50"/>
        <v/>
      </c>
    </row>
    <row r="1398" spans="3:6" x14ac:dyDescent="0.3">
      <c r="C1398" s="8" t="str">
        <f t="shared" si="49"/>
        <v/>
      </c>
      <c r="F1398" s="8" t="str">
        <f t="shared" si="50"/>
        <v/>
      </c>
    </row>
    <row r="1399" spans="3:6" x14ac:dyDescent="0.3">
      <c r="C1399" s="8" t="str">
        <f t="shared" si="49"/>
        <v/>
      </c>
      <c r="F1399" s="8" t="str">
        <f t="shared" si="50"/>
        <v/>
      </c>
    </row>
    <row r="1400" spans="3:6" x14ac:dyDescent="0.3">
      <c r="C1400" s="8" t="str">
        <f t="shared" si="49"/>
        <v/>
      </c>
      <c r="F1400" s="8" t="str">
        <f t="shared" si="50"/>
        <v/>
      </c>
    </row>
    <row r="1401" spans="3:6" x14ac:dyDescent="0.3">
      <c r="C1401" s="8" t="str">
        <f t="shared" si="49"/>
        <v/>
      </c>
      <c r="F1401" s="8" t="str">
        <f t="shared" si="50"/>
        <v/>
      </c>
    </row>
    <row r="1402" spans="3:6" x14ac:dyDescent="0.3">
      <c r="C1402" s="8" t="str">
        <f t="shared" si="49"/>
        <v/>
      </c>
      <c r="F1402" s="8" t="str">
        <f t="shared" si="50"/>
        <v/>
      </c>
    </row>
    <row r="1403" spans="3:6" x14ac:dyDescent="0.3">
      <c r="C1403" s="8" t="str">
        <f t="shared" si="49"/>
        <v/>
      </c>
      <c r="F1403" s="8" t="str">
        <f t="shared" si="50"/>
        <v/>
      </c>
    </row>
    <row r="1404" spans="3:6" x14ac:dyDescent="0.3">
      <c r="C1404" s="8" t="str">
        <f t="shared" si="49"/>
        <v/>
      </c>
      <c r="F1404" s="8" t="str">
        <f t="shared" si="50"/>
        <v/>
      </c>
    </row>
    <row r="1405" spans="3:6" x14ac:dyDescent="0.3">
      <c r="C1405" s="8" t="str">
        <f t="shared" si="49"/>
        <v/>
      </c>
      <c r="F1405" s="8" t="str">
        <f t="shared" si="50"/>
        <v/>
      </c>
    </row>
    <row r="1406" spans="3:6" x14ac:dyDescent="0.3">
      <c r="C1406" s="8" t="str">
        <f t="shared" si="49"/>
        <v/>
      </c>
      <c r="F1406" s="8" t="str">
        <f t="shared" si="50"/>
        <v/>
      </c>
    </row>
    <row r="1407" spans="3:6" x14ac:dyDescent="0.3">
      <c r="C1407" s="8" t="str">
        <f t="shared" si="49"/>
        <v/>
      </c>
      <c r="F1407" s="8" t="str">
        <f t="shared" si="50"/>
        <v/>
      </c>
    </row>
    <row r="1408" spans="3:6" x14ac:dyDescent="0.3">
      <c r="C1408" s="8" t="str">
        <f t="shared" si="49"/>
        <v/>
      </c>
      <c r="F1408" s="8" t="str">
        <f t="shared" si="50"/>
        <v/>
      </c>
    </row>
    <row r="1409" spans="3:6" x14ac:dyDescent="0.3">
      <c r="C1409" s="8" t="str">
        <f t="shared" si="49"/>
        <v/>
      </c>
      <c r="F1409" s="8" t="str">
        <f t="shared" si="50"/>
        <v/>
      </c>
    </row>
    <row r="1410" spans="3:6" x14ac:dyDescent="0.3">
      <c r="C1410" s="8" t="str">
        <f t="shared" si="49"/>
        <v/>
      </c>
      <c r="F1410" s="8" t="str">
        <f t="shared" si="50"/>
        <v/>
      </c>
    </row>
    <row r="1411" spans="3:6" x14ac:dyDescent="0.3">
      <c r="C1411" s="8" t="str">
        <f t="shared" si="49"/>
        <v/>
      </c>
      <c r="F1411" s="8" t="str">
        <f t="shared" si="50"/>
        <v/>
      </c>
    </row>
    <row r="1412" spans="3:6" x14ac:dyDescent="0.3">
      <c r="C1412" s="8" t="str">
        <f t="shared" si="49"/>
        <v/>
      </c>
      <c r="F1412" s="8" t="str">
        <f t="shared" si="50"/>
        <v/>
      </c>
    </row>
    <row r="1413" spans="3:6" x14ac:dyDescent="0.3">
      <c r="C1413" s="8" t="str">
        <f t="shared" si="49"/>
        <v/>
      </c>
      <c r="F1413" s="8" t="str">
        <f t="shared" si="50"/>
        <v/>
      </c>
    </row>
    <row r="1414" spans="3:6" x14ac:dyDescent="0.3">
      <c r="C1414" s="8" t="str">
        <f t="shared" si="49"/>
        <v/>
      </c>
      <c r="F1414" s="8" t="str">
        <f t="shared" si="50"/>
        <v/>
      </c>
    </row>
    <row r="1415" spans="3:6" x14ac:dyDescent="0.3">
      <c r="C1415" s="8" t="str">
        <f t="shared" si="49"/>
        <v/>
      </c>
      <c r="F1415" s="8" t="str">
        <f t="shared" si="50"/>
        <v/>
      </c>
    </row>
    <row r="1416" spans="3:6" x14ac:dyDescent="0.3">
      <c r="C1416" s="8" t="str">
        <f t="shared" si="49"/>
        <v/>
      </c>
      <c r="F1416" s="8" t="str">
        <f t="shared" si="50"/>
        <v/>
      </c>
    </row>
    <row r="1417" spans="3:6" x14ac:dyDescent="0.3">
      <c r="C1417" s="8" t="str">
        <f t="shared" si="49"/>
        <v/>
      </c>
      <c r="F1417" s="8" t="str">
        <f t="shared" si="50"/>
        <v/>
      </c>
    </row>
    <row r="1418" spans="3:6" x14ac:dyDescent="0.3">
      <c r="C1418" s="8" t="str">
        <f t="shared" si="49"/>
        <v/>
      </c>
      <c r="F1418" s="8" t="str">
        <f t="shared" si="50"/>
        <v/>
      </c>
    </row>
    <row r="1419" spans="3:6" x14ac:dyDescent="0.3">
      <c r="C1419" s="8" t="str">
        <f t="shared" si="49"/>
        <v/>
      </c>
      <c r="F1419" s="8" t="str">
        <f t="shared" si="50"/>
        <v/>
      </c>
    </row>
    <row r="1420" spans="3:6" x14ac:dyDescent="0.3">
      <c r="C1420" s="8" t="str">
        <f t="shared" ref="C1420:C1483" si="51">IF(B1420="PBHAv1.0","PCB"&amp;TEXT(A1420,"yyyymmdd")&amp;"-01",IF(B1420="SBCT","SBCT"&amp;TEXT(A1420,"yyyymmdd"),IF(B1420="SCRA","SCRA"&amp;TEXT(A1420,"yyyymmdd"),"")))</f>
        <v/>
      </c>
      <c r="F1420" s="8" t="str">
        <f t="shared" ref="F1420:F1483" si="52">IF(ISBLANK(B1420),"",IF(B1420="PBHAv1.0",IF(OR(ISBLANK(D1420),ISBLANK(E1420)),"",IF(AND(D1420&gt;=360,D1420&lt;=460,E1420&lt;=0.4),"적합","부적합")),IF(ISBLANK(D1420),"",IF(B1420="SBCT",IF(AND(D1420&gt;=170,D1420&lt;=220),"적합","부적합"),IF(B1420="SCRA",IF(AND(D1420&gt;=50,D1420&lt;=70),"적합","부적합"),"")))))</f>
        <v/>
      </c>
    </row>
    <row r="1421" spans="3:6" x14ac:dyDescent="0.3">
      <c r="C1421" s="8" t="str">
        <f t="shared" si="51"/>
        <v/>
      </c>
      <c r="F1421" s="8" t="str">
        <f t="shared" si="52"/>
        <v/>
      </c>
    </row>
    <row r="1422" spans="3:6" x14ac:dyDescent="0.3">
      <c r="C1422" s="8" t="str">
        <f t="shared" si="51"/>
        <v/>
      </c>
      <c r="F1422" s="8" t="str">
        <f t="shared" si="52"/>
        <v/>
      </c>
    </row>
    <row r="1423" spans="3:6" x14ac:dyDescent="0.3">
      <c r="C1423" s="8" t="str">
        <f t="shared" si="51"/>
        <v/>
      </c>
      <c r="F1423" s="8" t="str">
        <f t="shared" si="52"/>
        <v/>
      </c>
    </row>
    <row r="1424" spans="3:6" x14ac:dyDescent="0.3">
      <c r="C1424" s="8" t="str">
        <f t="shared" si="51"/>
        <v/>
      </c>
      <c r="F1424" s="8" t="str">
        <f t="shared" si="52"/>
        <v/>
      </c>
    </row>
    <row r="1425" spans="3:6" x14ac:dyDescent="0.3">
      <c r="C1425" s="8" t="str">
        <f t="shared" si="51"/>
        <v/>
      </c>
      <c r="F1425" s="8" t="str">
        <f t="shared" si="52"/>
        <v/>
      </c>
    </row>
    <row r="1426" spans="3:6" x14ac:dyDescent="0.3">
      <c r="C1426" s="8" t="str">
        <f t="shared" si="51"/>
        <v/>
      </c>
      <c r="F1426" s="8" t="str">
        <f t="shared" si="52"/>
        <v/>
      </c>
    </row>
    <row r="1427" spans="3:6" x14ac:dyDescent="0.3">
      <c r="C1427" s="8" t="str">
        <f t="shared" si="51"/>
        <v/>
      </c>
      <c r="F1427" s="8" t="str">
        <f t="shared" si="52"/>
        <v/>
      </c>
    </row>
    <row r="1428" spans="3:6" x14ac:dyDescent="0.3">
      <c r="C1428" s="8" t="str">
        <f t="shared" si="51"/>
        <v/>
      </c>
      <c r="F1428" s="8" t="str">
        <f t="shared" si="52"/>
        <v/>
      </c>
    </row>
    <row r="1429" spans="3:6" x14ac:dyDescent="0.3">
      <c r="C1429" s="8" t="str">
        <f t="shared" si="51"/>
        <v/>
      </c>
      <c r="F1429" s="8" t="str">
        <f t="shared" si="52"/>
        <v/>
      </c>
    </row>
    <row r="1430" spans="3:6" x14ac:dyDescent="0.3">
      <c r="C1430" s="8" t="str">
        <f t="shared" si="51"/>
        <v/>
      </c>
      <c r="F1430" s="8" t="str">
        <f t="shared" si="52"/>
        <v/>
      </c>
    </row>
    <row r="1431" spans="3:6" x14ac:dyDescent="0.3">
      <c r="C1431" s="8" t="str">
        <f t="shared" si="51"/>
        <v/>
      </c>
      <c r="F1431" s="8" t="str">
        <f t="shared" si="52"/>
        <v/>
      </c>
    </row>
    <row r="1432" spans="3:6" x14ac:dyDescent="0.3">
      <c r="C1432" s="8" t="str">
        <f t="shared" si="51"/>
        <v/>
      </c>
      <c r="F1432" s="8" t="str">
        <f t="shared" si="52"/>
        <v/>
      </c>
    </row>
    <row r="1433" spans="3:6" x14ac:dyDescent="0.3">
      <c r="C1433" s="8" t="str">
        <f t="shared" si="51"/>
        <v/>
      </c>
      <c r="F1433" s="8" t="str">
        <f t="shared" si="52"/>
        <v/>
      </c>
    </row>
    <row r="1434" spans="3:6" x14ac:dyDescent="0.3">
      <c r="C1434" s="8" t="str">
        <f t="shared" si="51"/>
        <v/>
      </c>
      <c r="F1434" s="8" t="str">
        <f t="shared" si="52"/>
        <v/>
      </c>
    </row>
    <row r="1435" spans="3:6" x14ac:dyDescent="0.3">
      <c r="C1435" s="8" t="str">
        <f t="shared" si="51"/>
        <v/>
      </c>
      <c r="F1435" s="8" t="str">
        <f t="shared" si="52"/>
        <v/>
      </c>
    </row>
    <row r="1436" spans="3:6" x14ac:dyDescent="0.3">
      <c r="C1436" s="8" t="str">
        <f t="shared" si="51"/>
        <v/>
      </c>
      <c r="F1436" s="8" t="str">
        <f t="shared" si="52"/>
        <v/>
      </c>
    </row>
    <row r="1437" spans="3:6" x14ac:dyDescent="0.3">
      <c r="C1437" s="8" t="str">
        <f t="shared" si="51"/>
        <v/>
      </c>
      <c r="F1437" s="8" t="str">
        <f t="shared" si="52"/>
        <v/>
      </c>
    </row>
    <row r="1438" spans="3:6" x14ac:dyDescent="0.3">
      <c r="C1438" s="8" t="str">
        <f t="shared" si="51"/>
        <v/>
      </c>
      <c r="F1438" s="8" t="str">
        <f t="shared" si="52"/>
        <v/>
      </c>
    </row>
    <row r="1439" spans="3:6" x14ac:dyDescent="0.3">
      <c r="C1439" s="8" t="str">
        <f t="shared" si="51"/>
        <v/>
      </c>
      <c r="F1439" s="8" t="str">
        <f t="shared" si="52"/>
        <v/>
      </c>
    </row>
    <row r="1440" spans="3:6" x14ac:dyDescent="0.3">
      <c r="C1440" s="8" t="str">
        <f t="shared" si="51"/>
        <v/>
      </c>
      <c r="F1440" s="8" t="str">
        <f t="shared" si="52"/>
        <v/>
      </c>
    </row>
    <row r="1441" spans="3:6" x14ac:dyDescent="0.3">
      <c r="C1441" s="8" t="str">
        <f t="shared" si="51"/>
        <v/>
      </c>
      <c r="F1441" s="8" t="str">
        <f t="shared" si="52"/>
        <v/>
      </c>
    </row>
    <row r="1442" spans="3:6" x14ac:dyDescent="0.3">
      <c r="C1442" s="8" t="str">
        <f t="shared" si="51"/>
        <v/>
      </c>
      <c r="F1442" s="8" t="str">
        <f t="shared" si="52"/>
        <v/>
      </c>
    </row>
    <row r="1443" spans="3:6" x14ac:dyDescent="0.3">
      <c r="C1443" s="8" t="str">
        <f t="shared" si="51"/>
        <v/>
      </c>
      <c r="F1443" s="8" t="str">
        <f t="shared" si="52"/>
        <v/>
      </c>
    </row>
    <row r="1444" spans="3:6" x14ac:dyDescent="0.3">
      <c r="C1444" s="8" t="str">
        <f t="shared" si="51"/>
        <v/>
      </c>
      <c r="F1444" s="8" t="str">
        <f t="shared" si="52"/>
        <v/>
      </c>
    </row>
    <row r="1445" spans="3:6" x14ac:dyDescent="0.3">
      <c r="C1445" s="8" t="str">
        <f t="shared" si="51"/>
        <v/>
      </c>
      <c r="F1445" s="8" t="str">
        <f t="shared" si="52"/>
        <v/>
      </c>
    </row>
    <row r="1446" spans="3:6" x14ac:dyDescent="0.3">
      <c r="C1446" s="8" t="str">
        <f t="shared" si="51"/>
        <v/>
      </c>
      <c r="F1446" s="8" t="str">
        <f t="shared" si="52"/>
        <v/>
      </c>
    </row>
    <row r="1447" spans="3:6" x14ac:dyDescent="0.3">
      <c r="C1447" s="8" t="str">
        <f t="shared" si="51"/>
        <v/>
      </c>
      <c r="F1447" s="8" t="str">
        <f t="shared" si="52"/>
        <v/>
      </c>
    </row>
    <row r="1448" spans="3:6" x14ac:dyDescent="0.3">
      <c r="C1448" s="8" t="str">
        <f t="shared" si="51"/>
        <v/>
      </c>
      <c r="F1448" s="8" t="str">
        <f t="shared" si="52"/>
        <v/>
      </c>
    </row>
    <row r="1449" spans="3:6" x14ac:dyDescent="0.3">
      <c r="C1449" s="8" t="str">
        <f t="shared" si="51"/>
        <v/>
      </c>
      <c r="F1449" s="8" t="str">
        <f t="shared" si="52"/>
        <v/>
      </c>
    </row>
    <row r="1450" spans="3:6" x14ac:dyDescent="0.3">
      <c r="C1450" s="8" t="str">
        <f t="shared" si="51"/>
        <v/>
      </c>
      <c r="F1450" s="8" t="str">
        <f t="shared" si="52"/>
        <v/>
      </c>
    </row>
    <row r="1451" spans="3:6" x14ac:dyDescent="0.3">
      <c r="C1451" s="8" t="str">
        <f t="shared" si="51"/>
        <v/>
      </c>
      <c r="F1451" s="8" t="str">
        <f t="shared" si="52"/>
        <v/>
      </c>
    </row>
    <row r="1452" spans="3:6" x14ac:dyDescent="0.3">
      <c r="C1452" s="8" t="str">
        <f t="shared" si="51"/>
        <v/>
      </c>
      <c r="F1452" s="8" t="str">
        <f t="shared" si="52"/>
        <v/>
      </c>
    </row>
    <row r="1453" spans="3:6" x14ac:dyDescent="0.3">
      <c r="C1453" s="8" t="str">
        <f t="shared" si="51"/>
        <v/>
      </c>
      <c r="F1453" s="8" t="str">
        <f t="shared" si="52"/>
        <v/>
      </c>
    </row>
    <row r="1454" spans="3:6" x14ac:dyDescent="0.3">
      <c r="C1454" s="8" t="str">
        <f t="shared" si="51"/>
        <v/>
      </c>
      <c r="F1454" s="8" t="str">
        <f t="shared" si="52"/>
        <v/>
      </c>
    </row>
    <row r="1455" spans="3:6" x14ac:dyDescent="0.3">
      <c r="C1455" s="8" t="str">
        <f t="shared" si="51"/>
        <v/>
      </c>
      <c r="F1455" s="8" t="str">
        <f t="shared" si="52"/>
        <v/>
      </c>
    </row>
    <row r="1456" spans="3:6" x14ac:dyDescent="0.3">
      <c r="C1456" s="8" t="str">
        <f t="shared" si="51"/>
        <v/>
      </c>
      <c r="F1456" s="8" t="str">
        <f t="shared" si="52"/>
        <v/>
      </c>
    </row>
    <row r="1457" spans="3:6" x14ac:dyDescent="0.3">
      <c r="C1457" s="8" t="str">
        <f t="shared" si="51"/>
        <v/>
      </c>
      <c r="F1457" s="8" t="str">
        <f t="shared" si="52"/>
        <v/>
      </c>
    </row>
    <row r="1458" spans="3:6" x14ac:dyDescent="0.3">
      <c r="C1458" s="8" t="str">
        <f t="shared" si="51"/>
        <v/>
      </c>
      <c r="F1458" s="8" t="str">
        <f t="shared" si="52"/>
        <v/>
      </c>
    </row>
    <row r="1459" spans="3:6" x14ac:dyDescent="0.3">
      <c r="C1459" s="8" t="str">
        <f t="shared" si="51"/>
        <v/>
      </c>
      <c r="F1459" s="8" t="str">
        <f t="shared" si="52"/>
        <v/>
      </c>
    </row>
    <row r="1460" spans="3:6" x14ac:dyDescent="0.3">
      <c r="C1460" s="8" t="str">
        <f t="shared" si="51"/>
        <v/>
      </c>
      <c r="F1460" s="8" t="str">
        <f t="shared" si="52"/>
        <v/>
      </c>
    </row>
    <row r="1461" spans="3:6" x14ac:dyDescent="0.3">
      <c r="C1461" s="8" t="str">
        <f t="shared" si="51"/>
        <v/>
      </c>
      <c r="F1461" s="8" t="str">
        <f t="shared" si="52"/>
        <v/>
      </c>
    </row>
    <row r="1462" spans="3:6" x14ac:dyDescent="0.3">
      <c r="C1462" s="8" t="str">
        <f t="shared" si="51"/>
        <v/>
      </c>
      <c r="F1462" s="8" t="str">
        <f t="shared" si="52"/>
        <v/>
      </c>
    </row>
    <row r="1463" spans="3:6" x14ac:dyDescent="0.3">
      <c r="C1463" s="8" t="str">
        <f t="shared" si="51"/>
        <v/>
      </c>
      <c r="F1463" s="8" t="str">
        <f t="shared" si="52"/>
        <v/>
      </c>
    </row>
    <row r="1464" spans="3:6" x14ac:dyDescent="0.3">
      <c r="C1464" s="8" t="str">
        <f t="shared" si="51"/>
        <v/>
      </c>
      <c r="F1464" s="8" t="str">
        <f t="shared" si="52"/>
        <v/>
      </c>
    </row>
    <row r="1465" spans="3:6" x14ac:dyDescent="0.3">
      <c r="C1465" s="8" t="str">
        <f t="shared" si="51"/>
        <v/>
      </c>
      <c r="F1465" s="8" t="str">
        <f t="shared" si="52"/>
        <v/>
      </c>
    </row>
    <row r="1466" spans="3:6" x14ac:dyDescent="0.3">
      <c r="C1466" s="8" t="str">
        <f t="shared" si="51"/>
        <v/>
      </c>
      <c r="F1466" s="8" t="str">
        <f t="shared" si="52"/>
        <v/>
      </c>
    </row>
    <row r="1467" spans="3:6" x14ac:dyDescent="0.3">
      <c r="C1467" s="8" t="str">
        <f t="shared" si="51"/>
        <v/>
      </c>
      <c r="F1467" s="8" t="str">
        <f t="shared" si="52"/>
        <v/>
      </c>
    </row>
    <row r="1468" spans="3:6" x14ac:dyDescent="0.3">
      <c r="C1468" s="8" t="str">
        <f t="shared" si="51"/>
        <v/>
      </c>
      <c r="F1468" s="8" t="str">
        <f t="shared" si="52"/>
        <v/>
      </c>
    </row>
    <row r="1469" spans="3:6" x14ac:dyDescent="0.3">
      <c r="C1469" s="8" t="str">
        <f t="shared" si="51"/>
        <v/>
      </c>
      <c r="F1469" s="8" t="str">
        <f t="shared" si="52"/>
        <v/>
      </c>
    </row>
    <row r="1470" spans="3:6" x14ac:dyDescent="0.3">
      <c r="C1470" s="8" t="str">
        <f t="shared" si="51"/>
        <v/>
      </c>
      <c r="F1470" s="8" t="str">
        <f t="shared" si="52"/>
        <v/>
      </c>
    </row>
    <row r="1471" spans="3:6" x14ac:dyDescent="0.3">
      <c r="C1471" s="8" t="str">
        <f t="shared" si="51"/>
        <v/>
      </c>
      <c r="F1471" s="8" t="str">
        <f t="shared" si="52"/>
        <v/>
      </c>
    </row>
    <row r="1472" spans="3:6" x14ac:dyDescent="0.3">
      <c r="C1472" s="8" t="str">
        <f t="shared" si="51"/>
        <v/>
      </c>
      <c r="F1472" s="8" t="str">
        <f t="shared" si="52"/>
        <v/>
      </c>
    </row>
    <row r="1473" spans="3:6" x14ac:dyDescent="0.3">
      <c r="C1473" s="8" t="str">
        <f t="shared" si="51"/>
        <v/>
      </c>
      <c r="F1473" s="8" t="str">
        <f t="shared" si="52"/>
        <v/>
      </c>
    </row>
    <row r="1474" spans="3:6" x14ac:dyDescent="0.3">
      <c r="C1474" s="8" t="str">
        <f t="shared" si="51"/>
        <v/>
      </c>
      <c r="F1474" s="8" t="str">
        <f t="shared" si="52"/>
        <v/>
      </c>
    </row>
    <row r="1475" spans="3:6" x14ac:dyDescent="0.3">
      <c r="C1475" s="8" t="str">
        <f t="shared" si="51"/>
        <v/>
      </c>
      <c r="F1475" s="8" t="str">
        <f t="shared" si="52"/>
        <v/>
      </c>
    </row>
    <row r="1476" spans="3:6" x14ac:dyDescent="0.3">
      <c r="C1476" s="8" t="str">
        <f t="shared" si="51"/>
        <v/>
      </c>
      <c r="F1476" s="8" t="str">
        <f t="shared" si="52"/>
        <v/>
      </c>
    </row>
    <row r="1477" spans="3:6" x14ac:dyDescent="0.3">
      <c r="C1477" s="8" t="str">
        <f t="shared" si="51"/>
        <v/>
      </c>
      <c r="F1477" s="8" t="str">
        <f t="shared" si="52"/>
        <v/>
      </c>
    </row>
    <row r="1478" spans="3:6" x14ac:dyDescent="0.3">
      <c r="C1478" s="8" t="str">
        <f t="shared" si="51"/>
        <v/>
      </c>
      <c r="F1478" s="8" t="str">
        <f t="shared" si="52"/>
        <v/>
      </c>
    </row>
    <row r="1479" spans="3:6" x14ac:dyDescent="0.3">
      <c r="C1479" s="8" t="str">
        <f t="shared" si="51"/>
        <v/>
      </c>
      <c r="F1479" s="8" t="str">
        <f t="shared" si="52"/>
        <v/>
      </c>
    </row>
    <row r="1480" spans="3:6" x14ac:dyDescent="0.3">
      <c r="C1480" s="8" t="str">
        <f t="shared" si="51"/>
        <v/>
      </c>
      <c r="F1480" s="8" t="str">
        <f t="shared" si="52"/>
        <v/>
      </c>
    </row>
    <row r="1481" spans="3:6" x14ac:dyDescent="0.3">
      <c r="C1481" s="8" t="str">
        <f t="shared" si="51"/>
        <v/>
      </c>
      <c r="F1481" s="8" t="str">
        <f t="shared" si="52"/>
        <v/>
      </c>
    </row>
    <row r="1482" spans="3:6" x14ac:dyDescent="0.3">
      <c r="C1482" s="8" t="str">
        <f t="shared" si="51"/>
        <v/>
      </c>
      <c r="F1482" s="8" t="str">
        <f t="shared" si="52"/>
        <v/>
      </c>
    </row>
    <row r="1483" spans="3:6" x14ac:dyDescent="0.3">
      <c r="C1483" s="8" t="str">
        <f t="shared" si="51"/>
        <v/>
      </c>
      <c r="F1483" s="8" t="str">
        <f t="shared" si="52"/>
        <v/>
      </c>
    </row>
    <row r="1484" spans="3:6" x14ac:dyDescent="0.3">
      <c r="C1484" s="8" t="str">
        <f t="shared" ref="C1484:C1547" si="53">IF(B1484="PBHAv1.0","PCB"&amp;TEXT(A1484,"yyyymmdd")&amp;"-01",IF(B1484="SBCT","SBCT"&amp;TEXT(A1484,"yyyymmdd"),IF(B1484="SCRA","SCRA"&amp;TEXT(A1484,"yyyymmdd"),"")))</f>
        <v/>
      </c>
      <c r="F1484" s="8" t="str">
        <f t="shared" ref="F1484:F1547" si="54">IF(ISBLANK(B1484),"",IF(B1484="PBHAv1.0",IF(OR(ISBLANK(D1484),ISBLANK(E1484)),"",IF(AND(D1484&gt;=360,D1484&lt;=460,E1484&lt;=0.4),"적합","부적합")),IF(ISBLANK(D1484),"",IF(B1484="SBCT",IF(AND(D1484&gt;=170,D1484&lt;=220),"적합","부적합"),IF(B1484="SCRA",IF(AND(D1484&gt;=50,D1484&lt;=70),"적합","부적합"),"")))))</f>
        <v/>
      </c>
    </row>
    <row r="1485" spans="3:6" x14ac:dyDescent="0.3">
      <c r="C1485" s="8" t="str">
        <f t="shared" si="53"/>
        <v/>
      </c>
      <c r="F1485" s="8" t="str">
        <f t="shared" si="54"/>
        <v/>
      </c>
    </row>
    <row r="1486" spans="3:6" x14ac:dyDescent="0.3">
      <c r="C1486" s="8" t="str">
        <f t="shared" si="53"/>
        <v/>
      </c>
      <c r="F1486" s="8" t="str">
        <f t="shared" si="54"/>
        <v/>
      </c>
    </row>
    <row r="1487" spans="3:6" x14ac:dyDescent="0.3">
      <c r="C1487" s="8" t="str">
        <f t="shared" si="53"/>
        <v/>
      </c>
      <c r="F1487" s="8" t="str">
        <f t="shared" si="54"/>
        <v/>
      </c>
    </row>
    <row r="1488" spans="3:6" x14ac:dyDescent="0.3">
      <c r="C1488" s="8" t="str">
        <f t="shared" si="53"/>
        <v/>
      </c>
      <c r="F1488" s="8" t="str">
        <f t="shared" si="54"/>
        <v/>
      </c>
    </row>
    <row r="1489" spans="3:6" x14ac:dyDescent="0.3">
      <c r="C1489" s="8" t="str">
        <f t="shared" si="53"/>
        <v/>
      </c>
      <c r="F1489" s="8" t="str">
        <f t="shared" si="54"/>
        <v/>
      </c>
    </row>
    <row r="1490" spans="3:6" x14ac:dyDescent="0.3">
      <c r="C1490" s="8" t="str">
        <f t="shared" si="53"/>
        <v/>
      </c>
      <c r="F1490" s="8" t="str">
        <f t="shared" si="54"/>
        <v/>
      </c>
    </row>
    <row r="1491" spans="3:6" x14ac:dyDescent="0.3">
      <c r="C1491" s="8" t="str">
        <f t="shared" si="53"/>
        <v/>
      </c>
      <c r="F1491" s="8" t="str">
        <f t="shared" si="54"/>
        <v/>
      </c>
    </row>
    <row r="1492" spans="3:6" x14ac:dyDescent="0.3">
      <c r="C1492" s="8" t="str">
        <f t="shared" si="53"/>
        <v/>
      </c>
      <c r="F1492" s="8" t="str">
        <f t="shared" si="54"/>
        <v/>
      </c>
    </row>
    <row r="1493" spans="3:6" x14ac:dyDescent="0.3">
      <c r="C1493" s="8" t="str">
        <f t="shared" si="53"/>
        <v/>
      </c>
      <c r="F1493" s="8" t="str">
        <f t="shared" si="54"/>
        <v/>
      </c>
    </row>
    <row r="1494" spans="3:6" x14ac:dyDescent="0.3">
      <c r="C1494" s="8" t="str">
        <f t="shared" si="53"/>
        <v/>
      </c>
      <c r="F1494" s="8" t="str">
        <f t="shared" si="54"/>
        <v/>
      </c>
    </row>
    <row r="1495" spans="3:6" x14ac:dyDescent="0.3">
      <c r="C1495" s="8" t="str">
        <f t="shared" si="53"/>
        <v/>
      </c>
      <c r="F1495" s="8" t="str">
        <f t="shared" si="54"/>
        <v/>
      </c>
    </row>
    <row r="1496" spans="3:6" x14ac:dyDescent="0.3">
      <c r="C1496" s="8" t="str">
        <f t="shared" si="53"/>
        <v/>
      </c>
      <c r="F1496" s="8" t="str">
        <f t="shared" si="54"/>
        <v/>
      </c>
    </row>
    <row r="1497" spans="3:6" x14ac:dyDescent="0.3">
      <c r="C1497" s="8" t="str">
        <f t="shared" si="53"/>
        <v/>
      </c>
      <c r="F1497" s="8" t="str">
        <f t="shared" si="54"/>
        <v/>
      </c>
    </row>
    <row r="1498" spans="3:6" x14ac:dyDescent="0.3">
      <c r="C1498" s="8" t="str">
        <f t="shared" si="53"/>
        <v/>
      </c>
      <c r="F1498" s="8" t="str">
        <f t="shared" si="54"/>
        <v/>
      </c>
    </row>
    <row r="1499" spans="3:6" x14ac:dyDescent="0.3">
      <c r="C1499" s="8" t="str">
        <f t="shared" si="53"/>
        <v/>
      </c>
      <c r="F1499" s="8" t="str">
        <f t="shared" si="54"/>
        <v/>
      </c>
    </row>
    <row r="1500" spans="3:6" x14ac:dyDescent="0.3">
      <c r="C1500" s="8" t="str">
        <f t="shared" si="53"/>
        <v/>
      </c>
      <c r="F1500" s="8" t="str">
        <f t="shared" si="54"/>
        <v/>
      </c>
    </row>
    <row r="1501" spans="3:6" x14ac:dyDescent="0.3">
      <c r="C1501" s="8" t="str">
        <f t="shared" si="53"/>
        <v/>
      </c>
      <c r="F1501" s="8" t="str">
        <f t="shared" si="54"/>
        <v/>
      </c>
    </row>
    <row r="1502" spans="3:6" x14ac:dyDescent="0.3">
      <c r="C1502" s="8" t="str">
        <f t="shared" si="53"/>
        <v/>
      </c>
      <c r="F1502" s="8" t="str">
        <f t="shared" si="54"/>
        <v/>
      </c>
    </row>
    <row r="1503" spans="3:6" x14ac:dyDescent="0.3">
      <c r="C1503" s="8" t="str">
        <f t="shared" si="53"/>
        <v/>
      </c>
      <c r="F1503" s="8" t="str">
        <f t="shared" si="54"/>
        <v/>
      </c>
    </row>
    <row r="1504" spans="3:6" x14ac:dyDescent="0.3">
      <c r="C1504" s="8" t="str">
        <f t="shared" si="53"/>
        <v/>
      </c>
      <c r="F1504" s="8" t="str">
        <f t="shared" si="54"/>
        <v/>
      </c>
    </row>
    <row r="1505" spans="3:6" x14ac:dyDescent="0.3">
      <c r="C1505" s="8" t="str">
        <f t="shared" si="53"/>
        <v/>
      </c>
      <c r="F1505" s="8" t="str">
        <f t="shared" si="54"/>
        <v/>
      </c>
    </row>
    <row r="1506" spans="3:6" x14ac:dyDescent="0.3">
      <c r="C1506" s="8" t="str">
        <f t="shared" si="53"/>
        <v/>
      </c>
      <c r="F1506" s="8" t="str">
        <f t="shared" si="54"/>
        <v/>
      </c>
    </row>
    <row r="1507" spans="3:6" x14ac:dyDescent="0.3">
      <c r="C1507" s="8" t="str">
        <f t="shared" si="53"/>
        <v/>
      </c>
      <c r="F1507" s="8" t="str">
        <f t="shared" si="54"/>
        <v/>
      </c>
    </row>
    <row r="1508" spans="3:6" x14ac:dyDescent="0.3">
      <c r="C1508" s="8" t="str">
        <f t="shared" si="53"/>
        <v/>
      </c>
      <c r="F1508" s="8" t="str">
        <f t="shared" si="54"/>
        <v/>
      </c>
    </row>
    <row r="1509" spans="3:6" x14ac:dyDescent="0.3">
      <c r="C1509" s="8" t="str">
        <f t="shared" si="53"/>
        <v/>
      </c>
      <c r="F1509" s="8" t="str">
        <f t="shared" si="54"/>
        <v/>
      </c>
    </row>
    <row r="1510" spans="3:6" x14ac:dyDescent="0.3">
      <c r="C1510" s="8" t="str">
        <f t="shared" si="53"/>
        <v/>
      </c>
      <c r="F1510" s="8" t="str">
        <f t="shared" si="54"/>
        <v/>
      </c>
    </row>
    <row r="1511" spans="3:6" x14ac:dyDescent="0.3">
      <c r="C1511" s="8" t="str">
        <f t="shared" si="53"/>
        <v/>
      </c>
      <c r="F1511" s="8" t="str">
        <f t="shared" si="54"/>
        <v/>
      </c>
    </row>
    <row r="1512" spans="3:6" x14ac:dyDescent="0.3">
      <c r="C1512" s="8" t="str">
        <f t="shared" si="53"/>
        <v/>
      </c>
      <c r="F1512" s="8" t="str">
        <f t="shared" si="54"/>
        <v/>
      </c>
    </row>
    <row r="1513" spans="3:6" x14ac:dyDescent="0.3">
      <c r="C1513" s="8" t="str">
        <f t="shared" si="53"/>
        <v/>
      </c>
      <c r="F1513" s="8" t="str">
        <f t="shared" si="54"/>
        <v/>
      </c>
    </row>
    <row r="1514" spans="3:6" x14ac:dyDescent="0.3">
      <c r="C1514" s="8" t="str">
        <f t="shared" si="53"/>
        <v/>
      </c>
      <c r="F1514" s="8" t="str">
        <f t="shared" si="54"/>
        <v/>
      </c>
    </row>
    <row r="1515" spans="3:6" x14ac:dyDescent="0.3">
      <c r="C1515" s="8" t="str">
        <f t="shared" si="53"/>
        <v/>
      </c>
      <c r="F1515" s="8" t="str">
        <f t="shared" si="54"/>
        <v/>
      </c>
    </row>
    <row r="1516" spans="3:6" x14ac:dyDescent="0.3">
      <c r="C1516" s="8" t="str">
        <f t="shared" si="53"/>
        <v/>
      </c>
      <c r="F1516" s="8" t="str">
        <f t="shared" si="54"/>
        <v/>
      </c>
    </row>
    <row r="1517" spans="3:6" x14ac:dyDescent="0.3">
      <c r="C1517" s="8" t="str">
        <f t="shared" si="53"/>
        <v/>
      </c>
      <c r="F1517" s="8" t="str">
        <f t="shared" si="54"/>
        <v/>
      </c>
    </row>
    <row r="1518" spans="3:6" x14ac:dyDescent="0.3">
      <c r="C1518" s="8" t="str">
        <f t="shared" si="53"/>
        <v/>
      </c>
      <c r="F1518" s="8" t="str">
        <f t="shared" si="54"/>
        <v/>
      </c>
    </row>
    <row r="1519" spans="3:6" x14ac:dyDescent="0.3">
      <c r="C1519" s="8" t="str">
        <f t="shared" si="53"/>
        <v/>
      </c>
      <c r="F1519" s="8" t="str">
        <f t="shared" si="54"/>
        <v/>
      </c>
    </row>
    <row r="1520" spans="3:6" x14ac:dyDescent="0.3">
      <c r="C1520" s="8" t="str">
        <f t="shared" si="53"/>
        <v/>
      </c>
      <c r="F1520" s="8" t="str">
        <f t="shared" si="54"/>
        <v/>
      </c>
    </row>
    <row r="1521" spans="3:6" x14ac:dyDescent="0.3">
      <c r="C1521" s="8" t="str">
        <f t="shared" si="53"/>
        <v/>
      </c>
      <c r="F1521" s="8" t="str">
        <f t="shared" si="54"/>
        <v/>
      </c>
    </row>
    <row r="1522" spans="3:6" x14ac:dyDescent="0.3">
      <c r="C1522" s="8" t="str">
        <f t="shared" si="53"/>
        <v/>
      </c>
      <c r="F1522" s="8" t="str">
        <f t="shared" si="54"/>
        <v/>
      </c>
    </row>
    <row r="1523" spans="3:6" x14ac:dyDescent="0.3">
      <c r="C1523" s="8" t="str">
        <f t="shared" si="53"/>
        <v/>
      </c>
      <c r="F1523" s="8" t="str">
        <f t="shared" si="54"/>
        <v/>
      </c>
    </row>
    <row r="1524" spans="3:6" x14ac:dyDescent="0.3">
      <c r="C1524" s="8" t="str">
        <f t="shared" si="53"/>
        <v/>
      </c>
      <c r="F1524" s="8" t="str">
        <f t="shared" si="54"/>
        <v/>
      </c>
    </row>
    <row r="1525" spans="3:6" x14ac:dyDescent="0.3">
      <c r="C1525" s="8" t="str">
        <f t="shared" si="53"/>
        <v/>
      </c>
      <c r="F1525" s="8" t="str">
        <f t="shared" si="54"/>
        <v/>
      </c>
    </row>
    <row r="1526" spans="3:6" x14ac:dyDescent="0.3">
      <c r="C1526" s="8" t="str">
        <f t="shared" si="53"/>
        <v/>
      </c>
      <c r="F1526" s="8" t="str">
        <f t="shared" si="54"/>
        <v/>
      </c>
    </row>
    <row r="1527" spans="3:6" x14ac:dyDescent="0.3">
      <c r="C1527" s="8" t="str">
        <f t="shared" si="53"/>
        <v/>
      </c>
      <c r="F1527" s="8" t="str">
        <f t="shared" si="54"/>
        <v/>
      </c>
    </row>
    <row r="1528" spans="3:6" x14ac:dyDescent="0.3">
      <c r="C1528" s="8" t="str">
        <f t="shared" si="53"/>
        <v/>
      </c>
      <c r="F1528" s="8" t="str">
        <f t="shared" si="54"/>
        <v/>
      </c>
    </row>
    <row r="1529" spans="3:6" x14ac:dyDescent="0.3">
      <c r="C1529" s="8" t="str">
        <f t="shared" si="53"/>
        <v/>
      </c>
      <c r="F1529" s="8" t="str">
        <f t="shared" si="54"/>
        <v/>
      </c>
    </row>
    <row r="1530" spans="3:6" x14ac:dyDescent="0.3">
      <c r="C1530" s="8" t="str">
        <f t="shared" si="53"/>
        <v/>
      </c>
      <c r="F1530" s="8" t="str">
        <f t="shared" si="54"/>
        <v/>
      </c>
    </row>
    <row r="1531" spans="3:6" x14ac:dyDescent="0.3">
      <c r="C1531" s="8" t="str">
        <f t="shared" si="53"/>
        <v/>
      </c>
      <c r="F1531" s="8" t="str">
        <f t="shared" si="54"/>
        <v/>
      </c>
    </row>
    <row r="1532" spans="3:6" x14ac:dyDescent="0.3">
      <c r="C1532" s="8" t="str">
        <f t="shared" si="53"/>
        <v/>
      </c>
      <c r="F1532" s="8" t="str">
        <f t="shared" si="54"/>
        <v/>
      </c>
    </row>
    <row r="1533" spans="3:6" x14ac:dyDescent="0.3">
      <c r="C1533" s="8" t="str">
        <f t="shared" si="53"/>
        <v/>
      </c>
      <c r="F1533" s="8" t="str">
        <f t="shared" si="54"/>
        <v/>
      </c>
    </row>
    <row r="1534" spans="3:6" x14ac:dyDescent="0.3">
      <c r="C1534" s="8" t="str">
        <f t="shared" si="53"/>
        <v/>
      </c>
      <c r="F1534" s="8" t="str">
        <f t="shared" si="54"/>
        <v/>
      </c>
    </row>
    <row r="1535" spans="3:6" x14ac:dyDescent="0.3">
      <c r="C1535" s="8" t="str">
        <f t="shared" si="53"/>
        <v/>
      </c>
      <c r="F1535" s="8" t="str">
        <f t="shared" si="54"/>
        <v/>
      </c>
    </row>
    <row r="1536" spans="3:6" x14ac:dyDescent="0.3">
      <c r="C1536" s="8" t="str">
        <f t="shared" si="53"/>
        <v/>
      </c>
      <c r="F1536" s="8" t="str">
        <f t="shared" si="54"/>
        <v/>
      </c>
    </row>
    <row r="1537" spans="3:6" x14ac:dyDescent="0.3">
      <c r="C1537" s="8" t="str">
        <f t="shared" si="53"/>
        <v/>
      </c>
      <c r="F1537" s="8" t="str">
        <f t="shared" si="54"/>
        <v/>
      </c>
    </row>
    <row r="1538" spans="3:6" x14ac:dyDescent="0.3">
      <c r="C1538" s="8" t="str">
        <f t="shared" si="53"/>
        <v/>
      </c>
      <c r="F1538" s="8" t="str">
        <f t="shared" si="54"/>
        <v/>
      </c>
    </row>
    <row r="1539" spans="3:6" x14ac:dyDescent="0.3">
      <c r="C1539" s="8" t="str">
        <f t="shared" si="53"/>
        <v/>
      </c>
      <c r="F1539" s="8" t="str">
        <f t="shared" si="54"/>
        <v/>
      </c>
    </row>
    <row r="1540" spans="3:6" x14ac:dyDescent="0.3">
      <c r="C1540" s="8" t="str">
        <f t="shared" si="53"/>
        <v/>
      </c>
      <c r="F1540" s="8" t="str">
        <f t="shared" si="54"/>
        <v/>
      </c>
    </row>
    <row r="1541" spans="3:6" x14ac:dyDescent="0.3">
      <c r="C1541" s="8" t="str">
        <f t="shared" si="53"/>
        <v/>
      </c>
      <c r="F1541" s="8" t="str">
        <f t="shared" si="54"/>
        <v/>
      </c>
    </row>
    <row r="1542" spans="3:6" x14ac:dyDescent="0.3">
      <c r="C1542" s="8" t="str">
        <f t="shared" si="53"/>
        <v/>
      </c>
      <c r="F1542" s="8" t="str">
        <f t="shared" si="54"/>
        <v/>
      </c>
    </row>
    <row r="1543" spans="3:6" x14ac:dyDescent="0.3">
      <c r="C1543" s="8" t="str">
        <f t="shared" si="53"/>
        <v/>
      </c>
      <c r="F1543" s="8" t="str">
        <f t="shared" si="54"/>
        <v/>
      </c>
    </row>
    <row r="1544" spans="3:6" x14ac:dyDescent="0.3">
      <c r="C1544" s="8" t="str">
        <f t="shared" si="53"/>
        <v/>
      </c>
      <c r="F1544" s="8" t="str">
        <f t="shared" si="54"/>
        <v/>
      </c>
    </row>
    <row r="1545" spans="3:6" x14ac:dyDescent="0.3">
      <c r="C1545" s="8" t="str">
        <f t="shared" si="53"/>
        <v/>
      </c>
      <c r="F1545" s="8" t="str">
        <f t="shared" si="54"/>
        <v/>
      </c>
    </row>
    <row r="1546" spans="3:6" x14ac:dyDescent="0.3">
      <c r="C1546" s="8" t="str">
        <f t="shared" si="53"/>
        <v/>
      </c>
      <c r="F1546" s="8" t="str">
        <f t="shared" si="54"/>
        <v/>
      </c>
    </row>
    <row r="1547" spans="3:6" x14ac:dyDescent="0.3">
      <c r="C1547" s="8" t="str">
        <f t="shared" si="53"/>
        <v/>
      </c>
      <c r="F1547" s="8" t="str">
        <f t="shared" si="54"/>
        <v/>
      </c>
    </row>
    <row r="1548" spans="3:6" x14ac:dyDescent="0.3">
      <c r="C1548" s="8" t="str">
        <f t="shared" ref="C1548:C1611" si="55">IF(B1548="PBHAv1.0","PCB"&amp;TEXT(A1548,"yyyymmdd")&amp;"-01",IF(B1548="SBCT","SBCT"&amp;TEXT(A1548,"yyyymmdd"),IF(B1548="SCRA","SCRA"&amp;TEXT(A1548,"yyyymmdd"),"")))</f>
        <v/>
      </c>
      <c r="F1548" s="8" t="str">
        <f t="shared" ref="F1548:F1611" si="56">IF(ISBLANK(B1548),"",IF(B1548="PBHAv1.0",IF(OR(ISBLANK(D1548),ISBLANK(E1548)),"",IF(AND(D1548&gt;=360,D1548&lt;=460,E1548&lt;=0.4),"적합","부적합")),IF(ISBLANK(D1548),"",IF(B1548="SBCT",IF(AND(D1548&gt;=170,D1548&lt;=220),"적합","부적합"),IF(B1548="SCRA",IF(AND(D1548&gt;=50,D1548&lt;=70),"적합","부적합"),"")))))</f>
        <v/>
      </c>
    </row>
    <row r="1549" spans="3:6" x14ac:dyDescent="0.3">
      <c r="C1549" s="8" t="str">
        <f t="shared" si="55"/>
        <v/>
      </c>
      <c r="F1549" s="8" t="str">
        <f t="shared" si="56"/>
        <v/>
      </c>
    </row>
    <row r="1550" spans="3:6" x14ac:dyDescent="0.3">
      <c r="C1550" s="8" t="str">
        <f t="shared" si="55"/>
        <v/>
      </c>
      <c r="F1550" s="8" t="str">
        <f t="shared" si="56"/>
        <v/>
      </c>
    </row>
    <row r="1551" spans="3:6" x14ac:dyDescent="0.3">
      <c r="C1551" s="8" t="str">
        <f t="shared" si="55"/>
        <v/>
      </c>
      <c r="F1551" s="8" t="str">
        <f t="shared" si="56"/>
        <v/>
      </c>
    </row>
    <row r="1552" spans="3:6" x14ac:dyDescent="0.3">
      <c r="C1552" s="8" t="str">
        <f t="shared" si="55"/>
        <v/>
      </c>
      <c r="F1552" s="8" t="str">
        <f t="shared" si="56"/>
        <v/>
      </c>
    </row>
    <row r="1553" spans="3:6" x14ac:dyDescent="0.3">
      <c r="C1553" s="8" t="str">
        <f t="shared" si="55"/>
        <v/>
      </c>
      <c r="F1553" s="8" t="str">
        <f t="shared" si="56"/>
        <v/>
      </c>
    </row>
    <row r="1554" spans="3:6" x14ac:dyDescent="0.3">
      <c r="C1554" s="8" t="str">
        <f t="shared" si="55"/>
        <v/>
      </c>
      <c r="F1554" s="8" t="str">
        <f t="shared" si="56"/>
        <v/>
      </c>
    </row>
    <row r="1555" spans="3:6" x14ac:dyDescent="0.3">
      <c r="C1555" s="8" t="str">
        <f t="shared" si="55"/>
        <v/>
      </c>
      <c r="F1555" s="8" t="str">
        <f t="shared" si="56"/>
        <v/>
      </c>
    </row>
    <row r="1556" spans="3:6" x14ac:dyDescent="0.3">
      <c r="C1556" s="8" t="str">
        <f t="shared" si="55"/>
        <v/>
      </c>
      <c r="F1556" s="8" t="str">
        <f t="shared" si="56"/>
        <v/>
      </c>
    </row>
    <row r="1557" spans="3:6" x14ac:dyDescent="0.3">
      <c r="C1557" s="8" t="str">
        <f t="shared" si="55"/>
        <v/>
      </c>
      <c r="F1557" s="8" t="str">
        <f t="shared" si="56"/>
        <v/>
      </c>
    </row>
    <row r="1558" spans="3:6" x14ac:dyDescent="0.3">
      <c r="C1558" s="8" t="str">
        <f t="shared" si="55"/>
        <v/>
      </c>
      <c r="F1558" s="8" t="str">
        <f t="shared" si="56"/>
        <v/>
      </c>
    </row>
    <row r="1559" spans="3:6" x14ac:dyDescent="0.3">
      <c r="C1559" s="8" t="str">
        <f t="shared" si="55"/>
        <v/>
      </c>
      <c r="F1559" s="8" t="str">
        <f t="shared" si="56"/>
        <v/>
      </c>
    </row>
    <row r="1560" spans="3:6" x14ac:dyDescent="0.3">
      <c r="C1560" s="8" t="str">
        <f t="shared" si="55"/>
        <v/>
      </c>
      <c r="F1560" s="8" t="str">
        <f t="shared" si="56"/>
        <v/>
      </c>
    </row>
    <row r="1561" spans="3:6" x14ac:dyDescent="0.3">
      <c r="C1561" s="8" t="str">
        <f t="shared" si="55"/>
        <v/>
      </c>
      <c r="F1561" s="8" t="str">
        <f t="shared" si="56"/>
        <v/>
      </c>
    </row>
    <row r="1562" spans="3:6" x14ac:dyDescent="0.3">
      <c r="C1562" s="8" t="str">
        <f t="shared" si="55"/>
        <v/>
      </c>
      <c r="F1562" s="8" t="str">
        <f t="shared" si="56"/>
        <v/>
      </c>
    </row>
    <row r="1563" spans="3:6" x14ac:dyDescent="0.3">
      <c r="C1563" s="8" t="str">
        <f t="shared" si="55"/>
        <v/>
      </c>
      <c r="F1563" s="8" t="str">
        <f t="shared" si="56"/>
        <v/>
      </c>
    </row>
    <row r="1564" spans="3:6" x14ac:dyDescent="0.3">
      <c r="C1564" s="8" t="str">
        <f t="shared" si="55"/>
        <v/>
      </c>
      <c r="F1564" s="8" t="str">
        <f t="shared" si="56"/>
        <v/>
      </c>
    </row>
    <row r="1565" spans="3:6" x14ac:dyDescent="0.3">
      <c r="C1565" s="8" t="str">
        <f t="shared" si="55"/>
        <v/>
      </c>
      <c r="F1565" s="8" t="str">
        <f t="shared" si="56"/>
        <v/>
      </c>
    </row>
    <row r="1566" spans="3:6" x14ac:dyDescent="0.3">
      <c r="C1566" s="8" t="str">
        <f t="shared" si="55"/>
        <v/>
      </c>
      <c r="F1566" s="8" t="str">
        <f t="shared" si="56"/>
        <v/>
      </c>
    </row>
    <row r="1567" spans="3:6" x14ac:dyDescent="0.3">
      <c r="C1567" s="8" t="str">
        <f t="shared" si="55"/>
        <v/>
      </c>
      <c r="F1567" s="8" t="str">
        <f t="shared" si="56"/>
        <v/>
      </c>
    </row>
    <row r="1568" spans="3:6" x14ac:dyDescent="0.3">
      <c r="C1568" s="8" t="str">
        <f t="shared" si="55"/>
        <v/>
      </c>
      <c r="F1568" s="8" t="str">
        <f t="shared" si="56"/>
        <v/>
      </c>
    </row>
    <row r="1569" spans="3:6" x14ac:dyDescent="0.3">
      <c r="C1569" s="8" t="str">
        <f t="shared" si="55"/>
        <v/>
      </c>
      <c r="F1569" s="8" t="str">
        <f t="shared" si="56"/>
        <v/>
      </c>
    </row>
    <row r="1570" spans="3:6" x14ac:dyDescent="0.3">
      <c r="C1570" s="8" t="str">
        <f t="shared" si="55"/>
        <v/>
      </c>
      <c r="F1570" s="8" t="str">
        <f t="shared" si="56"/>
        <v/>
      </c>
    </row>
    <row r="1571" spans="3:6" x14ac:dyDescent="0.3">
      <c r="C1571" s="8" t="str">
        <f t="shared" si="55"/>
        <v/>
      </c>
      <c r="F1571" s="8" t="str">
        <f t="shared" si="56"/>
        <v/>
      </c>
    </row>
    <row r="1572" spans="3:6" x14ac:dyDescent="0.3">
      <c r="C1572" s="8" t="str">
        <f t="shared" si="55"/>
        <v/>
      </c>
      <c r="F1572" s="8" t="str">
        <f t="shared" si="56"/>
        <v/>
      </c>
    </row>
    <row r="1573" spans="3:6" x14ac:dyDescent="0.3">
      <c r="C1573" s="8" t="str">
        <f t="shared" si="55"/>
        <v/>
      </c>
      <c r="F1573" s="8" t="str">
        <f t="shared" si="56"/>
        <v/>
      </c>
    </row>
    <row r="1574" spans="3:6" x14ac:dyDescent="0.3">
      <c r="C1574" s="8" t="str">
        <f t="shared" si="55"/>
        <v/>
      </c>
      <c r="F1574" s="8" t="str">
        <f t="shared" si="56"/>
        <v/>
      </c>
    </row>
    <row r="1575" spans="3:6" x14ac:dyDescent="0.3">
      <c r="C1575" s="8" t="str">
        <f t="shared" si="55"/>
        <v/>
      </c>
      <c r="F1575" s="8" t="str">
        <f t="shared" si="56"/>
        <v/>
      </c>
    </row>
    <row r="1576" spans="3:6" x14ac:dyDescent="0.3">
      <c r="C1576" s="8" t="str">
        <f t="shared" si="55"/>
        <v/>
      </c>
      <c r="F1576" s="8" t="str">
        <f t="shared" si="56"/>
        <v/>
      </c>
    </row>
    <row r="1577" spans="3:6" x14ac:dyDescent="0.3">
      <c r="C1577" s="8" t="str">
        <f t="shared" si="55"/>
        <v/>
      </c>
      <c r="F1577" s="8" t="str">
        <f t="shared" si="56"/>
        <v/>
      </c>
    </row>
    <row r="1578" spans="3:6" x14ac:dyDescent="0.3">
      <c r="C1578" s="8" t="str">
        <f t="shared" si="55"/>
        <v/>
      </c>
      <c r="F1578" s="8" t="str">
        <f t="shared" si="56"/>
        <v/>
      </c>
    </row>
    <row r="1579" spans="3:6" x14ac:dyDescent="0.3">
      <c r="C1579" s="8" t="str">
        <f t="shared" si="55"/>
        <v/>
      </c>
      <c r="F1579" s="8" t="str">
        <f t="shared" si="56"/>
        <v/>
      </c>
    </row>
    <row r="1580" spans="3:6" x14ac:dyDescent="0.3">
      <c r="C1580" s="8" t="str">
        <f t="shared" si="55"/>
        <v/>
      </c>
      <c r="F1580" s="8" t="str">
        <f t="shared" si="56"/>
        <v/>
      </c>
    </row>
    <row r="1581" spans="3:6" x14ac:dyDescent="0.3">
      <c r="C1581" s="8" t="str">
        <f t="shared" si="55"/>
        <v/>
      </c>
      <c r="F1581" s="8" t="str">
        <f t="shared" si="56"/>
        <v/>
      </c>
    </row>
    <row r="1582" spans="3:6" x14ac:dyDescent="0.3">
      <c r="C1582" s="8" t="str">
        <f t="shared" si="55"/>
        <v/>
      </c>
      <c r="F1582" s="8" t="str">
        <f t="shared" si="56"/>
        <v/>
      </c>
    </row>
    <row r="1583" spans="3:6" x14ac:dyDescent="0.3">
      <c r="C1583" s="8" t="str">
        <f t="shared" si="55"/>
        <v/>
      </c>
      <c r="F1583" s="8" t="str">
        <f t="shared" si="56"/>
        <v/>
      </c>
    </row>
    <row r="1584" spans="3:6" x14ac:dyDescent="0.3">
      <c r="C1584" s="8" t="str">
        <f t="shared" si="55"/>
        <v/>
      </c>
      <c r="F1584" s="8" t="str">
        <f t="shared" si="56"/>
        <v/>
      </c>
    </row>
    <row r="1585" spans="3:6" x14ac:dyDescent="0.3">
      <c r="C1585" s="8" t="str">
        <f t="shared" si="55"/>
        <v/>
      </c>
      <c r="F1585" s="8" t="str">
        <f t="shared" si="56"/>
        <v/>
      </c>
    </row>
    <row r="1586" spans="3:6" x14ac:dyDescent="0.3">
      <c r="C1586" s="8" t="str">
        <f t="shared" si="55"/>
        <v/>
      </c>
      <c r="F1586" s="8" t="str">
        <f t="shared" si="56"/>
        <v/>
      </c>
    </row>
    <row r="1587" spans="3:6" x14ac:dyDescent="0.3">
      <c r="C1587" s="8" t="str">
        <f t="shared" si="55"/>
        <v/>
      </c>
      <c r="F1587" s="8" t="str">
        <f t="shared" si="56"/>
        <v/>
      </c>
    </row>
    <row r="1588" spans="3:6" x14ac:dyDescent="0.3">
      <c r="C1588" s="8" t="str">
        <f t="shared" si="55"/>
        <v/>
      </c>
      <c r="F1588" s="8" t="str">
        <f t="shared" si="56"/>
        <v/>
      </c>
    </row>
    <row r="1589" spans="3:6" x14ac:dyDescent="0.3">
      <c r="C1589" s="8" t="str">
        <f t="shared" si="55"/>
        <v/>
      </c>
      <c r="F1589" s="8" t="str">
        <f t="shared" si="56"/>
        <v/>
      </c>
    </row>
    <row r="1590" spans="3:6" x14ac:dyDescent="0.3">
      <c r="C1590" s="8" t="str">
        <f t="shared" si="55"/>
        <v/>
      </c>
      <c r="F1590" s="8" t="str">
        <f t="shared" si="56"/>
        <v/>
      </c>
    </row>
    <row r="1591" spans="3:6" x14ac:dyDescent="0.3">
      <c r="C1591" s="8" t="str">
        <f t="shared" si="55"/>
        <v/>
      </c>
      <c r="F1591" s="8" t="str">
        <f t="shared" si="56"/>
        <v/>
      </c>
    </row>
    <row r="1592" spans="3:6" x14ac:dyDescent="0.3">
      <c r="C1592" s="8" t="str">
        <f t="shared" si="55"/>
        <v/>
      </c>
      <c r="F1592" s="8" t="str">
        <f t="shared" si="56"/>
        <v/>
      </c>
    </row>
    <row r="1593" spans="3:6" x14ac:dyDescent="0.3">
      <c r="C1593" s="8" t="str">
        <f t="shared" si="55"/>
        <v/>
      </c>
      <c r="F1593" s="8" t="str">
        <f t="shared" si="56"/>
        <v/>
      </c>
    </row>
    <row r="1594" spans="3:6" x14ac:dyDescent="0.3">
      <c r="C1594" s="8" t="str">
        <f t="shared" si="55"/>
        <v/>
      </c>
      <c r="F1594" s="8" t="str">
        <f t="shared" si="56"/>
        <v/>
      </c>
    </row>
    <row r="1595" spans="3:6" x14ac:dyDescent="0.3">
      <c r="C1595" s="8" t="str">
        <f t="shared" si="55"/>
        <v/>
      </c>
      <c r="F1595" s="8" t="str">
        <f t="shared" si="56"/>
        <v/>
      </c>
    </row>
    <row r="1596" spans="3:6" x14ac:dyDescent="0.3">
      <c r="C1596" s="8" t="str">
        <f t="shared" si="55"/>
        <v/>
      </c>
      <c r="F1596" s="8" t="str">
        <f t="shared" si="56"/>
        <v/>
      </c>
    </row>
    <row r="1597" spans="3:6" x14ac:dyDescent="0.3">
      <c r="C1597" s="8" t="str">
        <f t="shared" si="55"/>
        <v/>
      </c>
      <c r="F1597" s="8" t="str">
        <f t="shared" si="56"/>
        <v/>
      </c>
    </row>
    <row r="1598" spans="3:6" x14ac:dyDescent="0.3">
      <c r="C1598" s="8" t="str">
        <f t="shared" si="55"/>
        <v/>
      </c>
      <c r="F1598" s="8" t="str">
        <f t="shared" si="56"/>
        <v/>
      </c>
    </row>
    <row r="1599" spans="3:6" x14ac:dyDescent="0.3">
      <c r="C1599" s="8" t="str">
        <f t="shared" si="55"/>
        <v/>
      </c>
      <c r="F1599" s="8" t="str">
        <f t="shared" si="56"/>
        <v/>
      </c>
    </row>
    <row r="1600" spans="3:6" x14ac:dyDescent="0.3">
      <c r="C1600" s="8" t="str">
        <f t="shared" si="55"/>
        <v/>
      </c>
      <c r="F1600" s="8" t="str">
        <f t="shared" si="56"/>
        <v/>
      </c>
    </row>
    <row r="1601" spans="3:6" x14ac:dyDescent="0.3">
      <c r="C1601" s="8" t="str">
        <f t="shared" si="55"/>
        <v/>
      </c>
      <c r="F1601" s="8" t="str">
        <f t="shared" si="56"/>
        <v/>
      </c>
    </row>
    <row r="1602" spans="3:6" x14ac:dyDescent="0.3">
      <c r="C1602" s="8" t="str">
        <f t="shared" si="55"/>
        <v/>
      </c>
      <c r="F1602" s="8" t="str">
        <f t="shared" si="56"/>
        <v/>
      </c>
    </row>
    <row r="1603" spans="3:6" x14ac:dyDescent="0.3">
      <c r="C1603" s="8" t="str">
        <f t="shared" si="55"/>
        <v/>
      </c>
      <c r="F1603" s="8" t="str">
        <f t="shared" si="56"/>
        <v/>
      </c>
    </row>
    <row r="1604" spans="3:6" x14ac:dyDescent="0.3">
      <c r="C1604" s="8" t="str">
        <f t="shared" si="55"/>
        <v/>
      </c>
      <c r="F1604" s="8" t="str">
        <f t="shared" si="56"/>
        <v/>
      </c>
    </row>
    <row r="1605" spans="3:6" x14ac:dyDescent="0.3">
      <c r="C1605" s="8" t="str">
        <f t="shared" si="55"/>
        <v/>
      </c>
      <c r="F1605" s="8" t="str">
        <f t="shared" si="56"/>
        <v/>
      </c>
    </row>
    <row r="1606" spans="3:6" x14ac:dyDescent="0.3">
      <c r="C1606" s="8" t="str">
        <f t="shared" si="55"/>
        <v/>
      </c>
      <c r="F1606" s="8" t="str">
        <f t="shared" si="56"/>
        <v/>
      </c>
    </row>
    <row r="1607" spans="3:6" x14ac:dyDescent="0.3">
      <c r="C1607" s="8" t="str">
        <f t="shared" si="55"/>
        <v/>
      </c>
      <c r="F1607" s="8" t="str">
        <f t="shared" si="56"/>
        <v/>
      </c>
    </row>
    <row r="1608" spans="3:6" x14ac:dyDescent="0.3">
      <c r="C1608" s="8" t="str">
        <f t="shared" si="55"/>
        <v/>
      </c>
      <c r="F1608" s="8" t="str">
        <f t="shared" si="56"/>
        <v/>
      </c>
    </row>
    <row r="1609" spans="3:6" x14ac:dyDescent="0.3">
      <c r="C1609" s="8" t="str">
        <f t="shared" si="55"/>
        <v/>
      </c>
      <c r="F1609" s="8" t="str">
        <f t="shared" si="56"/>
        <v/>
      </c>
    </row>
    <row r="1610" spans="3:6" x14ac:dyDescent="0.3">
      <c r="C1610" s="8" t="str">
        <f t="shared" si="55"/>
        <v/>
      </c>
      <c r="F1610" s="8" t="str">
        <f t="shared" si="56"/>
        <v/>
      </c>
    </row>
    <row r="1611" spans="3:6" x14ac:dyDescent="0.3">
      <c r="C1611" s="8" t="str">
        <f t="shared" si="55"/>
        <v/>
      </c>
      <c r="F1611" s="8" t="str">
        <f t="shared" si="56"/>
        <v/>
      </c>
    </row>
    <row r="1612" spans="3:6" x14ac:dyDescent="0.3">
      <c r="C1612" s="8" t="str">
        <f t="shared" ref="C1612:C1675" si="57">IF(B1612="PBHAv1.0","PCB"&amp;TEXT(A1612,"yyyymmdd")&amp;"-01",IF(B1612="SBCT","SBCT"&amp;TEXT(A1612,"yyyymmdd"),IF(B1612="SCRA","SCRA"&amp;TEXT(A1612,"yyyymmdd"),"")))</f>
        <v/>
      </c>
      <c r="F1612" s="8" t="str">
        <f t="shared" ref="F1612:F1675" si="58">IF(ISBLANK(B1612),"",IF(B1612="PBHAv1.0",IF(OR(ISBLANK(D1612),ISBLANK(E1612)),"",IF(AND(D1612&gt;=360,D1612&lt;=460,E1612&lt;=0.4),"적합","부적합")),IF(ISBLANK(D1612),"",IF(B1612="SBCT",IF(AND(D1612&gt;=170,D1612&lt;=220),"적합","부적합"),IF(B1612="SCRA",IF(AND(D1612&gt;=50,D1612&lt;=70),"적합","부적합"),"")))))</f>
        <v/>
      </c>
    </row>
    <row r="1613" spans="3:6" x14ac:dyDescent="0.3">
      <c r="C1613" s="8" t="str">
        <f t="shared" si="57"/>
        <v/>
      </c>
      <c r="F1613" s="8" t="str">
        <f t="shared" si="58"/>
        <v/>
      </c>
    </row>
    <row r="1614" spans="3:6" x14ac:dyDescent="0.3">
      <c r="C1614" s="8" t="str">
        <f t="shared" si="57"/>
        <v/>
      </c>
      <c r="F1614" s="8" t="str">
        <f t="shared" si="58"/>
        <v/>
      </c>
    </row>
    <row r="1615" spans="3:6" x14ac:dyDescent="0.3">
      <c r="C1615" s="8" t="str">
        <f t="shared" si="57"/>
        <v/>
      </c>
      <c r="F1615" s="8" t="str">
        <f t="shared" si="58"/>
        <v/>
      </c>
    </row>
    <row r="1616" spans="3:6" x14ac:dyDescent="0.3">
      <c r="C1616" s="8" t="str">
        <f t="shared" si="57"/>
        <v/>
      </c>
      <c r="F1616" s="8" t="str">
        <f t="shared" si="58"/>
        <v/>
      </c>
    </row>
    <row r="1617" spans="3:6" x14ac:dyDescent="0.3">
      <c r="C1617" s="8" t="str">
        <f t="shared" si="57"/>
        <v/>
      </c>
      <c r="F1617" s="8" t="str">
        <f t="shared" si="58"/>
        <v/>
      </c>
    </row>
    <row r="1618" spans="3:6" x14ac:dyDescent="0.3">
      <c r="C1618" s="8" t="str">
        <f t="shared" si="57"/>
        <v/>
      </c>
      <c r="F1618" s="8" t="str">
        <f t="shared" si="58"/>
        <v/>
      </c>
    </row>
    <row r="1619" spans="3:6" x14ac:dyDescent="0.3">
      <c r="C1619" s="8" t="str">
        <f t="shared" si="57"/>
        <v/>
      </c>
      <c r="F1619" s="8" t="str">
        <f t="shared" si="58"/>
        <v/>
      </c>
    </row>
    <row r="1620" spans="3:6" x14ac:dyDescent="0.3">
      <c r="C1620" s="8" t="str">
        <f t="shared" si="57"/>
        <v/>
      </c>
      <c r="F1620" s="8" t="str">
        <f t="shared" si="58"/>
        <v/>
      </c>
    </row>
    <row r="1621" spans="3:6" x14ac:dyDescent="0.3">
      <c r="C1621" s="8" t="str">
        <f t="shared" si="57"/>
        <v/>
      </c>
      <c r="F1621" s="8" t="str">
        <f t="shared" si="58"/>
        <v/>
      </c>
    </row>
    <row r="1622" spans="3:6" x14ac:dyDescent="0.3">
      <c r="C1622" s="8" t="str">
        <f t="shared" si="57"/>
        <v/>
      </c>
      <c r="F1622" s="8" t="str">
        <f t="shared" si="58"/>
        <v/>
      </c>
    </row>
    <row r="1623" spans="3:6" x14ac:dyDescent="0.3">
      <c r="C1623" s="8" t="str">
        <f t="shared" si="57"/>
        <v/>
      </c>
      <c r="F1623" s="8" t="str">
        <f t="shared" si="58"/>
        <v/>
      </c>
    </row>
    <row r="1624" spans="3:6" x14ac:dyDescent="0.3">
      <c r="C1624" s="8" t="str">
        <f t="shared" si="57"/>
        <v/>
      </c>
      <c r="F1624" s="8" t="str">
        <f t="shared" si="58"/>
        <v/>
      </c>
    </row>
    <row r="1625" spans="3:6" x14ac:dyDescent="0.3">
      <c r="C1625" s="8" t="str">
        <f t="shared" si="57"/>
        <v/>
      </c>
      <c r="F1625" s="8" t="str">
        <f t="shared" si="58"/>
        <v/>
      </c>
    </row>
    <row r="1626" spans="3:6" x14ac:dyDescent="0.3">
      <c r="C1626" s="8" t="str">
        <f t="shared" si="57"/>
        <v/>
      </c>
      <c r="F1626" s="8" t="str">
        <f t="shared" si="58"/>
        <v/>
      </c>
    </row>
    <row r="1627" spans="3:6" x14ac:dyDescent="0.3">
      <c r="C1627" s="8" t="str">
        <f t="shared" si="57"/>
        <v/>
      </c>
      <c r="F1627" s="8" t="str">
        <f t="shared" si="58"/>
        <v/>
      </c>
    </row>
    <row r="1628" spans="3:6" x14ac:dyDescent="0.3">
      <c r="C1628" s="8" t="str">
        <f t="shared" si="57"/>
        <v/>
      </c>
      <c r="F1628" s="8" t="str">
        <f t="shared" si="58"/>
        <v/>
      </c>
    </row>
    <row r="1629" spans="3:6" x14ac:dyDescent="0.3">
      <c r="C1629" s="8" t="str">
        <f t="shared" si="57"/>
        <v/>
      </c>
      <c r="F1629" s="8" t="str">
        <f t="shared" si="58"/>
        <v/>
      </c>
    </row>
    <row r="1630" spans="3:6" x14ac:dyDescent="0.3">
      <c r="C1630" s="8" t="str">
        <f t="shared" si="57"/>
        <v/>
      </c>
      <c r="F1630" s="8" t="str">
        <f t="shared" si="58"/>
        <v/>
      </c>
    </row>
    <row r="1631" spans="3:6" x14ac:dyDescent="0.3">
      <c r="C1631" s="8" t="str">
        <f t="shared" si="57"/>
        <v/>
      </c>
      <c r="F1631" s="8" t="str">
        <f t="shared" si="58"/>
        <v/>
      </c>
    </row>
    <row r="1632" spans="3:6" x14ac:dyDescent="0.3">
      <c r="C1632" s="8" t="str">
        <f t="shared" si="57"/>
        <v/>
      </c>
      <c r="F1632" s="8" t="str">
        <f t="shared" si="58"/>
        <v/>
      </c>
    </row>
    <row r="1633" spans="3:6" x14ac:dyDescent="0.3">
      <c r="C1633" s="8" t="str">
        <f t="shared" si="57"/>
        <v/>
      </c>
      <c r="F1633" s="8" t="str">
        <f t="shared" si="58"/>
        <v/>
      </c>
    </row>
    <row r="1634" spans="3:6" x14ac:dyDescent="0.3">
      <c r="C1634" s="8" t="str">
        <f t="shared" si="57"/>
        <v/>
      </c>
      <c r="F1634" s="8" t="str">
        <f t="shared" si="58"/>
        <v/>
      </c>
    </row>
    <row r="1635" spans="3:6" x14ac:dyDescent="0.3">
      <c r="C1635" s="8" t="str">
        <f t="shared" si="57"/>
        <v/>
      </c>
      <c r="F1635" s="8" t="str">
        <f t="shared" si="58"/>
        <v/>
      </c>
    </row>
    <row r="1636" spans="3:6" x14ac:dyDescent="0.3">
      <c r="C1636" s="8" t="str">
        <f t="shared" si="57"/>
        <v/>
      </c>
      <c r="F1636" s="8" t="str">
        <f t="shared" si="58"/>
        <v/>
      </c>
    </row>
    <row r="1637" spans="3:6" x14ac:dyDescent="0.3">
      <c r="C1637" s="8" t="str">
        <f t="shared" si="57"/>
        <v/>
      </c>
      <c r="F1637" s="8" t="str">
        <f t="shared" si="58"/>
        <v/>
      </c>
    </row>
    <row r="1638" spans="3:6" x14ac:dyDescent="0.3">
      <c r="C1638" s="8" t="str">
        <f t="shared" si="57"/>
        <v/>
      </c>
      <c r="F1638" s="8" t="str">
        <f t="shared" si="58"/>
        <v/>
      </c>
    </row>
    <row r="1639" spans="3:6" x14ac:dyDescent="0.3">
      <c r="C1639" s="8" t="str">
        <f t="shared" si="57"/>
        <v/>
      </c>
      <c r="F1639" s="8" t="str">
        <f t="shared" si="58"/>
        <v/>
      </c>
    </row>
    <row r="1640" spans="3:6" x14ac:dyDescent="0.3">
      <c r="C1640" s="8" t="str">
        <f t="shared" si="57"/>
        <v/>
      </c>
      <c r="F1640" s="8" t="str">
        <f t="shared" si="58"/>
        <v/>
      </c>
    </row>
    <row r="1641" spans="3:6" x14ac:dyDescent="0.3">
      <c r="C1641" s="8" t="str">
        <f t="shared" si="57"/>
        <v/>
      </c>
      <c r="F1641" s="8" t="str">
        <f t="shared" si="58"/>
        <v/>
      </c>
    </row>
    <row r="1642" spans="3:6" x14ac:dyDescent="0.3">
      <c r="C1642" s="8" t="str">
        <f t="shared" si="57"/>
        <v/>
      </c>
      <c r="F1642" s="8" t="str">
        <f t="shared" si="58"/>
        <v/>
      </c>
    </row>
    <row r="1643" spans="3:6" x14ac:dyDescent="0.3">
      <c r="C1643" s="8" t="str">
        <f t="shared" si="57"/>
        <v/>
      </c>
      <c r="F1643" s="8" t="str">
        <f t="shared" si="58"/>
        <v/>
      </c>
    </row>
    <row r="1644" spans="3:6" x14ac:dyDescent="0.3">
      <c r="C1644" s="8" t="str">
        <f t="shared" si="57"/>
        <v/>
      </c>
      <c r="F1644" s="8" t="str">
        <f t="shared" si="58"/>
        <v/>
      </c>
    </row>
    <row r="1645" spans="3:6" x14ac:dyDescent="0.3">
      <c r="C1645" s="8" t="str">
        <f t="shared" si="57"/>
        <v/>
      </c>
      <c r="F1645" s="8" t="str">
        <f t="shared" si="58"/>
        <v/>
      </c>
    </row>
    <row r="1646" spans="3:6" x14ac:dyDescent="0.3">
      <c r="C1646" s="8" t="str">
        <f t="shared" si="57"/>
        <v/>
      </c>
      <c r="F1646" s="8" t="str">
        <f t="shared" si="58"/>
        <v/>
      </c>
    </row>
    <row r="1647" spans="3:6" x14ac:dyDescent="0.3">
      <c r="C1647" s="8" t="str">
        <f t="shared" si="57"/>
        <v/>
      </c>
      <c r="F1647" s="8" t="str">
        <f t="shared" si="58"/>
        <v/>
      </c>
    </row>
    <row r="1648" spans="3:6" x14ac:dyDescent="0.3">
      <c r="C1648" s="8" t="str">
        <f t="shared" si="57"/>
        <v/>
      </c>
      <c r="F1648" s="8" t="str">
        <f t="shared" si="58"/>
        <v/>
      </c>
    </row>
    <row r="1649" spans="3:6" x14ac:dyDescent="0.3">
      <c r="C1649" s="8" t="str">
        <f t="shared" si="57"/>
        <v/>
      </c>
      <c r="F1649" s="8" t="str">
        <f t="shared" si="58"/>
        <v/>
      </c>
    </row>
    <row r="1650" spans="3:6" x14ac:dyDescent="0.3">
      <c r="C1650" s="8" t="str">
        <f t="shared" si="57"/>
        <v/>
      </c>
      <c r="F1650" s="8" t="str">
        <f t="shared" si="58"/>
        <v/>
      </c>
    </row>
    <row r="1651" spans="3:6" x14ac:dyDescent="0.3">
      <c r="C1651" s="8" t="str">
        <f t="shared" si="57"/>
        <v/>
      </c>
      <c r="F1651" s="8" t="str">
        <f t="shared" si="58"/>
        <v/>
      </c>
    </row>
    <row r="1652" spans="3:6" x14ac:dyDescent="0.3">
      <c r="C1652" s="8" t="str">
        <f t="shared" si="57"/>
        <v/>
      </c>
      <c r="F1652" s="8" t="str">
        <f t="shared" si="58"/>
        <v/>
      </c>
    </row>
    <row r="1653" spans="3:6" x14ac:dyDescent="0.3">
      <c r="C1653" s="8" t="str">
        <f t="shared" si="57"/>
        <v/>
      </c>
      <c r="F1653" s="8" t="str">
        <f t="shared" si="58"/>
        <v/>
      </c>
    </row>
    <row r="1654" spans="3:6" x14ac:dyDescent="0.3">
      <c r="C1654" s="8" t="str">
        <f t="shared" si="57"/>
        <v/>
      </c>
      <c r="F1654" s="8" t="str">
        <f t="shared" si="58"/>
        <v/>
      </c>
    </row>
    <row r="1655" spans="3:6" x14ac:dyDescent="0.3">
      <c r="C1655" s="8" t="str">
        <f t="shared" si="57"/>
        <v/>
      </c>
      <c r="F1655" s="8" t="str">
        <f t="shared" si="58"/>
        <v/>
      </c>
    </row>
    <row r="1656" spans="3:6" x14ac:dyDescent="0.3">
      <c r="C1656" s="8" t="str">
        <f t="shared" si="57"/>
        <v/>
      </c>
      <c r="F1656" s="8" t="str">
        <f t="shared" si="58"/>
        <v/>
      </c>
    </row>
    <row r="1657" spans="3:6" x14ac:dyDescent="0.3">
      <c r="C1657" s="8" t="str">
        <f t="shared" si="57"/>
        <v/>
      </c>
      <c r="F1657" s="8" t="str">
        <f t="shared" si="58"/>
        <v/>
      </c>
    </row>
    <row r="1658" spans="3:6" x14ac:dyDescent="0.3">
      <c r="C1658" s="8" t="str">
        <f t="shared" si="57"/>
        <v/>
      </c>
      <c r="F1658" s="8" t="str">
        <f t="shared" si="58"/>
        <v/>
      </c>
    </row>
    <row r="1659" spans="3:6" x14ac:dyDescent="0.3">
      <c r="C1659" s="8" t="str">
        <f t="shared" si="57"/>
        <v/>
      </c>
      <c r="F1659" s="8" t="str">
        <f t="shared" si="58"/>
        <v/>
      </c>
    </row>
    <row r="1660" spans="3:6" x14ac:dyDescent="0.3">
      <c r="C1660" s="8" t="str">
        <f t="shared" si="57"/>
        <v/>
      </c>
      <c r="F1660" s="8" t="str">
        <f t="shared" si="58"/>
        <v/>
      </c>
    </row>
    <row r="1661" spans="3:6" x14ac:dyDescent="0.3">
      <c r="C1661" s="8" t="str">
        <f t="shared" si="57"/>
        <v/>
      </c>
      <c r="F1661" s="8" t="str">
        <f t="shared" si="58"/>
        <v/>
      </c>
    </row>
    <row r="1662" spans="3:6" x14ac:dyDescent="0.3">
      <c r="C1662" s="8" t="str">
        <f t="shared" si="57"/>
        <v/>
      </c>
      <c r="F1662" s="8" t="str">
        <f t="shared" si="58"/>
        <v/>
      </c>
    </row>
    <row r="1663" spans="3:6" x14ac:dyDescent="0.3">
      <c r="C1663" s="8" t="str">
        <f t="shared" si="57"/>
        <v/>
      </c>
      <c r="F1663" s="8" t="str">
        <f t="shared" si="58"/>
        <v/>
      </c>
    </row>
    <row r="1664" spans="3:6" x14ac:dyDescent="0.3">
      <c r="C1664" s="8" t="str">
        <f t="shared" si="57"/>
        <v/>
      </c>
      <c r="F1664" s="8" t="str">
        <f t="shared" si="58"/>
        <v/>
      </c>
    </row>
    <row r="1665" spans="3:6" x14ac:dyDescent="0.3">
      <c r="C1665" s="8" t="str">
        <f t="shared" si="57"/>
        <v/>
      </c>
      <c r="F1665" s="8" t="str">
        <f t="shared" si="58"/>
        <v/>
      </c>
    </row>
    <row r="1666" spans="3:6" x14ac:dyDescent="0.3">
      <c r="C1666" s="8" t="str">
        <f t="shared" si="57"/>
        <v/>
      </c>
      <c r="F1666" s="8" t="str">
        <f t="shared" si="58"/>
        <v/>
      </c>
    </row>
    <row r="1667" spans="3:6" x14ac:dyDescent="0.3">
      <c r="C1667" s="8" t="str">
        <f t="shared" si="57"/>
        <v/>
      </c>
      <c r="F1667" s="8" t="str">
        <f t="shared" si="58"/>
        <v/>
      </c>
    </row>
    <row r="1668" spans="3:6" x14ac:dyDescent="0.3">
      <c r="C1668" s="8" t="str">
        <f t="shared" si="57"/>
        <v/>
      </c>
      <c r="F1668" s="8" t="str">
        <f t="shared" si="58"/>
        <v/>
      </c>
    </row>
    <row r="1669" spans="3:6" x14ac:dyDescent="0.3">
      <c r="C1669" s="8" t="str">
        <f t="shared" si="57"/>
        <v/>
      </c>
      <c r="F1669" s="8" t="str">
        <f t="shared" si="58"/>
        <v/>
      </c>
    </row>
    <row r="1670" spans="3:6" x14ac:dyDescent="0.3">
      <c r="C1670" s="8" t="str">
        <f t="shared" si="57"/>
        <v/>
      </c>
      <c r="F1670" s="8" t="str">
        <f t="shared" si="58"/>
        <v/>
      </c>
    </row>
    <row r="1671" spans="3:6" x14ac:dyDescent="0.3">
      <c r="C1671" s="8" t="str">
        <f t="shared" si="57"/>
        <v/>
      </c>
      <c r="F1671" s="8" t="str">
        <f t="shared" si="58"/>
        <v/>
      </c>
    </row>
    <row r="1672" spans="3:6" x14ac:dyDescent="0.3">
      <c r="C1672" s="8" t="str">
        <f t="shared" si="57"/>
        <v/>
      </c>
      <c r="F1672" s="8" t="str">
        <f t="shared" si="58"/>
        <v/>
      </c>
    </row>
    <row r="1673" spans="3:6" x14ac:dyDescent="0.3">
      <c r="C1673" s="8" t="str">
        <f t="shared" si="57"/>
        <v/>
      </c>
      <c r="F1673" s="8" t="str">
        <f t="shared" si="58"/>
        <v/>
      </c>
    </row>
    <row r="1674" spans="3:6" x14ac:dyDescent="0.3">
      <c r="C1674" s="8" t="str">
        <f t="shared" si="57"/>
        <v/>
      </c>
      <c r="F1674" s="8" t="str">
        <f t="shared" si="58"/>
        <v/>
      </c>
    </row>
    <row r="1675" spans="3:6" x14ac:dyDescent="0.3">
      <c r="C1675" s="8" t="str">
        <f t="shared" si="57"/>
        <v/>
      </c>
      <c r="F1675" s="8" t="str">
        <f t="shared" si="58"/>
        <v/>
      </c>
    </row>
    <row r="1676" spans="3:6" x14ac:dyDescent="0.3">
      <c r="C1676" s="8" t="str">
        <f t="shared" ref="C1676:C1739" si="59">IF(B1676="PBHAv1.0","PCB"&amp;TEXT(A1676,"yyyymmdd")&amp;"-01",IF(B1676="SBCT","SBCT"&amp;TEXT(A1676,"yyyymmdd"),IF(B1676="SCRA","SCRA"&amp;TEXT(A1676,"yyyymmdd"),"")))</f>
        <v/>
      </c>
      <c r="F1676" s="8" t="str">
        <f t="shared" ref="F1676:F1739" si="60">IF(ISBLANK(B1676),"",IF(B1676="PBHAv1.0",IF(OR(ISBLANK(D1676),ISBLANK(E1676)),"",IF(AND(D1676&gt;=360,D1676&lt;=460,E1676&lt;=0.4),"적합","부적합")),IF(ISBLANK(D1676),"",IF(B1676="SBCT",IF(AND(D1676&gt;=170,D1676&lt;=220),"적합","부적합"),IF(B1676="SCRA",IF(AND(D1676&gt;=50,D1676&lt;=70),"적합","부적합"),"")))))</f>
        <v/>
      </c>
    </row>
    <row r="1677" spans="3:6" x14ac:dyDescent="0.3">
      <c r="C1677" s="8" t="str">
        <f t="shared" si="59"/>
        <v/>
      </c>
      <c r="F1677" s="8" t="str">
        <f t="shared" si="60"/>
        <v/>
      </c>
    </row>
    <row r="1678" spans="3:6" x14ac:dyDescent="0.3">
      <c r="C1678" s="8" t="str">
        <f t="shared" si="59"/>
        <v/>
      </c>
      <c r="F1678" s="8" t="str">
        <f t="shared" si="60"/>
        <v/>
      </c>
    </row>
    <row r="1679" spans="3:6" x14ac:dyDescent="0.3">
      <c r="C1679" s="8" t="str">
        <f t="shared" si="59"/>
        <v/>
      </c>
      <c r="F1679" s="8" t="str">
        <f t="shared" si="60"/>
        <v/>
      </c>
    </row>
    <row r="1680" spans="3:6" x14ac:dyDescent="0.3">
      <c r="C1680" s="8" t="str">
        <f t="shared" si="59"/>
        <v/>
      </c>
      <c r="F1680" s="8" t="str">
        <f t="shared" si="60"/>
        <v/>
      </c>
    </row>
    <row r="1681" spans="3:6" x14ac:dyDescent="0.3">
      <c r="C1681" s="8" t="str">
        <f t="shared" si="59"/>
        <v/>
      </c>
      <c r="F1681" s="8" t="str">
        <f t="shared" si="60"/>
        <v/>
      </c>
    </row>
    <row r="1682" spans="3:6" x14ac:dyDescent="0.3">
      <c r="C1682" s="8" t="str">
        <f t="shared" si="59"/>
        <v/>
      </c>
      <c r="F1682" s="8" t="str">
        <f t="shared" si="60"/>
        <v/>
      </c>
    </row>
    <row r="1683" spans="3:6" x14ac:dyDescent="0.3">
      <c r="C1683" s="8" t="str">
        <f t="shared" si="59"/>
        <v/>
      </c>
      <c r="F1683" s="8" t="str">
        <f t="shared" si="60"/>
        <v/>
      </c>
    </row>
    <row r="1684" spans="3:6" x14ac:dyDescent="0.3">
      <c r="C1684" s="8" t="str">
        <f t="shared" si="59"/>
        <v/>
      </c>
      <c r="F1684" s="8" t="str">
        <f t="shared" si="60"/>
        <v/>
      </c>
    </row>
    <row r="1685" spans="3:6" x14ac:dyDescent="0.3">
      <c r="C1685" s="8" t="str">
        <f t="shared" si="59"/>
        <v/>
      </c>
      <c r="F1685" s="8" t="str">
        <f t="shared" si="60"/>
        <v/>
      </c>
    </row>
    <row r="1686" spans="3:6" x14ac:dyDescent="0.3">
      <c r="C1686" s="8" t="str">
        <f t="shared" si="59"/>
        <v/>
      </c>
      <c r="F1686" s="8" t="str">
        <f t="shared" si="60"/>
        <v/>
      </c>
    </row>
    <row r="1687" spans="3:6" x14ac:dyDescent="0.3">
      <c r="C1687" s="8" t="str">
        <f t="shared" si="59"/>
        <v/>
      </c>
      <c r="F1687" s="8" t="str">
        <f t="shared" si="60"/>
        <v/>
      </c>
    </row>
    <row r="1688" spans="3:6" x14ac:dyDescent="0.3">
      <c r="C1688" s="8" t="str">
        <f t="shared" si="59"/>
        <v/>
      </c>
      <c r="F1688" s="8" t="str">
        <f t="shared" si="60"/>
        <v/>
      </c>
    </row>
    <row r="1689" spans="3:6" x14ac:dyDescent="0.3">
      <c r="C1689" s="8" t="str">
        <f t="shared" si="59"/>
        <v/>
      </c>
      <c r="F1689" s="8" t="str">
        <f t="shared" si="60"/>
        <v/>
      </c>
    </row>
    <row r="1690" spans="3:6" x14ac:dyDescent="0.3">
      <c r="C1690" s="8" t="str">
        <f t="shared" si="59"/>
        <v/>
      </c>
      <c r="F1690" s="8" t="str">
        <f t="shared" si="60"/>
        <v/>
      </c>
    </row>
    <row r="1691" spans="3:6" x14ac:dyDescent="0.3">
      <c r="C1691" s="8" t="str">
        <f t="shared" si="59"/>
        <v/>
      </c>
      <c r="F1691" s="8" t="str">
        <f t="shared" si="60"/>
        <v/>
      </c>
    </row>
    <row r="1692" spans="3:6" x14ac:dyDescent="0.3">
      <c r="C1692" s="8" t="str">
        <f t="shared" si="59"/>
        <v/>
      </c>
      <c r="F1692" s="8" t="str">
        <f t="shared" si="60"/>
        <v/>
      </c>
    </row>
    <row r="1693" spans="3:6" x14ac:dyDescent="0.3">
      <c r="C1693" s="8" t="str">
        <f t="shared" si="59"/>
        <v/>
      </c>
      <c r="F1693" s="8" t="str">
        <f t="shared" si="60"/>
        <v/>
      </c>
    </row>
    <row r="1694" spans="3:6" x14ac:dyDescent="0.3">
      <c r="C1694" s="8" t="str">
        <f t="shared" si="59"/>
        <v/>
      </c>
      <c r="F1694" s="8" t="str">
        <f t="shared" si="60"/>
        <v/>
      </c>
    </row>
    <row r="1695" spans="3:6" x14ac:dyDescent="0.3">
      <c r="C1695" s="8" t="str">
        <f t="shared" si="59"/>
        <v/>
      </c>
      <c r="F1695" s="8" t="str">
        <f t="shared" si="60"/>
        <v/>
      </c>
    </row>
    <row r="1696" spans="3:6" x14ac:dyDescent="0.3">
      <c r="C1696" s="8" t="str">
        <f t="shared" si="59"/>
        <v/>
      </c>
      <c r="F1696" s="8" t="str">
        <f t="shared" si="60"/>
        <v/>
      </c>
    </row>
    <row r="1697" spans="3:6" x14ac:dyDescent="0.3">
      <c r="C1697" s="8" t="str">
        <f t="shared" si="59"/>
        <v/>
      </c>
      <c r="F1697" s="8" t="str">
        <f t="shared" si="60"/>
        <v/>
      </c>
    </row>
    <row r="1698" spans="3:6" x14ac:dyDescent="0.3">
      <c r="C1698" s="8" t="str">
        <f t="shared" si="59"/>
        <v/>
      </c>
      <c r="F1698" s="8" t="str">
        <f t="shared" si="60"/>
        <v/>
      </c>
    </row>
    <row r="1699" spans="3:6" x14ac:dyDescent="0.3">
      <c r="C1699" s="8" t="str">
        <f t="shared" si="59"/>
        <v/>
      </c>
      <c r="F1699" s="8" t="str">
        <f t="shared" si="60"/>
        <v/>
      </c>
    </row>
    <row r="1700" spans="3:6" x14ac:dyDescent="0.3">
      <c r="C1700" s="8" t="str">
        <f t="shared" si="59"/>
        <v/>
      </c>
      <c r="F1700" s="8" t="str">
        <f t="shared" si="60"/>
        <v/>
      </c>
    </row>
    <row r="1701" spans="3:6" x14ac:dyDescent="0.3">
      <c r="C1701" s="8" t="str">
        <f t="shared" si="59"/>
        <v/>
      </c>
      <c r="F1701" s="8" t="str">
        <f t="shared" si="60"/>
        <v/>
      </c>
    </row>
    <row r="1702" spans="3:6" x14ac:dyDescent="0.3">
      <c r="C1702" s="8" t="str">
        <f t="shared" si="59"/>
        <v/>
      </c>
      <c r="F1702" s="8" t="str">
        <f t="shared" si="60"/>
        <v/>
      </c>
    </row>
    <row r="1703" spans="3:6" x14ac:dyDescent="0.3">
      <c r="C1703" s="8" t="str">
        <f t="shared" si="59"/>
        <v/>
      </c>
      <c r="F1703" s="8" t="str">
        <f t="shared" si="60"/>
        <v/>
      </c>
    </row>
    <row r="1704" spans="3:6" x14ac:dyDescent="0.3">
      <c r="C1704" s="8" t="str">
        <f t="shared" si="59"/>
        <v/>
      </c>
      <c r="F1704" s="8" t="str">
        <f t="shared" si="60"/>
        <v/>
      </c>
    </row>
    <row r="1705" spans="3:6" x14ac:dyDescent="0.3">
      <c r="C1705" s="8" t="str">
        <f t="shared" si="59"/>
        <v/>
      </c>
      <c r="F1705" s="8" t="str">
        <f t="shared" si="60"/>
        <v/>
      </c>
    </row>
    <row r="1706" spans="3:6" x14ac:dyDescent="0.3">
      <c r="C1706" s="8" t="str">
        <f t="shared" si="59"/>
        <v/>
      </c>
      <c r="F1706" s="8" t="str">
        <f t="shared" si="60"/>
        <v/>
      </c>
    </row>
    <row r="1707" spans="3:6" x14ac:dyDescent="0.3">
      <c r="C1707" s="8" t="str">
        <f t="shared" si="59"/>
        <v/>
      </c>
      <c r="F1707" s="8" t="str">
        <f t="shared" si="60"/>
        <v/>
      </c>
    </row>
    <row r="1708" spans="3:6" x14ac:dyDescent="0.3">
      <c r="C1708" s="8" t="str">
        <f t="shared" si="59"/>
        <v/>
      </c>
      <c r="F1708" s="8" t="str">
        <f t="shared" si="60"/>
        <v/>
      </c>
    </row>
    <row r="1709" spans="3:6" x14ac:dyDescent="0.3">
      <c r="C1709" s="8" t="str">
        <f t="shared" si="59"/>
        <v/>
      </c>
      <c r="F1709" s="8" t="str">
        <f t="shared" si="60"/>
        <v/>
      </c>
    </row>
    <row r="1710" spans="3:6" x14ac:dyDescent="0.3">
      <c r="C1710" s="8" t="str">
        <f t="shared" si="59"/>
        <v/>
      </c>
      <c r="F1710" s="8" t="str">
        <f t="shared" si="60"/>
        <v/>
      </c>
    </row>
    <row r="1711" spans="3:6" x14ac:dyDescent="0.3">
      <c r="C1711" s="8" t="str">
        <f t="shared" si="59"/>
        <v/>
      </c>
      <c r="F1711" s="8" t="str">
        <f t="shared" si="60"/>
        <v/>
      </c>
    </row>
    <row r="1712" spans="3:6" x14ac:dyDescent="0.3">
      <c r="C1712" s="8" t="str">
        <f t="shared" si="59"/>
        <v/>
      </c>
      <c r="F1712" s="8" t="str">
        <f t="shared" si="60"/>
        <v/>
      </c>
    </row>
    <row r="1713" spans="3:6" x14ac:dyDescent="0.3">
      <c r="C1713" s="8" t="str">
        <f t="shared" si="59"/>
        <v/>
      </c>
      <c r="F1713" s="8" t="str">
        <f t="shared" si="60"/>
        <v/>
      </c>
    </row>
    <row r="1714" spans="3:6" x14ac:dyDescent="0.3">
      <c r="C1714" s="8" t="str">
        <f t="shared" si="59"/>
        <v/>
      </c>
      <c r="F1714" s="8" t="str">
        <f t="shared" si="60"/>
        <v/>
      </c>
    </row>
    <row r="1715" spans="3:6" x14ac:dyDescent="0.3">
      <c r="C1715" s="8" t="str">
        <f t="shared" si="59"/>
        <v/>
      </c>
      <c r="F1715" s="8" t="str">
        <f t="shared" si="60"/>
        <v/>
      </c>
    </row>
    <row r="1716" spans="3:6" x14ac:dyDescent="0.3">
      <c r="C1716" s="8" t="str">
        <f t="shared" si="59"/>
        <v/>
      </c>
      <c r="F1716" s="8" t="str">
        <f t="shared" si="60"/>
        <v/>
      </c>
    </row>
    <row r="1717" spans="3:6" x14ac:dyDescent="0.3">
      <c r="C1717" s="8" t="str">
        <f t="shared" si="59"/>
        <v/>
      </c>
      <c r="F1717" s="8" t="str">
        <f t="shared" si="60"/>
        <v/>
      </c>
    </row>
    <row r="1718" spans="3:6" x14ac:dyDescent="0.3">
      <c r="C1718" s="8" t="str">
        <f t="shared" si="59"/>
        <v/>
      </c>
      <c r="F1718" s="8" t="str">
        <f t="shared" si="60"/>
        <v/>
      </c>
    </row>
    <row r="1719" spans="3:6" x14ac:dyDescent="0.3">
      <c r="C1719" s="8" t="str">
        <f t="shared" si="59"/>
        <v/>
      </c>
      <c r="F1719" s="8" t="str">
        <f t="shared" si="60"/>
        <v/>
      </c>
    </row>
    <row r="1720" spans="3:6" x14ac:dyDescent="0.3">
      <c r="C1720" s="8" t="str">
        <f t="shared" si="59"/>
        <v/>
      </c>
      <c r="F1720" s="8" t="str">
        <f t="shared" si="60"/>
        <v/>
      </c>
    </row>
    <row r="1721" spans="3:6" x14ac:dyDescent="0.3">
      <c r="C1721" s="8" t="str">
        <f t="shared" si="59"/>
        <v/>
      </c>
      <c r="F1721" s="8" t="str">
        <f t="shared" si="60"/>
        <v/>
      </c>
    </row>
    <row r="1722" spans="3:6" x14ac:dyDescent="0.3">
      <c r="C1722" s="8" t="str">
        <f t="shared" si="59"/>
        <v/>
      </c>
      <c r="F1722" s="8" t="str">
        <f t="shared" si="60"/>
        <v/>
      </c>
    </row>
    <row r="1723" spans="3:6" x14ac:dyDescent="0.3">
      <c r="C1723" s="8" t="str">
        <f t="shared" si="59"/>
        <v/>
      </c>
      <c r="F1723" s="8" t="str">
        <f t="shared" si="60"/>
        <v/>
      </c>
    </row>
    <row r="1724" spans="3:6" x14ac:dyDescent="0.3">
      <c r="C1724" s="8" t="str">
        <f t="shared" si="59"/>
        <v/>
      </c>
      <c r="F1724" s="8" t="str">
        <f t="shared" si="60"/>
        <v/>
      </c>
    </row>
    <row r="1725" spans="3:6" x14ac:dyDescent="0.3">
      <c r="C1725" s="8" t="str">
        <f t="shared" si="59"/>
        <v/>
      </c>
      <c r="F1725" s="8" t="str">
        <f t="shared" si="60"/>
        <v/>
      </c>
    </row>
    <row r="1726" spans="3:6" x14ac:dyDescent="0.3">
      <c r="C1726" s="8" t="str">
        <f t="shared" si="59"/>
        <v/>
      </c>
      <c r="F1726" s="8" t="str">
        <f t="shared" si="60"/>
        <v/>
      </c>
    </row>
    <row r="1727" spans="3:6" x14ac:dyDescent="0.3">
      <c r="C1727" s="8" t="str">
        <f t="shared" si="59"/>
        <v/>
      </c>
      <c r="F1727" s="8" t="str">
        <f t="shared" si="60"/>
        <v/>
      </c>
    </row>
    <row r="1728" spans="3:6" x14ac:dyDescent="0.3">
      <c r="C1728" s="8" t="str">
        <f t="shared" si="59"/>
        <v/>
      </c>
      <c r="F1728" s="8" t="str">
        <f t="shared" si="60"/>
        <v/>
      </c>
    </row>
    <row r="1729" spans="3:6" x14ac:dyDescent="0.3">
      <c r="C1729" s="8" t="str">
        <f t="shared" si="59"/>
        <v/>
      </c>
      <c r="F1729" s="8" t="str">
        <f t="shared" si="60"/>
        <v/>
      </c>
    </row>
    <row r="1730" spans="3:6" x14ac:dyDescent="0.3">
      <c r="C1730" s="8" t="str">
        <f t="shared" si="59"/>
        <v/>
      </c>
      <c r="F1730" s="8" t="str">
        <f t="shared" si="60"/>
        <v/>
      </c>
    </row>
    <row r="1731" spans="3:6" x14ac:dyDescent="0.3">
      <c r="C1731" s="8" t="str">
        <f t="shared" si="59"/>
        <v/>
      </c>
      <c r="F1731" s="8" t="str">
        <f t="shared" si="60"/>
        <v/>
      </c>
    </row>
    <row r="1732" spans="3:6" x14ac:dyDescent="0.3">
      <c r="C1732" s="8" t="str">
        <f t="shared" si="59"/>
        <v/>
      </c>
      <c r="F1732" s="8" t="str">
        <f t="shared" si="60"/>
        <v/>
      </c>
    </row>
    <row r="1733" spans="3:6" x14ac:dyDescent="0.3">
      <c r="C1733" s="8" t="str">
        <f t="shared" si="59"/>
        <v/>
      </c>
      <c r="F1733" s="8" t="str">
        <f t="shared" si="60"/>
        <v/>
      </c>
    </row>
    <row r="1734" spans="3:6" x14ac:dyDescent="0.3">
      <c r="C1734" s="8" t="str">
        <f t="shared" si="59"/>
        <v/>
      </c>
      <c r="F1734" s="8" t="str">
        <f t="shared" si="60"/>
        <v/>
      </c>
    </row>
    <row r="1735" spans="3:6" x14ac:dyDescent="0.3">
      <c r="C1735" s="8" t="str">
        <f t="shared" si="59"/>
        <v/>
      </c>
      <c r="F1735" s="8" t="str">
        <f t="shared" si="60"/>
        <v/>
      </c>
    </row>
    <row r="1736" spans="3:6" x14ac:dyDescent="0.3">
      <c r="C1736" s="8" t="str">
        <f t="shared" si="59"/>
        <v/>
      </c>
      <c r="F1736" s="8" t="str">
        <f t="shared" si="60"/>
        <v/>
      </c>
    </row>
    <row r="1737" spans="3:6" x14ac:dyDescent="0.3">
      <c r="C1737" s="8" t="str">
        <f t="shared" si="59"/>
        <v/>
      </c>
      <c r="F1737" s="8" t="str">
        <f t="shared" si="60"/>
        <v/>
      </c>
    </row>
    <row r="1738" spans="3:6" x14ac:dyDescent="0.3">
      <c r="C1738" s="8" t="str">
        <f t="shared" si="59"/>
        <v/>
      </c>
      <c r="F1738" s="8" t="str">
        <f t="shared" si="60"/>
        <v/>
      </c>
    </row>
    <row r="1739" spans="3:6" x14ac:dyDescent="0.3">
      <c r="C1739" s="8" t="str">
        <f t="shared" si="59"/>
        <v/>
      </c>
      <c r="F1739" s="8" t="str">
        <f t="shared" si="60"/>
        <v/>
      </c>
    </row>
    <row r="1740" spans="3:6" x14ac:dyDescent="0.3">
      <c r="C1740" s="8" t="str">
        <f t="shared" ref="C1740:C1803" si="61">IF(B1740="PBHAv1.0","PCB"&amp;TEXT(A1740,"yyyymmdd")&amp;"-01",IF(B1740="SBCT","SBCT"&amp;TEXT(A1740,"yyyymmdd"),IF(B1740="SCRA","SCRA"&amp;TEXT(A1740,"yyyymmdd"),"")))</f>
        <v/>
      </c>
      <c r="F1740" s="8" t="str">
        <f t="shared" ref="F1740:F1803" si="62">IF(ISBLANK(B1740),"",IF(B1740="PBHAv1.0",IF(OR(ISBLANK(D1740),ISBLANK(E1740)),"",IF(AND(D1740&gt;=360,D1740&lt;=460,E1740&lt;=0.4),"적합","부적합")),IF(ISBLANK(D1740),"",IF(B1740="SBCT",IF(AND(D1740&gt;=170,D1740&lt;=220),"적합","부적합"),IF(B1740="SCRA",IF(AND(D1740&gt;=50,D1740&lt;=70),"적합","부적합"),"")))))</f>
        <v/>
      </c>
    </row>
    <row r="1741" spans="3:6" x14ac:dyDescent="0.3">
      <c r="C1741" s="8" t="str">
        <f t="shared" si="61"/>
        <v/>
      </c>
      <c r="F1741" s="8" t="str">
        <f t="shared" si="62"/>
        <v/>
      </c>
    </row>
    <row r="1742" spans="3:6" x14ac:dyDescent="0.3">
      <c r="C1742" s="8" t="str">
        <f t="shared" si="61"/>
        <v/>
      </c>
      <c r="F1742" s="8" t="str">
        <f t="shared" si="62"/>
        <v/>
      </c>
    </row>
    <row r="1743" spans="3:6" x14ac:dyDescent="0.3">
      <c r="C1743" s="8" t="str">
        <f t="shared" si="61"/>
        <v/>
      </c>
      <c r="F1743" s="8" t="str">
        <f t="shared" si="62"/>
        <v/>
      </c>
    </row>
    <row r="1744" spans="3:6" x14ac:dyDescent="0.3">
      <c r="C1744" s="8" t="str">
        <f t="shared" si="61"/>
        <v/>
      </c>
      <c r="F1744" s="8" t="str">
        <f t="shared" si="62"/>
        <v/>
      </c>
    </row>
    <row r="1745" spans="3:6" x14ac:dyDescent="0.3">
      <c r="C1745" s="8" t="str">
        <f t="shared" si="61"/>
        <v/>
      </c>
      <c r="F1745" s="8" t="str">
        <f t="shared" si="62"/>
        <v/>
      </c>
    </row>
    <row r="1746" spans="3:6" x14ac:dyDescent="0.3">
      <c r="C1746" s="8" t="str">
        <f t="shared" si="61"/>
        <v/>
      </c>
      <c r="F1746" s="8" t="str">
        <f t="shared" si="62"/>
        <v/>
      </c>
    </row>
    <row r="1747" spans="3:6" x14ac:dyDescent="0.3">
      <c r="C1747" s="8" t="str">
        <f t="shared" si="61"/>
        <v/>
      </c>
      <c r="F1747" s="8" t="str">
        <f t="shared" si="62"/>
        <v/>
      </c>
    </row>
    <row r="1748" spans="3:6" x14ac:dyDescent="0.3">
      <c r="C1748" s="8" t="str">
        <f t="shared" si="61"/>
        <v/>
      </c>
      <c r="F1748" s="8" t="str">
        <f t="shared" si="62"/>
        <v/>
      </c>
    </row>
    <row r="1749" spans="3:6" x14ac:dyDescent="0.3">
      <c r="C1749" s="8" t="str">
        <f t="shared" si="61"/>
        <v/>
      </c>
      <c r="F1749" s="8" t="str">
        <f t="shared" si="62"/>
        <v/>
      </c>
    </row>
    <row r="1750" spans="3:6" x14ac:dyDescent="0.3">
      <c r="C1750" s="8" t="str">
        <f t="shared" si="61"/>
        <v/>
      </c>
      <c r="F1750" s="8" t="str">
        <f t="shared" si="62"/>
        <v/>
      </c>
    </row>
    <row r="1751" spans="3:6" x14ac:dyDescent="0.3">
      <c r="C1751" s="8" t="str">
        <f t="shared" si="61"/>
        <v/>
      </c>
      <c r="F1751" s="8" t="str">
        <f t="shared" si="62"/>
        <v/>
      </c>
    </row>
    <row r="1752" spans="3:6" x14ac:dyDescent="0.3">
      <c r="C1752" s="8" t="str">
        <f t="shared" si="61"/>
        <v/>
      </c>
      <c r="F1752" s="8" t="str">
        <f t="shared" si="62"/>
        <v/>
      </c>
    </row>
    <row r="1753" spans="3:6" x14ac:dyDescent="0.3">
      <c r="C1753" s="8" t="str">
        <f t="shared" si="61"/>
        <v/>
      </c>
      <c r="F1753" s="8" t="str">
        <f t="shared" si="62"/>
        <v/>
      </c>
    </row>
    <row r="1754" spans="3:6" x14ac:dyDescent="0.3">
      <c r="C1754" s="8" t="str">
        <f t="shared" si="61"/>
        <v/>
      </c>
      <c r="F1754" s="8" t="str">
        <f t="shared" si="62"/>
        <v/>
      </c>
    </row>
    <row r="1755" spans="3:6" x14ac:dyDescent="0.3">
      <c r="C1755" s="8" t="str">
        <f t="shared" si="61"/>
        <v/>
      </c>
      <c r="F1755" s="8" t="str">
        <f t="shared" si="62"/>
        <v/>
      </c>
    </row>
    <row r="1756" spans="3:6" x14ac:dyDescent="0.3">
      <c r="C1756" s="8" t="str">
        <f t="shared" si="61"/>
        <v/>
      </c>
      <c r="F1756" s="8" t="str">
        <f t="shared" si="62"/>
        <v/>
      </c>
    </row>
    <row r="1757" spans="3:6" x14ac:dyDescent="0.3">
      <c r="C1757" s="8" t="str">
        <f t="shared" si="61"/>
        <v/>
      </c>
      <c r="F1757" s="8" t="str">
        <f t="shared" si="62"/>
        <v/>
      </c>
    </row>
    <row r="1758" spans="3:6" x14ac:dyDescent="0.3">
      <c r="C1758" s="8" t="str">
        <f t="shared" si="61"/>
        <v/>
      </c>
      <c r="F1758" s="8" t="str">
        <f t="shared" si="62"/>
        <v/>
      </c>
    </row>
    <row r="1759" spans="3:6" x14ac:dyDescent="0.3">
      <c r="C1759" s="8" t="str">
        <f t="shared" si="61"/>
        <v/>
      </c>
      <c r="F1759" s="8" t="str">
        <f t="shared" si="62"/>
        <v/>
      </c>
    </row>
    <row r="1760" spans="3:6" x14ac:dyDescent="0.3">
      <c r="C1760" s="8" t="str">
        <f t="shared" si="61"/>
        <v/>
      </c>
      <c r="F1760" s="8" t="str">
        <f t="shared" si="62"/>
        <v/>
      </c>
    </row>
    <row r="1761" spans="3:6" x14ac:dyDescent="0.3">
      <c r="C1761" s="8" t="str">
        <f t="shared" si="61"/>
        <v/>
      </c>
      <c r="F1761" s="8" t="str">
        <f t="shared" si="62"/>
        <v/>
      </c>
    </row>
    <row r="1762" spans="3:6" x14ac:dyDescent="0.3">
      <c r="C1762" s="8" t="str">
        <f t="shared" si="61"/>
        <v/>
      </c>
      <c r="F1762" s="8" t="str">
        <f t="shared" si="62"/>
        <v/>
      </c>
    </row>
    <row r="1763" spans="3:6" x14ac:dyDescent="0.3">
      <c r="C1763" s="8" t="str">
        <f t="shared" si="61"/>
        <v/>
      </c>
      <c r="F1763" s="8" t="str">
        <f t="shared" si="62"/>
        <v/>
      </c>
    </row>
    <row r="1764" spans="3:6" x14ac:dyDescent="0.3">
      <c r="C1764" s="8" t="str">
        <f t="shared" si="61"/>
        <v/>
      </c>
      <c r="F1764" s="8" t="str">
        <f t="shared" si="62"/>
        <v/>
      </c>
    </row>
    <row r="1765" spans="3:6" x14ac:dyDescent="0.3">
      <c r="C1765" s="8" t="str">
        <f t="shared" si="61"/>
        <v/>
      </c>
      <c r="F1765" s="8" t="str">
        <f t="shared" si="62"/>
        <v/>
      </c>
    </row>
    <row r="1766" spans="3:6" x14ac:dyDescent="0.3">
      <c r="C1766" s="8" t="str">
        <f t="shared" si="61"/>
        <v/>
      </c>
      <c r="F1766" s="8" t="str">
        <f t="shared" si="62"/>
        <v/>
      </c>
    </row>
    <row r="1767" spans="3:6" x14ac:dyDescent="0.3">
      <c r="C1767" s="8" t="str">
        <f t="shared" si="61"/>
        <v/>
      </c>
      <c r="F1767" s="8" t="str">
        <f t="shared" si="62"/>
        <v/>
      </c>
    </row>
    <row r="1768" spans="3:6" x14ac:dyDescent="0.3">
      <c r="C1768" s="8" t="str">
        <f t="shared" si="61"/>
        <v/>
      </c>
      <c r="F1768" s="8" t="str">
        <f t="shared" si="62"/>
        <v/>
      </c>
    </row>
    <row r="1769" spans="3:6" x14ac:dyDescent="0.3">
      <c r="C1769" s="8" t="str">
        <f t="shared" si="61"/>
        <v/>
      </c>
      <c r="F1769" s="8" t="str">
        <f t="shared" si="62"/>
        <v/>
      </c>
    </row>
    <row r="1770" spans="3:6" x14ac:dyDescent="0.3">
      <c r="C1770" s="8" t="str">
        <f t="shared" si="61"/>
        <v/>
      </c>
      <c r="F1770" s="8" t="str">
        <f t="shared" si="62"/>
        <v/>
      </c>
    </row>
    <row r="1771" spans="3:6" x14ac:dyDescent="0.3">
      <c r="C1771" s="8" t="str">
        <f t="shared" si="61"/>
        <v/>
      </c>
      <c r="F1771" s="8" t="str">
        <f t="shared" si="62"/>
        <v/>
      </c>
    </row>
    <row r="1772" spans="3:6" x14ac:dyDescent="0.3">
      <c r="C1772" s="8" t="str">
        <f t="shared" si="61"/>
        <v/>
      </c>
      <c r="F1772" s="8" t="str">
        <f t="shared" si="62"/>
        <v/>
      </c>
    </row>
    <row r="1773" spans="3:6" x14ac:dyDescent="0.3">
      <c r="C1773" s="8" t="str">
        <f t="shared" si="61"/>
        <v/>
      </c>
      <c r="F1773" s="8" t="str">
        <f t="shared" si="62"/>
        <v/>
      </c>
    </row>
    <row r="1774" spans="3:6" x14ac:dyDescent="0.3">
      <c r="C1774" s="8" t="str">
        <f t="shared" si="61"/>
        <v/>
      </c>
      <c r="F1774" s="8" t="str">
        <f t="shared" si="62"/>
        <v/>
      </c>
    </row>
    <row r="1775" spans="3:6" x14ac:dyDescent="0.3">
      <c r="C1775" s="8" t="str">
        <f t="shared" si="61"/>
        <v/>
      </c>
      <c r="F1775" s="8" t="str">
        <f t="shared" si="62"/>
        <v/>
      </c>
    </row>
    <row r="1776" spans="3:6" x14ac:dyDescent="0.3">
      <c r="C1776" s="8" t="str">
        <f t="shared" si="61"/>
        <v/>
      </c>
      <c r="F1776" s="8" t="str">
        <f t="shared" si="62"/>
        <v/>
      </c>
    </row>
    <row r="1777" spans="3:6" x14ac:dyDescent="0.3">
      <c r="C1777" s="8" t="str">
        <f t="shared" si="61"/>
        <v/>
      </c>
      <c r="F1777" s="8" t="str">
        <f t="shared" si="62"/>
        <v/>
      </c>
    </row>
    <row r="1778" spans="3:6" x14ac:dyDescent="0.3">
      <c r="C1778" s="8" t="str">
        <f t="shared" si="61"/>
        <v/>
      </c>
      <c r="F1778" s="8" t="str">
        <f t="shared" si="62"/>
        <v/>
      </c>
    </row>
    <row r="1779" spans="3:6" x14ac:dyDescent="0.3">
      <c r="C1779" s="8" t="str">
        <f t="shared" si="61"/>
        <v/>
      </c>
      <c r="F1779" s="8" t="str">
        <f t="shared" si="62"/>
        <v/>
      </c>
    </row>
    <row r="1780" spans="3:6" x14ac:dyDescent="0.3">
      <c r="C1780" s="8" t="str">
        <f t="shared" si="61"/>
        <v/>
      </c>
      <c r="F1780" s="8" t="str">
        <f t="shared" si="62"/>
        <v/>
      </c>
    </row>
    <row r="1781" spans="3:6" x14ac:dyDescent="0.3">
      <c r="C1781" s="8" t="str">
        <f t="shared" si="61"/>
        <v/>
      </c>
      <c r="F1781" s="8" t="str">
        <f t="shared" si="62"/>
        <v/>
      </c>
    </row>
    <row r="1782" spans="3:6" x14ac:dyDescent="0.3">
      <c r="C1782" s="8" t="str">
        <f t="shared" si="61"/>
        <v/>
      </c>
      <c r="F1782" s="8" t="str">
        <f t="shared" si="62"/>
        <v/>
      </c>
    </row>
    <row r="1783" spans="3:6" x14ac:dyDescent="0.3">
      <c r="C1783" s="8" t="str">
        <f t="shared" si="61"/>
        <v/>
      </c>
      <c r="F1783" s="8" t="str">
        <f t="shared" si="62"/>
        <v/>
      </c>
    </row>
    <row r="1784" spans="3:6" x14ac:dyDescent="0.3">
      <c r="C1784" s="8" t="str">
        <f t="shared" si="61"/>
        <v/>
      </c>
      <c r="F1784" s="8" t="str">
        <f t="shared" si="62"/>
        <v/>
      </c>
    </row>
    <row r="1785" spans="3:6" x14ac:dyDescent="0.3">
      <c r="C1785" s="8" t="str">
        <f t="shared" si="61"/>
        <v/>
      </c>
      <c r="F1785" s="8" t="str">
        <f t="shared" si="62"/>
        <v/>
      </c>
    </row>
    <row r="1786" spans="3:6" x14ac:dyDescent="0.3">
      <c r="C1786" s="8" t="str">
        <f t="shared" si="61"/>
        <v/>
      </c>
      <c r="F1786" s="8" t="str">
        <f t="shared" si="62"/>
        <v/>
      </c>
    </row>
    <row r="1787" spans="3:6" x14ac:dyDescent="0.3">
      <c r="C1787" s="8" t="str">
        <f t="shared" si="61"/>
        <v/>
      </c>
      <c r="F1787" s="8" t="str">
        <f t="shared" si="62"/>
        <v/>
      </c>
    </row>
    <row r="1788" spans="3:6" x14ac:dyDescent="0.3">
      <c r="C1788" s="8" t="str">
        <f t="shared" si="61"/>
        <v/>
      </c>
      <c r="F1788" s="8" t="str">
        <f t="shared" si="62"/>
        <v/>
      </c>
    </row>
    <row r="1789" spans="3:6" x14ac:dyDescent="0.3">
      <c r="C1789" s="8" t="str">
        <f t="shared" si="61"/>
        <v/>
      </c>
      <c r="F1789" s="8" t="str">
        <f t="shared" si="62"/>
        <v/>
      </c>
    </row>
    <row r="1790" spans="3:6" x14ac:dyDescent="0.3">
      <c r="C1790" s="8" t="str">
        <f t="shared" si="61"/>
        <v/>
      </c>
      <c r="F1790" s="8" t="str">
        <f t="shared" si="62"/>
        <v/>
      </c>
    </row>
    <row r="1791" spans="3:6" x14ac:dyDescent="0.3">
      <c r="C1791" s="8" t="str">
        <f t="shared" si="61"/>
        <v/>
      </c>
      <c r="F1791" s="8" t="str">
        <f t="shared" si="62"/>
        <v/>
      </c>
    </row>
    <row r="1792" spans="3:6" x14ac:dyDescent="0.3">
      <c r="C1792" s="8" t="str">
        <f t="shared" si="61"/>
        <v/>
      </c>
      <c r="F1792" s="8" t="str">
        <f t="shared" si="62"/>
        <v/>
      </c>
    </row>
    <row r="1793" spans="3:6" x14ac:dyDescent="0.3">
      <c r="C1793" s="8" t="str">
        <f t="shared" si="61"/>
        <v/>
      </c>
      <c r="F1793" s="8" t="str">
        <f t="shared" si="62"/>
        <v/>
      </c>
    </row>
    <row r="1794" spans="3:6" x14ac:dyDescent="0.3">
      <c r="C1794" s="8" t="str">
        <f t="shared" si="61"/>
        <v/>
      </c>
      <c r="F1794" s="8" t="str">
        <f t="shared" si="62"/>
        <v/>
      </c>
    </row>
    <row r="1795" spans="3:6" x14ac:dyDescent="0.3">
      <c r="C1795" s="8" t="str">
        <f t="shared" si="61"/>
        <v/>
      </c>
      <c r="F1795" s="8" t="str">
        <f t="shared" si="62"/>
        <v/>
      </c>
    </row>
    <row r="1796" spans="3:6" x14ac:dyDescent="0.3">
      <c r="C1796" s="8" t="str">
        <f t="shared" si="61"/>
        <v/>
      </c>
      <c r="F1796" s="8" t="str">
        <f t="shared" si="62"/>
        <v/>
      </c>
    </row>
    <row r="1797" spans="3:6" x14ac:dyDescent="0.3">
      <c r="C1797" s="8" t="str">
        <f t="shared" si="61"/>
        <v/>
      </c>
      <c r="F1797" s="8" t="str">
        <f t="shared" si="62"/>
        <v/>
      </c>
    </row>
    <row r="1798" spans="3:6" x14ac:dyDescent="0.3">
      <c r="C1798" s="8" t="str">
        <f t="shared" si="61"/>
        <v/>
      </c>
      <c r="F1798" s="8" t="str">
        <f t="shared" si="62"/>
        <v/>
      </c>
    </row>
    <row r="1799" spans="3:6" x14ac:dyDescent="0.3">
      <c r="C1799" s="8" t="str">
        <f t="shared" si="61"/>
        <v/>
      </c>
      <c r="F1799" s="8" t="str">
        <f t="shared" si="62"/>
        <v/>
      </c>
    </row>
    <row r="1800" spans="3:6" x14ac:dyDescent="0.3">
      <c r="C1800" s="8" t="str">
        <f t="shared" si="61"/>
        <v/>
      </c>
      <c r="F1800" s="8" t="str">
        <f t="shared" si="62"/>
        <v/>
      </c>
    </row>
    <row r="1801" spans="3:6" x14ac:dyDescent="0.3">
      <c r="C1801" s="8" t="str">
        <f t="shared" si="61"/>
        <v/>
      </c>
      <c r="F1801" s="8" t="str">
        <f t="shared" si="62"/>
        <v/>
      </c>
    </row>
    <row r="1802" spans="3:6" x14ac:dyDescent="0.3">
      <c r="C1802" s="8" t="str">
        <f t="shared" si="61"/>
        <v/>
      </c>
      <c r="F1802" s="8" t="str">
        <f t="shared" si="62"/>
        <v/>
      </c>
    </row>
    <row r="1803" spans="3:6" x14ac:dyDescent="0.3">
      <c r="C1803" s="8" t="str">
        <f t="shared" si="61"/>
        <v/>
      </c>
      <c r="F1803" s="8" t="str">
        <f t="shared" si="62"/>
        <v/>
      </c>
    </row>
    <row r="1804" spans="3:6" x14ac:dyDescent="0.3">
      <c r="C1804" s="8" t="str">
        <f t="shared" ref="C1804:C1867" si="63">IF(B1804="PBHAv1.0","PCB"&amp;TEXT(A1804,"yyyymmdd")&amp;"-01",IF(B1804="SBCT","SBCT"&amp;TEXT(A1804,"yyyymmdd"),IF(B1804="SCRA","SCRA"&amp;TEXT(A1804,"yyyymmdd"),"")))</f>
        <v/>
      </c>
      <c r="F1804" s="8" t="str">
        <f t="shared" ref="F1804:F1867" si="64">IF(ISBLANK(B1804),"",IF(B1804="PBHAv1.0",IF(OR(ISBLANK(D1804),ISBLANK(E1804)),"",IF(AND(D1804&gt;=360,D1804&lt;=460,E1804&lt;=0.4),"적합","부적합")),IF(ISBLANK(D1804),"",IF(B1804="SBCT",IF(AND(D1804&gt;=170,D1804&lt;=220),"적합","부적합"),IF(B1804="SCRA",IF(AND(D1804&gt;=50,D1804&lt;=70),"적합","부적합"),"")))))</f>
        <v/>
      </c>
    </row>
    <row r="1805" spans="3:6" x14ac:dyDescent="0.3">
      <c r="C1805" s="8" t="str">
        <f t="shared" si="63"/>
        <v/>
      </c>
      <c r="F1805" s="8" t="str">
        <f t="shared" si="64"/>
        <v/>
      </c>
    </row>
    <row r="1806" spans="3:6" x14ac:dyDescent="0.3">
      <c r="C1806" s="8" t="str">
        <f t="shared" si="63"/>
        <v/>
      </c>
      <c r="F1806" s="8" t="str">
        <f t="shared" si="64"/>
        <v/>
      </c>
    </row>
    <row r="1807" spans="3:6" x14ac:dyDescent="0.3">
      <c r="C1807" s="8" t="str">
        <f t="shared" si="63"/>
        <v/>
      </c>
      <c r="F1807" s="8" t="str">
        <f t="shared" si="64"/>
        <v/>
      </c>
    </row>
    <row r="1808" spans="3:6" x14ac:dyDescent="0.3">
      <c r="C1808" s="8" t="str">
        <f t="shared" si="63"/>
        <v/>
      </c>
      <c r="F1808" s="8" t="str">
        <f t="shared" si="64"/>
        <v/>
      </c>
    </row>
    <row r="1809" spans="3:6" x14ac:dyDescent="0.3">
      <c r="C1809" s="8" t="str">
        <f t="shared" si="63"/>
        <v/>
      </c>
      <c r="F1809" s="8" t="str">
        <f t="shared" si="64"/>
        <v/>
      </c>
    </row>
    <row r="1810" spans="3:6" x14ac:dyDescent="0.3">
      <c r="C1810" s="8" t="str">
        <f t="shared" si="63"/>
        <v/>
      </c>
      <c r="F1810" s="8" t="str">
        <f t="shared" si="64"/>
        <v/>
      </c>
    </row>
    <row r="1811" spans="3:6" x14ac:dyDescent="0.3">
      <c r="C1811" s="8" t="str">
        <f t="shared" si="63"/>
        <v/>
      </c>
      <c r="F1811" s="8" t="str">
        <f t="shared" si="64"/>
        <v/>
      </c>
    </row>
    <row r="1812" spans="3:6" x14ac:dyDescent="0.3">
      <c r="C1812" s="8" t="str">
        <f t="shared" si="63"/>
        <v/>
      </c>
      <c r="F1812" s="8" t="str">
        <f t="shared" si="64"/>
        <v/>
      </c>
    </row>
    <row r="1813" spans="3:6" x14ac:dyDescent="0.3">
      <c r="C1813" s="8" t="str">
        <f t="shared" si="63"/>
        <v/>
      </c>
      <c r="F1813" s="8" t="str">
        <f t="shared" si="64"/>
        <v/>
      </c>
    </row>
    <row r="1814" spans="3:6" x14ac:dyDescent="0.3">
      <c r="C1814" s="8" t="str">
        <f t="shared" si="63"/>
        <v/>
      </c>
      <c r="F1814" s="8" t="str">
        <f t="shared" si="64"/>
        <v/>
      </c>
    </row>
    <row r="1815" spans="3:6" x14ac:dyDescent="0.3">
      <c r="C1815" s="8" t="str">
        <f t="shared" si="63"/>
        <v/>
      </c>
      <c r="F1815" s="8" t="str">
        <f t="shared" si="64"/>
        <v/>
      </c>
    </row>
    <row r="1816" spans="3:6" x14ac:dyDescent="0.3">
      <c r="C1816" s="8" t="str">
        <f t="shared" si="63"/>
        <v/>
      </c>
      <c r="F1816" s="8" t="str">
        <f t="shared" si="64"/>
        <v/>
      </c>
    </row>
    <row r="1817" spans="3:6" x14ac:dyDescent="0.3">
      <c r="C1817" s="8" t="str">
        <f t="shared" si="63"/>
        <v/>
      </c>
      <c r="F1817" s="8" t="str">
        <f t="shared" si="64"/>
        <v/>
      </c>
    </row>
    <row r="1818" spans="3:6" x14ac:dyDescent="0.3">
      <c r="C1818" s="8" t="str">
        <f t="shared" si="63"/>
        <v/>
      </c>
      <c r="F1818" s="8" t="str">
        <f t="shared" si="64"/>
        <v/>
      </c>
    </row>
    <row r="1819" spans="3:6" x14ac:dyDescent="0.3">
      <c r="C1819" s="8" t="str">
        <f t="shared" si="63"/>
        <v/>
      </c>
      <c r="F1819" s="8" t="str">
        <f t="shared" si="64"/>
        <v/>
      </c>
    </row>
    <row r="1820" spans="3:6" x14ac:dyDescent="0.3">
      <c r="C1820" s="8" t="str">
        <f t="shared" si="63"/>
        <v/>
      </c>
      <c r="F1820" s="8" t="str">
        <f t="shared" si="64"/>
        <v/>
      </c>
    </row>
    <row r="1821" spans="3:6" x14ac:dyDescent="0.3">
      <c r="C1821" s="8" t="str">
        <f t="shared" si="63"/>
        <v/>
      </c>
      <c r="F1821" s="8" t="str">
        <f t="shared" si="64"/>
        <v/>
      </c>
    </row>
    <row r="1822" spans="3:6" x14ac:dyDescent="0.3">
      <c r="C1822" s="8" t="str">
        <f t="shared" si="63"/>
        <v/>
      </c>
      <c r="F1822" s="8" t="str">
        <f t="shared" si="64"/>
        <v/>
      </c>
    </row>
    <row r="1823" spans="3:6" x14ac:dyDescent="0.3">
      <c r="C1823" s="8" t="str">
        <f t="shared" si="63"/>
        <v/>
      </c>
      <c r="F1823" s="8" t="str">
        <f t="shared" si="64"/>
        <v/>
      </c>
    </row>
    <row r="1824" spans="3:6" x14ac:dyDescent="0.3">
      <c r="C1824" s="8" t="str">
        <f t="shared" si="63"/>
        <v/>
      </c>
      <c r="F1824" s="8" t="str">
        <f t="shared" si="64"/>
        <v/>
      </c>
    </row>
    <row r="1825" spans="3:6" x14ac:dyDescent="0.3">
      <c r="C1825" s="8" t="str">
        <f t="shared" si="63"/>
        <v/>
      </c>
      <c r="F1825" s="8" t="str">
        <f t="shared" si="64"/>
        <v/>
      </c>
    </row>
    <row r="1826" spans="3:6" x14ac:dyDescent="0.3">
      <c r="C1826" s="8" t="str">
        <f t="shared" si="63"/>
        <v/>
      </c>
      <c r="F1826" s="8" t="str">
        <f t="shared" si="64"/>
        <v/>
      </c>
    </row>
    <row r="1827" spans="3:6" x14ac:dyDescent="0.3">
      <c r="C1827" s="8" t="str">
        <f t="shared" si="63"/>
        <v/>
      </c>
      <c r="F1827" s="8" t="str">
        <f t="shared" si="64"/>
        <v/>
      </c>
    </row>
    <row r="1828" spans="3:6" x14ac:dyDescent="0.3">
      <c r="C1828" s="8" t="str">
        <f t="shared" si="63"/>
        <v/>
      </c>
      <c r="F1828" s="8" t="str">
        <f t="shared" si="64"/>
        <v/>
      </c>
    </row>
    <row r="1829" spans="3:6" x14ac:dyDescent="0.3">
      <c r="C1829" s="8" t="str">
        <f t="shared" si="63"/>
        <v/>
      </c>
      <c r="F1829" s="8" t="str">
        <f t="shared" si="64"/>
        <v/>
      </c>
    </row>
    <row r="1830" spans="3:6" x14ac:dyDescent="0.3">
      <c r="C1830" s="8" t="str">
        <f t="shared" si="63"/>
        <v/>
      </c>
      <c r="F1830" s="8" t="str">
        <f t="shared" si="64"/>
        <v/>
      </c>
    </row>
    <row r="1831" spans="3:6" x14ac:dyDescent="0.3">
      <c r="C1831" s="8" t="str">
        <f t="shared" si="63"/>
        <v/>
      </c>
      <c r="F1831" s="8" t="str">
        <f t="shared" si="64"/>
        <v/>
      </c>
    </row>
    <row r="1832" spans="3:6" x14ac:dyDescent="0.3">
      <c r="C1832" s="8" t="str">
        <f t="shared" si="63"/>
        <v/>
      </c>
      <c r="F1832" s="8" t="str">
        <f t="shared" si="64"/>
        <v/>
      </c>
    </row>
    <row r="1833" spans="3:6" x14ac:dyDescent="0.3">
      <c r="C1833" s="8" t="str">
        <f t="shared" si="63"/>
        <v/>
      </c>
      <c r="F1833" s="8" t="str">
        <f t="shared" si="64"/>
        <v/>
      </c>
    </row>
    <row r="1834" spans="3:6" x14ac:dyDescent="0.3">
      <c r="C1834" s="8" t="str">
        <f t="shared" si="63"/>
        <v/>
      </c>
      <c r="F1834" s="8" t="str">
        <f t="shared" si="64"/>
        <v/>
      </c>
    </row>
    <row r="1835" spans="3:6" x14ac:dyDescent="0.3">
      <c r="C1835" s="8" t="str">
        <f t="shared" si="63"/>
        <v/>
      </c>
      <c r="F1835" s="8" t="str">
        <f t="shared" si="64"/>
        <v/>
      </c>
    </row>
    <row r="1836" spans="3:6" x14ac:dyDescent="0.3">
      <c r="C1836" s="8" t="str">
        <f t="shared" si="63"/>
        <v/>
      </c>
      <c r="F1836" s="8" t="str">
        <f t="shared" si="64"/>
        <v/>
      </c>
    </row>
    <row r="1837" spans="3:6" x14ac:dyDescent="0.3">
      <c r="C1837" s="8" t="str">
        <f t="shared" si="63"/>
        <v/>
      </c>
      <c r="F1837" s="8" t="str">
        <f t="shared" si="64"/>
        <v/>
      </c>
    </row>
    <row r="1838" spans="3:6" x14ac:dyDescent="0.3">
      <c r="C1838" s="8" t="str">
        <f t="shared" si="63"/>
        <v/>
      </c>
      <c r="F1838" s="8" t="str">
        <f t="shared" si="64"/>
        <v/>
      </c>
    </row>
    <row r="1839" spans="3:6" x14ac:dyDescent="0.3">
      <c r="C1839" s="8" t="str">
        <f t="shared" si="63"/>
        <v/>
      </c>
      <c r="F1839" s="8" t="str">
        <f t="shared" si="64"/>
        <v/>
      </c>
    </row>
    <row r="1840" spans="3:6" x14ac:dyDescent="0.3">
      <c r="C1840" s="8" t="str">
        <f t="shared" si="63"/>
        <v/>
      </c>
      <c r="F1840" s="8" t="str">
        <f t="shared" si="64"/>
        <v/>
      </c>
    </row>
    <row r="1841" spans="3:6" x14ac:dyDescent="0.3">
      <c r="C1841" s="8" t="str">
        <f t="shared" si="63"/>
        <v/>
      </c>
      <c r="F1841" s="8" t="str">
        <f t="shared" si="64"/>
        <v/>
      </c>
    </row>
    <row r="1842" spans="3:6" x14ac:dyDescent="0.3">
      <c r="C1842" s="8" t="str">
        <f t="shared" si="63"/>
        <v/>
      </c>
      <c r="F1842" s="8" t="str">
        <f t="shared" si="64"/>
        <v/>
      </c>
    </row>
    <row r="1843" spans="3:6" x14ac:dyDescent="0.3">
      <c r="C1843" s="8" t="str">
        <f t="shared" si="63"/>
        <v/>
      </c>
      <c r="F1843" s="8" t="str">
        <f t="shared" si="64"/>
        <v/>
      </c>
    </row>
    <row r="1844" spans="3:6" x14ac:dyDescent="0.3">
      <c r="C1844" s="8" t="str">
        <f t="shared" si="63"/>
        <v/>
      </c>
      <c r="F1844" s="8" t="str">
        <f t="shared" si="64"/>
        <v/>
      </c>
    </row>
    <row r="1845" spans="3:6" x14ac:dyDescent="0.3">
      <c r="C1845" s="8" t="str">
        <f t="shared" si="63"/>
        <v/>
      </c>
      <c r="F1845" s="8" t="str">
        <f t="shared" si="64"/>
        <v/>
      </c>
    </row>
    <row r="1846" spans="3:6" x14ac:dyDescent="0.3">
      <c r="C1846" s="8" t="str">
        <f t="shared" si="63"/>
        <v/>
      </c>
      <c r="F1846" s="8" t="str">
        <f t="shared" si="64"/>
        <v/>
      </c>
    </row>
    <row r="1847" spans="3:6" x14ac:dyDescent="0.3">
      <c r="C1847" s="8" t="str">
        <f t="shared" si="63"/>
        <v/>
      </c>
      <c r="F1847" s="8" t="str">
        <f t="shared" si="64"/>
        <v/>
      </c>
    </row>
    <row r="1848" spans="3:6" x14ac:dyDescent="0.3">
      <c r="C1848" s="8" t="str">
        <f t="shared" si="63"/>
        <v/>
      </c>
      <c r="F1848" s="8" t="str">
        <f t="shared" si="64"/>
        <v/>
      </c>
    </row>
    <row r="1849" spans="3:6" x14ac:dyDescent="0.3">
      <c r="C1849" s="8" t="str">
        <f t="shared" si="63"/>
        <v/>
      </c>
      <c r="F1849" s="8" t="str">
        <f t="shared" si="64"/>
        <v/>
      </c>
    </row>
    <row r="1850" spans="3:6" x14ac:dyDescent="0.3">
      <c r="C1850" s="8" t="str">
        <f t="shared" si="63"/>
        <v/>
      </c>
      <c r="F1850" s="8" t="str">
        <f t="shared" si="64"/>
        <v/>
      </c>
    </row>
    <row r="1851" spans="3:6" x14ac:dyDescent="0.3">
      <c r="C1851" s="8" t="str">
        <f t="shared" si="63"/>
        <v/>
      </c>
      <c r="F1851" s="8" t="str">
        <f t="shared" si="64"/>
        <v/>
      </c>
    </row>
    <row r="1852" spans="3:6" x14ac:dyDescent="0.3">
      <c r="C1852" s="8" t="str">
        <f t="shared" si="63"/>
        <v/>
      </c>
      <c r="F1852" s="8" t="str">
        <f t="shared" si="64"/>
        <v/>
      </c>
    </row>
    <row r="1853" spans="3:6" x14ac:dyDescent="0.3">
      <c r="C1853" s="8" t="str">
        <f t="shared" si="63"/>
        <v/>
      </c>
      <c r="F1853" s="8" t="str">
        <f t="shared" si="64"/>
        <v/>
      </c>
    </row>
    <row r="1854" spans="3:6" x14ac:dyDescent="0.3">
      <c r="C1854" s="8" t="str">
        <f t="shared" si="63"/>
        <v/>
      </c>
      <c r="F1854" s="8" t="str">
        <f t="shared" si="64"/>
        <v/>
      </c>
    </row>
    <row r="1855" spans="3:6" x14ac:dyDescent="0.3">
      <c r="C1855" s="8" t="str">
        <f t="shared" si="63"/>
        <v/>
      </c>
      <c r="F1855" s="8" t="str">
        <f t="shared" si="64"/>
        <v/>
      </c>
    </row>
    <row r="1856" spans="3:6" x14ac:dyDescent="0.3">
      <c r="C1856" s="8" t="str">
        <f t="shared" si="63"/>
        <v/>
      </c>
      <c r="F1856" s="8" t="str">
        <f t="shared" si="64"/>
        <v/>
      </c>
    </row>
    <row r="1857" spans="3:6" x14ac:dyDescent="0.3">
      <c r="C1857" s="8" t="str">
        <f t="shared" si="63"/>
        <v/>
      </c>
      <c r="F1857" s="8" t="str">
        <f t="shared" si="64"/>
        <v/>
      </c>
    </row>
    <row r="1858" spans="3:6" x14ac:dyDescent="0.3">
      <c r="C1858" s="8" t="str">
        <f t="shared" si="63"/>
        <v/>
      </c>
      <c r="F1858" s="8" t="str">
        <f t="shared" si="64"/>
        <v/>
      </c>
    </row>
    <row r="1859" spans="3:6" x14ac:dyDescent="0.3">
      <c r="C1859" s="8" t="str">
        <f t="shared" si="63"/>
        <v/>
      </c>
      <c r="F1859" s="8" t="str">
        <f t="shared" si="64"/>
        <v/>
      </c>
    </row>
    <row r="1860" spans="3:6" x14ac:dyDescent="0.3">
      <c r="C1860" s="8" t="str">
        <f t="shared" si="63"/>
        <v/>
      </c>
      <c r="F1860" s="8" t="str">
        <f t="shared" si="64"/>
        <v/>
      </c>
    </row>
    <row r="1861" spans="3:6" x14ac:dyDescent="0.3">
      <c r="C1861" s="8" t="str">
        <f t="shared" si="63"/>
        <v/>
      </c>
      <c r="F1861" s="8" t="str">
        <f t="shared" si="64"/>
        <v/>
      </c>
    </row>
    <row r="1862" spans="3:6" x14ac:dyDescent="0.3">
      <c r="C1862" s="8" t="str">
        <f t="shared" si="63"/>
        <v/>
      </c>
      <c r="F1862" s="8" t="str">
        <f t="shared" si="64"/>
        <v/>
      </c>
    </row>
    <row r="1863" spans="3:6" x14ac:dyDescent="0.3">
      <c r="C1863" s="8" t="str">
        <f t="shared" si="63"/>
        <v/>
      </c>
      <c r="F1863" s="8" t="str">
        <f t="shared" si="64"/>
        <v/>
      </c>
    </row>
    <row r="1864" spans="3:6" x14ac:dyDescent="0.3">
      <c r="C1864" s="8" t="str">
        <f t="shared" si="63"/>
        <v/>
      </c>
      <c r="F1864" s="8" t="str">
        <f t="shared" si="64"/>
        <v/>
      </c>
    </row>
    <row r="1865" spans="3:6" x14ac:dyDescent="0.3">
      <c r="C1865" s="8" t="str">
        <f t="shared" si="63"/>
        <v/>
      </c>
      <c r="F1865" s="8" t="str">
        <f t="shared" si="64"/>
        <v/>
      </c>
    </row>
    <row r="1866" spans="3:6" x14ac:dyDescent="0.3">
      <c r="C1866" s="8" t="str">
        <f t="shared" si="63"/>
        <v/>
      </c>
      <c r="F1866" s="8" t="str">
        <f t="shared" si="64"/>
        <v/>
      </c>
    </row>
    <row r="1867" spans="3:6" x14ac:dyDescent="0.3">
      <c r="C1867" s="8" t="str">
        <f t="shared" si="63"/>
        <v/>
      </c>
      <c r="F1867" s="8" t="str">
        <f t="shared" si="64"/>
        <v/>
      </c>
    </row>
    <row r="1868" spans="3:6" x14ac:dyDescent="0.3">
      <c r="C1868" s="8" t="str">
        <f t="shared" ref="C1868:C1931" si="65">IF(B1868="PBHAv1.0","PCB"&amp;TEXT(A1868,"yyyymmdd")&amp;"-01",IF(B1868="SBCT","SBCT"&amp;TEXT(A1868,"yyyymmdd"),IF(B1868="SCRA","SCRA"&amp;TEXT(A1868,"yyyymmdd"),"")))</f>
        <v/>
      </c>
      <c r="F1868" s="8" t="str">
        <f t="shared" ref="F1868:F1931" si="66">IF(ISBLANK(B1868),"",IF(B1868="PBHAv1.0",IF(OR(ISBLANK(D1868),ISBLANK(E1868)),"",IF(AND(D1868&gt;=360,D1868&lt;=460,E1868&lt;=0.4),"적합","부적합")),IF(ISBLANK(D1868),"",IF(B1868="SBCT",IF(AND(D1868&gt;=170,D1868&lt;=220),"적합","부적합"),IF(B1868="SCRA",IF(AND(D1868&gt;=50,D1868&lt;=70),"적합","부적합"),"")))))</f>
        <v/>
      </c>
    </row>
    <row r="1869" spans="3:6" x14ac:dyDescent="0.3">
      <c r="C1869" s="8" t="str">
        <f t="shared" si="65"/>
        <v/>
      </c>
      <c r="F1869" s="8" t="str">
        <f t="shared" si="66"/>
        <v/>
      </c>
    </row>
    <row r="1870" spans="3:6" x14ac:dyDescent="0.3">
      <c r="C1870" s="8" t="str">
        <f t="shared" si="65"/>
        <v/>
      </c>
      <c r="F1870" s="8" t="str">
        <f t="shared" si="66"/>
        <v/>
      </c>
    </row>
    <row r="1871" spans="3:6" x14ac:dyDescent="0.3">
      <c r="C1871" s="8" t="str">
        <f t="shared" si="65"/>
        <v/>
      </c>
      <c r="F1871" s="8" t="str">
        <f t="shared" si="66"/>
        <v/>
      </c>
    </row>
    <row r="1872" spans="3:6" x14ac:dyDescent="0.3">
      <c r="C1872" s="8" t="str">
        <f t="shared" si="65"/>
        <v/>
      </c>
      <c r="F1872" s="8" t="str">
        <f t="shared" si="66"/>
        <v/>
      </c>
    </row>
    <row r="1873" spans="3:6" x14ac:dyDescent="0.3">
      <c r="C1873" s="8" t="str">
        <f t="shared" si="65"/>
        <v/>
      </c>
      <c r="F1873" s="8" t="str">
        <f t="shared" si="66"/>
        <v/>
      </c>
    </row>
    <row r="1874" spans="3:6" x14ac:dyDescent="0.3">
      <c r="C1874" s="8" t="str">
        <f t="shared" si="65"/>
        <v/>
      </c>
      <c r="F1874" s="8" t="str">
        <f t="shared" si="66"/>
        <v/>
      </c>
    </row>
    <row r="1875" spans="3:6" x14ac:dyDescent="0.3">
      <c r="C1875" s="8" t="str">
        <f t="shared" si="65"/>
        <v/>
      </c>
      <c r="F1875" s="8" t="str">
        <f t="shared" si="66"/>
        <v/>
      </c>
    </row>
    <row r="1876" spans="3:6" x14ac:dyDescent="0.3">
      <c r="C1876" s="8" t="str">
        <f t="shared" si="65"/>
        <v/>
      </c>
      <c r="F1876" s="8" t="str">
        <f t="shared" si="66"/>
        <v/>
      </c>
    </row>
    <row r="1877" spans="3:6" x14ac:dyDescent="0.3">
      <c r="C1877" s="8" t="str">
        <f t="shared" si="65"/>
        <v/>
      </c>
      <c r="F1877" s="8" t="str">
        <f t="shared" si="66"/>
        <v/>
      </c>
    </row>
    <row r="1878" spans="3:6" x14ac:dyDescent="0.3">
      <c r="C1878" s="8" t="str">
        <f t="shared" si="65"/>
        <v/>
      </c>
      <c r="F1878" s="8" t="str">
        <f t="shared" si="66"/>
        <v/>
      </c>
    </row>
    <row r="1879" spans="3:6" x14ac:dyDescent="0.3">
      <c r="C1879" s="8" t="str">
        <f t="shared" si="65"/>
        <v/>
      </c>
      <c r="F1879" s="8" t="str">
        <f t="shared" si="66"/>
        <v/>
      </c>
    </row>
    <row r="1880" spans="3:6" x14ac:dyDescent="0.3">
      <c r="C1880" s="8" t="str">
        <f t="shared" si="65"/>
        <v/>
      </c>
      <c r="F1880" s="8" t="str">
        <f t="shared" si="66"/>
        <v/>
      </c>
    </row>
    <row r="1881" spans="3:6" x14ac:dyDescent="0.3">
      <c r="C1881" s="8" t="str">
        <f t="shared" si="65"/>
        <v/>
      </c>
      <c r="F1881" s="8" t="str">
        <f t="shared" si="66"/>
        <v/>
      </c>
    </row>
    <row r="1882" spans="3:6" x14ac:dyDescent="0.3">
      <c r="C1882" s="8" t="str">
        <f t="shared" si="65"/>
        <v/>
      </c>
      <c r="F1882" s="8" t="str">
        <f t="shared" si="66"/>
        <v/>
      </c>
    </row>
    <row r="1883" spans="3:6" x14ac:dyDescent="0.3">
      <c r="C1883" s="8" t="str">
        <f t="shared" si="65"/>
        <v/>
      </c>
      <c r="F1883" s="8" t="str">
        <f t="shared" si="66"/>
        <v/>
      </c>
    </row>
    <row r="1884" spans="3:6" x14ac:dyDescent="0.3">
      <c r="C1884" s="8" t="str">
        <f t="shared" si="65"/>
        <v/>
      </c>
      <c r="F1884" s="8" t="str">
        <f t="shared" si="66"/>
        <v/>
      </c>
    </row>
    <row r="1885" spans="3:6" x14ac:dyDescent="0.3">
      <c r="C1885" s="8" t="str">
        <f t="shared" si="65"/>
        <v/>
      </c>
      <c r="F1885" s="8" t="str">
        <f t="shared" si="66"/>
        <v/>
      </c>
    </row>
    <row r="1886" spans="3:6" x14ac:dyDescent="0.3">
      <c r="C1886" s="8" t="str">
        <f t="shared" si="65"/>
        <v/>
      </c>
      <c r="F1886" s="8" t="str">
        <f t="shared" si="66"/>
        <v/>
      </c>
    </row>
    <row r="1887" spans="3:6" x14ac:dyDescent="0.3">
      <c r="C1887" s="8" t="str">
        <f t="shared" si="65"/>
        <v/>
      </c>
      <c r="F1887" s="8" t="str">
        <f t="shared" si="66"/>
        <v/>
      </c>
    </row>
    <row r="1888" spans="3:6" x14ac:dyDescent="0.3">
      <c r="C1888" s="8" t="str">
        <f t="shared" si="65"/>
        <v/>
      </c>
      <c r="F1888" s="8" t="str">
        <f t="shared" si="66"/>
        <v/>
      </c>
    </row>
    <row r="1889" spans="3:6" x14ac:dyDescent="0.3">
      <c r="C1889" s="8" t="str">
        <f t="shared" si="65"/>
        <v/>
      </c>
      <c r="F1889" s="8" t="str">
        <f t="shared" si="66"/>
        <v/>
      </c>
    </row>
    <row r="1890" spans="3:6" x14ac:dyDescent="0.3">
      <c r="C1890" s="8" t="str">
        <f t="shared" si="65"/>
        <v/>
      </c>
      <c r="F1890" s="8" t="str">
        <f t="shared" si="66"/>
        <v/>
      </c>
    </row>
    <row r="1891" spans="3:6" x14ac:dyDescent="0.3">
      <c r="C1891" s="8" t="str">
        <f t="shared" si="65"/>
        <v/>
      </c>
      <c r="F1891" s="8" t="str">
        <f t="shared" si="66"/>
        <v/>
      </c>
    </row>
    <row r="1892" spans="3:6" x14ac:dyDescent="0.3">
      <c r="C1892" s="8" t="str">
        <f t="shared" si="65"/>
        <v/>
      </c>
      <c r="F1892" s="8" t="str">
        <f t="shared" si="66"/>
        <v/>
      </c>
    </row>
    <row r="1893" spans="3:6" x14ac:dyDescent="0.3">
      <c r="C1893" s="8" t="str">
        <f t="shared" si="65"/>
        <v/>
      </c>
      <c r="F1893" s="8" t="str">
        <f t="shared" si="66"/>
        <v/>
      </c>
    </row>
    <row r="1894" spans="3:6" x14ac:dyDescent="0.3">
      <c r="C1894" s="8" t="str">
        <f t="shared" si="65"/>
        <v/>
      </c>
      <c r="F1894" s="8" t="str">
        <f t="shared" si="66"/>
        <v/>
      </c>
    </row>
    <row r="1895" spans="3:6" x14ac:dyDescent="0.3">
      <c r="C1895" s="8" t="str">
        <f t="shared" si="65"/>
        <v/>
      </c>
      <c r="F1895" s="8" t="str">
        <f t="shared" si="66"/>
        <v/>
      </c>
    </row>
    <row r="1896" spans="3:6" x14ac:dyDescent="0.3">
      <c r="C1896" s="8" t="str">
        <f t="shared" si="65"/>
        <v/>
      </c>
      <c r="F1896" s="8" t="str">
        <f t="shared" si="66"/>
        <v/>
      </c>
    </row>
    <row r="1897" spans="3:6" x14ac:dyDescent="0.3">
      <c r="C1897" s="8" t="str">
        <f t="shared" si="65"/>
        <v/>
      </c>
      <c r="F1897" s="8" t="str">
        <f t="shared" si="66"/>
        <v/>
      </c>
    </row>
    <row r="1898" spans="3:6" x14ac:dyDescent="0.3">
      <c r="C1898" s="8" t="str">
        <f t="shared" si="65"/>
        <v/>
      </c>
      <c r="F1898" s="8" t="str">
        <f t="shared" si="66"/>
        <v/>
      </c>
    </row>
    <row r="1899" spans="3:6" x14ac:dyDescent="0.3">
      <c r="C1899" s="8" t="str">
        <f t="shared" si="65"/>
        <v/>
      </c>
      <c r="F1899" s="8" t="str">
        <f t="shared" si="66"/>
        <v/>
      </c>
    </row>
    <row r="1900" spans="3:6" x14ac:dyDescent="0.3">
      <c r="C1900" s="8" t="str">
        <f t="shared" si="65"/>
        <v/>
      </c>
      <c r="F1900" s="8" t="str">
        <f t="shared" si="66"/>
        <v/>
      </c>
    </row>
    <row r="1901" spans="3:6" x14ac:dyDescent="0.3">
      <c r="C1901" s="8" t="str">
        <f t="shared" si="65"/>
        <v/>
      </c>
      <c r="F1901" s="8" t="str">
        <f t="shared" si="66"/>
        <v/>
      </c>
    </row>
    <row r="1902" spans="3:6" x14ac:dyDescent="0.3">
      <c r="C1902" s="8" t="str">
        <f t="shared" si="65"/>
        <v/>
      </c>
      <c r="F1902" s="8" t="str">
        <f t="shared" si="66"/>
        <v/>
      </c>
    </row>
    <row r="1903" spans="3:6" x14ac:dyDescent="0.3">
      <c r="C1903" s="8" t="str">
        <f t="shared" si="65"/>
        <v/>
      </c>
      <c r="F1903" s="8" t="str">
        <f t="shared" si="66"/>
        <v/>
      </c>
    </row>
    <row r="1904" spans="3:6" x14ac:dyDescent="0.3">
      <c r="C1904" s="8" t="str">
        <f t="shared" si="65"/>
        <v/>
      </c>
      <c r="F1904" s="8" t="str">
        <f t="shared" si="66"/>
        <v/>
      </c>
    </row>
    <row r="1905" spans="3:6" x14ac:dyDescent="0.3">
      <c r="C1905" s="8" t="str">
        <f t="shared" si="65"/>
        <v/>
      </c>
      <c r="F1905" s="8" t="str">
        <f t="shared" si="66"/>
        <v/>
      </c>
    </row>
    <row r="1906" spans="3:6" x14ac:dyDescent="0.3">
      <c r="C1906" s="8" t="str">
        <f t="shared" si="65"/>
        <v/>
      </c>
      <c r="F1906" s="8" t="str">
        <f t="shared" si="66"/>
        <v/>
      </c>
    </row>
    <row r="1907" spans="3:6" x14ac:dyDescent="0.3">
      <c r="C1907" s="8" t="str">
        <f t="shared" si="65"/>
        <v/>
      </c>
      <c r="F1907" s="8" t="str">
        <f t="shared" si="66"/>
        <v/>
      </c>
    </row>
    <row r="1908" spans="3:6" x14ac:dyDescent="0.3">
      <c r="C1908" s="8" t="str">
        <f t="shared" si="65"/>
        <v/>
      </c>
      <c r="F1908" s="8" t="str">
        <f t="shared" si="66"/>
        <v/>
      </c>
    </row>
    <row r="1909" spans="3:6" x14ac:dyDescent="0.3">
      <c r="C1909" s="8" t="str">
        <f t="shared" si="65"/>
        <v/>
      </c>
      <c r="F1909" s="8" t="str">
        <f t="shared" si="66"/>
        <v/>
      </c>
    </row>
    <row r="1910" spans="3:6" x14ac:dyDescent="0.3">
      <c r="C1910" s="8" t="str">
        <f t="shared" si="65"/>
        <v/>
      </c>
      <c r="F1910" s="8" t="str">
        <f t="shared" si="66"/>
        <v/>
      </c>
    </row>
    <row r="1911" spans="3:6" x14ac:dyDescent="0.3">
      <c r="C1911" s="8" t="str">
        <f t="shared" si="65"/>
        <v/>
      </c>
      <c r="F1911" s="8" t="str">
        <f t="shared" si="66"/>
        <v/>
      </c>
    </row>
    <row r="1912" spans="3:6" x14ac:dyDescent="0.3">
      <c r="C1912" s="8" t="str">
        <f t="shared" si="65"/>
        <v/>
      </c>
      <c r="F1912" s="8" t="str">
        <f t="shared" si="66"/>
        <v/>
      </c>
    </row>
    <row r="1913" spans="3:6" x14ac:dyDescent="0.3">
      <c r="C1913" s="8" t="str">
        <f t="shared" si="65"/>
        <v/>
      </c>
      <c r="F1913" s="8" t="str">
        <f t="shared" si="66"/>
        <v/>
      </c>
    </row>
    <row r="1914" spans="3:6" x14ac:dyDescent="0.3">
      <c r="C1914" s="8" t="str">
        <f t="shared" si="65"/>
        <v/>
      </c>
      <c r="F1914" s="8" t="str">
        <f t="shared" si="66"/>
        <v/>
      </c>
    </row>
    <row r="1915" spans="3:6" x14ac:dyDescent="0.3">
      <c r="C1915" s="8" t="str">
        <f t="shared" si="65"/>
        <v/>
      </c>
      <c r="F1915" s="8" t="str">
        <f t="shared" si="66"/>
        <v/>
      </c>
    </row>
    <row r="1916" spans="3:6" x14ac:dyDescent="0.3">
      <c r="C1916" s="8" t="str">
        <f t="shared" si="65"/>
        <v/>
      </c>
      <c r="F1916" s="8" t="str">
        <f t="shared" si="66"/>
        <v/>
      </c>
    </row>
    <row r="1917" spans="3:6" x14ac:dyDescent="0.3">
      <c r="C1917" s="8" t="str">
        <f t="shared" si="65"/>
        <v/>
      </c>
      <c r="F1917" s="8" t="str">
        <f t="shared" si="66"/>
        <v/>
      </c>
    </row>
    <row r="1918" spans="3:6" x14ac:dyDescent="0.3">
      <c r="C1918" s="8" t="str">
        <f t="shared" si="65"/>
        <v/>
      </c>
      <c r="F1918" s="8" t="str">
        <f t="shared" si="66"/>
        <v/>
      </c>
    </row>
    <row r="1919" spans="3:6" x14ac:dyDescent="0.3">
      <c r="C1919" s="8" t="str">
        <f t="shared" si="65"/>
        <v/>
      </c>
      <c r="F1919" s="8" t="str">
        <f t="shared" si="66"/>
        <v/>
      </c>
    </row>
    <row r="1920" spans="3:6" x14ac:dyDescent="0.3">
      <c r="C1920" s="8" t="str">
        <f t="shared" si="65"/>
        <v/>
      </c>
      <c r="F1920" s="8" t="str">
        <f t="shared" si="66"/>
        <v/>
      </c>
    </row>
    <row r="1921" spans="3:6" x14ac:dyDescent="0.3">
      <c r="C1921" s="8" t="str">
        <f t="shared" si="65"/>
        <v/>
      </c>
      <c r="F1921" s="8" t="str">
        <f t="shared" si="66"/>
        <v/>
      </c>
    </row>
    <row r="1922" spans="3:6" x14ac:dyDescent="0.3">
      <c r="C1922" s="8" t="str">
        <f t="shared" si="65"/>
        <v/>
      </c>
      <c r="F1922" s="8" t="str">
        <f t="shared" si="66"/>
        <v/>
      </c>
    </row>
    <row r="1923" spans="3:6" x14ac:dyDescent="0.3">
      <c r="C1923" s="8" t="str">
        <f t="shared" si="65"/>
        <v/>
      </c>
      <c r="F1923" s="8" t="str">
        <f t="shared" si="66"/>
        <v/>
      </c>
    </row>
    <row r="1924" spans="3:6" x14ac:dyDescent="0.3">
      <c r="C1924" s="8" t="str">
        <f t="shared" si="65"/>
        <v/>
      </c>
      <c r="F1924" s="8" t="str">
        <f t="shared" si="66"/>
        <v/>
      </c>
    </row>
    <row r="1925" spans="3:6" x14ac:dyDescent="0.3">
      <c r="C1925" s="8" t="str">
        <f t="shared" si="65"/>
        <v/>
      </c>
      <c r="F1925" s="8" t="str">
        <f t="shared" si="66"/>
        <v/>
      </c>
    </row>
    <row r="1926" spans="3:6" x14ac:dyDescent="0.3">
      <c r="C1926" s="8" t="str">
        <f t="shared" si="65"/>
        <v/>
      </c>
      <c r="F1926" s="8" t="str">
        <f t="shared" si="66"/>
        <v/>
      </c>
    </row>
    <row r="1927" spans="3:6" x14ac:dyDescent="0.3">
      <c r="C1927" s="8" t="str">
        <f t="shared" si="65"/>
        <v/>
      </c>
      <c r="F1927" s="8" t="str">
        <f t="shared" si="66"/>
        <v/>
      </c>
    </row>
    <row r="1928" spans="3:6" x14ac:dyDescent="0.3">
      <c r="C1928" s="8" t="str">
        <f t="shared" si="65"/>
        <v/>
      </c>
      <c r="F1928" s="8" t="str">
        <f t="shared" si="66"/>
        <v/>
      </c>
    </row>
    <row r="1929" spans="3:6" x14ac:dyDescent="0.3">
      <c r="C1929" s="8" t="str">
        <f t="shared" si="65"/>
        <v/>
      </c>
      <c r="F1929" s="8" t="str">
        <f t="shared" si="66"/>
        <v/>
      </c>
    </row>
    <row r="1930" spans="3:6" x14ac:dyDescent="0.3">
      <c r="C1930" s="8" t="str">
        <f t="shared" si="65"/>
        <v/>
      </c>
      <c r="F1930" s="8" t="str">
        <f t="shared" si="66"/>
        <v/>
      </c>
    </row>
    <row r="1931" spans="3:6" x14ac:dyDescent="0.3">
      <c r="C1931" s="8" t="str">
        <f t="shared" si="65"/>
        <v/>
      </c>
      <c r="F1931" s="8" t="str">
        <f t="shared" si="66"/>
        <v/>
      </c>
    </row>
    <row r="1932" spans="3:6" x14ac:dyDescent="0.3">
      <c r="C1932" s="8" t="str">
        <f t="shared" ref="C1932:C1995" si="67">IF(B1932="PBHAv1.0","PCB"&amp;TEXT(A1932,"yyyymmdd")&amp;"-01",IF(B1932="SBCT","SBCT"&amp;TEXT(A1932,"yyyymmdd"),IF(B1932="SCRA","SCRA"&amp;TEXT(A1932,"yyyymmdd"),"")))</f>
        <v/>
      </c>
      <c r="F1932" s="8" t="str">
        <f t="shared" ref="F1932:F1995" si="68">IF(ISBLANK(B1932),"",IF(B1932="PBHAv1.0",IF(OR(ISBLANK(D1932),ISBLANK(E1932)),"",IF(AND(D1932&gt;=360,D1932&lt;=460,E1932&lt;=0.4),"적합","부적합")),IF(ISBLANK(D1932),"",IF(B1932="SBCT",IF(AND(D1932&gt;=170,D1932&lt;=220),"적합","부적합"),IF(B1932="SCRA",IF(AND(D1932&gt;=50,D1932&lt;=70),"적합","부적합"),"")))))</f>
        <v/>
      </c>
    </row>
    <row r="1933" spans="3:6" x14ac:dyDescent="0.3">
      <c r="C1933" s="8" t="str">
        <f t="shared" si="67"/>
        <v/>
      </c>
      <c r="F1933" s="8" t="str">
        <f t="shared" si="68"/>
        <v/>
      </c>
    </row>
    <row r="1934" spans="3:6" x14ac:dyDescent="0.3">
      <c r="C1934" s="8" t="str">
        <f t="shared" si="67"/>
        <v/>
      </c>
      <c r="F1934" s="8" t="str">
        <f t="shared" si="68"/>
        <v/>
      </c>
    </row>
    <row r="1935" spans="3:6" x14ac:dyDescent="0.3">
      <c r="C1935" s="8" t="str">
        <f t="shared" si="67"/>
        <v/>
      </c>
      <c r="F1935" s="8" t="str">
        <f t="shared" si="68"/>
        <v/>
      </c>
    </row>
    <row r="1936" spans="3:6" x14ac:dyDescent="0.3">
      <c r="C1936" s="8" t="str">
        <f t="shared" si="67"/>
        <v/>
      </c>
      <c r="F1936" s="8" t="str">
        <f t="shared" si="68"/>
        <v/>
      </c>
    </row>
    <row r="1937" spans="3:6" x14ac:dyDescent="0.3">
      <c r="C1937" s="8" t="str">
        <f t="shared" si="67"/>
        <v/>
      </c>
      <c r="F1937" s="8" t="str">
        <f t="shared" si="68"/>
        <v/>
      </c>
    </row>
    <row r="1938" spans="3:6" x14ac:dyDescent="0.3">
      <c r="C1938" s="8" t="str">
        <f t="shared" si="67"/>
        <v/>
      </c>
      <c r="F1938" s="8" t="str">
        <f t="shared" si="68"/>
        <v/>
      </c>
    </row>
    <row r="1939" spans="3:6" x14ac:dyDescent="0.3">
      <c r="C1939" s="8" t="str">
        <f t="shared" si="67"/>
        <v/>
      </c>
      <c r="F1939" s="8" t="str">
        <f t="shared" si="68"/>
        <v/>
      </c>
    </row>
    <row r="1940" spans="3:6" x14ac:dyDescent="0.3">
      <c r="C1940" s="8" t="str">
        <f t="shared" si="67"/>
        <v/>
      </c>
      <c r="F1940" s="8" t="str">
        <f t="shared" si="68"/>
        <v/>
      </c>
    </row>
    <row r="1941" spans="3:6" x14ac:dyDescent="0.3">
      <c r="C1941" s="8" t="str">
        <f t="shared" si="67"/>
        <v/>
      </c>
      <c r="F1941" s="8" t="str">
        <f t="shared" si="68"/>
        <v/>
      </c>
    </row>
    <row r="1942" spans="3:6" x14ac:dyDescent="0.3">
      <c r="C1942" s="8" t="str">
        <f t="shared" si="67"/>
        <v/>
      </c>
      <c r="F1942" s="8" t="str">
        <f t="shared" si="68"/>
        <v/>
      </c>
    </row>
    <row r="1943" spans="3:6" x14ac:dyDescent="0.3">
      <c r="C1943" s="8" t="str">
        <f t="shared" si="67"/>
        <v/>
      </c>
      <c r="F1943" s="8" t="str">
        <f t="shared" si="68"/>
        <v/>
      </c>
    </row>
    <row r="1944" spans="3:6" x14ac:dyDescent="0.3">
      <c r="C1944" s="8" t="str">
        <f t="shared" si="67"/>
        <v/>
      </c>
      <c r="F1944" s="8" t="str">
        <f t="shared" si="68"/>
        <v/>
      </c>
    </row>
    <row r="1945" spans="3:6" x14ac:dyDescent="0.3">
      <c r="C1945" s="8" t="str">
        <f t="shared" si="67"/>
        <v/>
      </c>
      <c r="F1945" s="8" t="str">
        <f t="shared" si="68"/>
        <v/>
      </c>
    </row>
    <row r="1946" spans="3:6" x14ac:dyDescent="0.3">
      <c r="C1946" s="8" t="str">
        <f t="shared" si="67"/>
        <v/>
      </c>
      <c r="F1946" s="8" t="str">
        <f t="shared" si="68"/>
        <v/>
      </c>
    </row>
    <row r="1947" spans="3:6" x14ac:dyDescent="0.3">
      <c r="C1947" s="8" t="str">
        <f t="shared" si="67"/>
        <v/>
      </c>
      <c r="F1947" s="8" t="str">
        <f t="shared" si="68"/>
        <v/>
      </c>
    </row>
    <row r="1948" spans="3:6" x14ac:dyDescent="0.3">
      <c r="C1948" s="8" t="str">
        <f t="shared" si="67"/>
        <v/>
      </c>
      <c r="F1948" s="8" t="str">
        <f t="shared" si="68"/>
        <v/>
      </c>
    </row>
    <row r="1949" spans="3:6" x14ac:dyDescent="0.3">
      <c r="C1949" s="8" t="str">
        <f t="shared" si="67"/>
        <v/>
      </c>
      <c r="F1949" s="8" t="str">
        <f t="shared" si="68"/>
        <v/>
      </c>
    </row>
    <row r="1950" spans="3:6" x14ac:dyDescent="0.3">
      <c r="C1950" s="8" t="str">
        <f t="shared" si="67"/>
        <v/>
      </c>
      <c r="F1950" s="8" t="str">
        <f t="shared" si="68"/>
        <v/>
      </c>
    </row>
    <row r="1951" spans="3:6" x14ac:dyDescent="0.3">
      <c r="C1951" s="8" t="str">
        <f t="shared" si="67"/>
        <v/>
      </c>
      <c r="F1951" s="8" t="str">
        <f t="shared" si="68"/>
        <v/>
      </c>
    </row>
    <row r="1952" spans="3:6" x14ac:dyDescent="0.3">
      <c r="C1952" s="8" t="str">
        <f t="shared" si="67"/>
        <v/>
      </c>
      <c r="F1952" s="8" t="str">
        <f t="shared" si="68"/>
        <v/>
      </c>
    </row>
    <row r="1953" spans="3:6" x14ac:dyDescent="0.3">
      <c r="C1953" s="8" t="str">
        <f t="shared" si="67"/>
        <v/>
      </c>
      <c r="F1953" s="8" t="str">
        <f t="shared" si="68"/>
        <v/>
      </c>
    </row>
    <row r="1954" spans="3:6" x14ac:dyDescent="0.3">
      <c r="C1954" s="8" t="str">
        <f t="shared" si="67"/>
        <v/>
      </c>
      <c r="F1954" s="8" t="str">
        <f t="shared" si="68"/>
        <v/>
      </c>
    </row>
    <row r="1955" spans="3:6" x14ac:dyDescent="0.3">
      <c r="C1955" s="8" t="str">
        <f t="shared" si="67"/>
        <v/>
      </c>
      <c r="F1955" s="8" t="str">
        <f t="shared" si="68"/>
        <v/>
      </c>
    </row>
    <row r="1956" spans="3:6" x14ac:dyDescent="0.3">
      <c r="C1956" s="8" t="str">
        <f t="shared" si="67"/>
        <v/>
      </c>
      <c r="F1956" s="8" t="str">
        <f t="shared" si="68"/>
        <v/>
      </c>
    </row>
    <row r="1957" spans="3:6" x14ac:dyDescent="0.3">
      <c r="C1957" s="8" t="str">
        <f t="shared" si="67"/>
        <v/>
      </c>
      <c r="F1957" s="8" t="str">
        <f t="shared" si="68"/>
        <v/>
      </c>
    </row>
    <row r="1958" spans="3:6" x14ac:dyDescent="0.3">
      <c r="C1958" s="8" t="str">
        <f t="shared" si="67"/>
        <v/>
      </c>
      <c r="F1958" s="8" t="str">
        <f t="shared" si="68"/>
        <v/>
      </c>
    </row>
    <row r="1959" spans="3:6" x14ac:dyDescent="0.3">
      <c r="C1959" s="8" t="str">
        <f t="shared" si="67"/>
        <v/>
      </c>
      <c r="F1959" s="8" t="str">
        <f t="shared" si="68"/>
        <v/>
      </c>
    </row>
    <row r="1960" spans="3:6" x14ac:dyDescent="0.3">
      <c r="C1960" s="8" t="str">
        <f t="shared" si="67"/>
        <v/>
      </c>
      <c r="F1960" s="8" t="str">
        <f t="shared" si="68"/>
        <v/>
      </c>
    </row>
    <row r="1961" spans="3:6" x14ac:dyDescent="0.3">
      <c r="C1961" s="8" t="str">
        <f t="shared" si="67"/>
        <v/>
      </c>
      <c r="F1961" s="8" t="str">
        <f t="shared" si="68"/>
        <v/>
      </c>
    </row>
    <row r="1962" spans="3:6" x14ac:dyDescent="0.3">
      <c r="C1962" s="8" t="str">
        <f t="shared" si="67"/>
        <v/>
      </c>
      <c r="F1962" s="8" t="str">
        <f t="shared" si="68"/>
        <v/>
      </c>
    </row>
    <row r="1963" spans="3:6" x14ac:dyDescent="0.3">
      <c r="C1963" s="8" t="str">
        <f t="shared" si="67"/>
        <v/>
      </c>
      <c r="F1963" s="8" t="str">
        <f t="shared" si="68"/>
        <v/>
      </c>
    </row>
    <row r="1964" spans="3:6" x14ac:dyDescent="0.3">
      <c r="C1964" s="8" t="str">
        <f t="shared" si="67"/>
        <v/>
      </c>
      <c r="F1964" s="8" t="str">
        <f t="shared" si="68"/>
        <v/>
      </c>
    </row>
    <row r="1965" spans="3:6" x14ac:dyDescent="0.3">
      <c r="C1965" s="8" t="str">
        <f t="shared" si="67"/>
        <v/>
      </c>
      <c r="F1965" s="8" t="str">
        <f t="shared" si="68"/>
        <v/>
      </c>
    </row>
    <row r="1966" spans="3:6" x14ac:dyDescent="0.3">
      <c r="C1966" s="8" t="str">
        <f t="shared" si="67"/>
        <v/>
      </c>
      <c r="F1966" s="8" t="str">
        <f t="shared" si="68"/>
        <v/>
      </c>
    </row>
    <row r="1967" spans="3:6" x14ac:dyDescent="0.3">
      <c r="C1967" s="8" t="str">
        <f t="shared" si="67"/>
        <v/>
      </c>
      <c r="F1967" s="8" t="str">
        <f t="shared" si="68"/>
        <v/>
      </c>
    </row>
    <row r="1968" spans="3:6" x14ac:dyDescent="0.3">
      <c r="C1968" s="8" t="str">
        <f t="shared" si="67"/>
        <v/>
      </c>
      <c r="F1968" s="8" t="str">
        <f t="shared" si="68"/>
        <v/>
      </c>
    </row>
    <row r="1969" spans="3:6" x14ac:dyDescent="0.3">
      <c r="C1969" s="8" t="str">
        <f t="shared" si="67"/>
        <v/>
      </c>
      <c r="F1969" s="8" t="str">
        <f t="shared" si="68"/>
        <v/>
      </c>
    </row>
    <row r="1970" spans="3:6" x14ac:dyDescent="0.3">
      <c r="C1970" s="8" t="str">
        <f t="shared" si="67"/>
        <v/>
      </c>
      <c r="F1970" s="8" t="str">
        <f t="shared" si="68"/>
        <v/>
      </c>
    </row>
    <row r="1971" spans="3:6" x14ac:dyDescent="0.3">
      <c r="C1971" s="8" t="str">
        <f t="shared" si="67"/>
        <v/>
      </c>
      <c r="F1971" s="8" t="str">
        <f t="shared" si="68"/>
        <v/>
      </c>
    </row>
    <row r="1972" spans="3:6" x14ac:dyDescent="0.3">
      <c r="C1972" s="8" t="str">
        <f t="shared" si="67"/>
        <v/>
      </c>
      <c r="F1972" s="8" t="str">
        <f t="shared" si="68"/>
        <v/>
      </c>
    </row>
    <row r="1973" spans="3:6" x14ac:dyDescent="0.3">
      <c r="C1973" s="8" t="str">
        <f t="shared" si="67"/>
        <v/>
      </c>
      <c r="F1973" s="8" t="str">
        <f t="shared" si="68"/>
        <v/>
      </c>
    </row>
    <row r="1974" spans="3:6" x14ac:dyDescent="0.3">
      <c r="C1974" s="8" t="str">
        <f t="shared" si="67"/>
        <v/>
      </c>
      <c r="F1974" s="8" t="str">
        <f t="shared" si="68"/>
        <v/>
      </c>
    </row>
    <row r="1975" spans="3:6" x14ac:dyDescent="0.3">
      <c r="C1975" s="8" t="str">
        <f t="shared" si="67"/>
        <v/>
      </c>
      <c r="F1975" s="8" t="str">
        <f t="shared" si="68"/>
        <v/>
      </c>
    </row>
    <row r="1976" spans="3:6" x14ac:dyDescent="0.3">
      <c r="C1976" s="8" t="str">
        <f t="shared" si="67"/>
        <v/>
      </c>
      <c r="F1976" s="8" t="str">
        <f t="shared" si="68"/>
        <v/>
      </c>
    </row>
    <row r="1977" spans="3:6" x14ac:dyDescent="0.3">
      <c r="C1977" s="8" t="str">
        <f t="shared" si="67"/>
        <v/>
      </c>
      <c r="F1977" s="8" t="str">
        <f t="shared" si="68"/>
        <v/>
      </c>
    </row>
    <row r="1978" spans="3:6" x14ac:dyDescent="0.3">
      <c r="C1978" s="8" t="str">
        <f t="shared" si="67"/>
        <v/>
      </c>
      <c r="F1978" s="8" t="str">
        <f t="shared" si="68"/>
        <v/>
      </c>
    </row>
    <row r="1979" spans="3:6" x14ac:dyDescent="0.3">
      <c r="C1979" s="8" t="str">
        <f t="shared" si="67"/>
        <v/>
      </c>
      <c r="F1979" s="8" t="str">
        <f t="shared" si="68"/>
        <v/>
      </c>
    </row>
    <row r="1980" spans="3:6" x14ac:dyDescent="0.3">
      <c r="C1980" s="8" t="str">
        <f t="shared" si="67"/>
        <v/>
      </c>
      <c r="F1980" s="8" t="str">
        <f t="shared" si="68"/>
        <v/>
      </c>
    </row>
    <row r="1981" spans="3:6" x14ac:dyDescent="0.3">
      <c r="C1981" s="8" t="str">
        <f t="shared" si="67"/>
        <v/>
      </c>
      <c r="F1981" s="8" t="str">
        <f t="shared" si="68"/>
        <v/>
      </c>
    </row>
    <row r="1982" spans="3:6" x14ac:dyDescent="0.3">
      <c r="C1982" s="8" t="str">
        <f t="shared" si="67"/>
        <v/>
      </c>
      <c r="F1982" s="8" t="str">
        <f t="shared" si="68"/>
        <v/>
      </c>
    </row>
    <row r="1983" spans="3:6" x14ac:dyDescent="0.3">
      <c r="C1983" s="8" t="str">
        <f t="shared" si="67"/>
        <v/>
      </c>
      <c r="F1983" s="8" t="str">
        <f t="shared" si="68"/>
        <v/>
      </c>
    </row>
    <row r="1984" spans="3:6" x14ac:dyDescent="0.3">
      <c r="C1984" s="8" t="str">
        <f t="shared" si="67"/>
        <v/>
      </c>
      <c r="F1984" s="8" t="str">
        <f t="shared" si="68"/>
        <v/>
      </c>
    </row>
    <row r="1985" spans="3:6" x14ac:dyDescent="0.3">
      <c r="C1985" s="8" t="str">
        <f t="shared" si="67"/>
        <v/>
      </c>
      <c r="F1985" s="8" t="str">
        <f t="shared" si="68"/>
        <v/>
      </c>
    </row>
    <row r="1986" spans="3:6" x14ac:dyDescent="0.3">
      <c r="C1986" s="8" t="str">
        <f t="shared" si="67"/>
        <v/>
      </c>
      <c r="F1986" s="8" t="str">
        <f t="shared" si="68"/>
        <v/>
      </c>
    </row>
    <row r="1987" spans="3:6" x14ac:dyDescent="0.3">
      <c r="C1987" s="8" t="str">
        <f t="shared" si="67"/>
        <v/>
      </c>
      <c r="F1987" s="8" t="str">
        <f t="shared" si="68"/>
        <v/>
      </c>
    </row>
    <row r="1988" spans="3:6" x14ac:dyDescent="0.3">
      <c r="C1988" s="8" t="str">
        <f t="shared" si="67"/>
        <v/>
      </c>
      <c r="F1988" s="8" t="str">
        <f t="shared" si="68"/>
        <v/>
      </c>
    </row>
    <row r="1989" spans="3:6" x14ac:dyDescent="0.3">
      <c r="C1989" s="8" t="str">
        <f t="shared" si="67"/>
        <v/>
      </c>
      <c r="F1989" s="8" t="str">
        <f t="shared" si="68"/>
        <v/>
      </c>
    </row>
    <row r="1990" spans="3:6" x14ac:dyDescent="0.3">
      <c r="C1990" s="8" t="str">
        <f t="shared" si="67"/>
        <v/>
      </c>
      <c r="F1990" s="8" t="str">
        <f t="shared" si="68"/>
        <v/>
      </c>
    </row>
    <row r="1991" spans="3:6" x14ac:dyDescent="0.3">
      <c r="C1991" s="8" t="str">
        <f t="shared" si="67"/>
        <v/>
      </c>
      <c r="F1991" s="8" t="str">
        <f t="shared" si="68"/>
        <v/>
      </c>
    </row>
    <row r="1992" spans="3:6" x14ac:dyDescent="0.3">
      <c r="C1992" s="8" t="str">
        <f t="shared" si="67"/>
        <v/>
      </c>
      <c r="F1992" s="8" t="str">
        <f t="shared" si="68"/>
        <v/>
      </c>
    </row>
    <row r="1993" spans="3:6" x14ac:dyDescent="0.3">
      <c r="C1993" s="8" t="str">
        <f t="shared" si="67"/>
        <v/>
      </c>
      <c r="F1993" s="8" t="str">
        <f t="shared" si="68"/>
        <v/>
      </c>
    </row>
    <row r="1994" spans="3:6" x14ac:dyDescent="0.3">
      <c r="C1994" s="8" t="str">
        <f t="shared" si="67"/>
        <v/>
      </c>
      <c r="F1994" s="8" t="str">
        <f t="shared" si="68"/>
        <v/>
      </c>
    </row>
    <row r="1995" spans="3:6" x14ac:dyDescent="0.3">
      <c r="C1995" s="8" t="str">
        <f t="shared" si="67"/>
        <v/>
      </c>
      <c r="F1995" s="8" t="str">
        <f t="shared" si="68"/>
        <v/>
      </c>
    </row>
    <row r="1996" spans="3:6" x14ac:dyDescent="0.3">
      <c r="C1996" s="8" t="str">
        <f t="shared" ref="C1996:C2010" si="69">IF(B1996="PBHAv1.0","PCB"&amp;TEXT(A1996,"yyyymmdd")&amp;"-01",IF(B1996="SBCT","SBCT"&amp;TEXT(A1996,"yyyymmdd"),IF(B1996="SCRA","SCRA"&amp;TEXT(A1996,"yyyymmdd"),"")))</f>
        <v/>
      </c>
      <c r="F1996" s="8" t="str">
        <f t="shared" ref="F1996:F2010" si="70">IF(ISBLANK(B1996),"",IF(B1996="PBHAv1.0",IF(OR(ISBLANK(D1996),ISBLANK(E1996)),"",IF(AND(D1996&gt;=360,D1996&lt;=460,E1996&lt;=0.4),"적합","부적합")),IF(ISBLANK(D1996),"",IF(B1996="SBCT",IF(AND(D1996&gt;=170,D1996&lt;=220),"적합","부적합"),IF(B1996="SCRA",IF(AND(D1996&gt;=50,D1996&lt;=70),"적합","부적합"),"")))))</f>
        <v/>
      </c>
    </row>
    <row r="1997" spans="3:6" x14ac:dyDescent="0.3">
      <c r="C1997" s="8" t="str">
        <f t="shared" si="69"/>
        <v/>
      </c>
      <c r="F1997" s="8" t="str">
        <f t="shared" si="70"/>
        <v/>
      </c>
    </row>
    <row r="1998" spans="3:6" x14ac:dyDescent="0.3">
      <c r="C1998" s="8" t="str">
        <f t="shared" si="69"/>
        <v/>
      </c>
      <c r="F1998" s="8" t="str">
        <f t="shared" si="70"/>
        <v/>
      </c>
    </row>
    <row r="1999" spans="3:6" x14ac:dyDescent="0.3">
      <c r="C1999" s="8" t="str">
        <f t="shared" si="69"/>
        <v/>
      </c>
      <c r="F1999" s="8" t="str">
        <f t="shared" si="70"/>
        <v/>
      </c>
    </row>
    <row r="2000" spans="3:6" x14ac:dyDescent="0.3">
      <c r="C2000" s="8" t="str">
        <f t="shared" si="69"/>
        <v/>
      </c>
      <c r="F2000" s="8" t="str">
        <f t="shared" si="70"/>
        <v/>
      </c>
    </row>
    <row r="2001" spans="1:6" x14ac:dyDescent="0.3">
      <c r="C2001" s="8" t="str">
        <f t="shared" si="69"/>
        <v/>
      </c>
      <c r="F2001" s="8" t="str">
        <f t="shared" si="70"/>
        <v/>
      </c>
    </row>
    <row r="2002" spans="1:6" x14ac:dyDescent="0.3">
      <c r="C2002" s="8" t="str">
        <f t="shared" si="69"/>
        <v/>
      </c>
      <c r="F2002" s="8" t="str">
        <f t="shared" si="70"/>
        <v/>
      </c>
    </row>
    <row r="2003" spans="1:6" x14ac:dyDescent="0.3">
      <c r="C2003" s="8" t="str">
        <f t="shared" si="69"/>
        <v/>
      </c>
      <c r="F2003" s="8" t="str">
        <f t="shared" si="70"/>
        <v/>
      </c>
    </row>
    <row r="2004" spans="1:6" x14ac:dyDescent="0.3">
      <c r="C2004" s="8" t="str">
        <f t="shared" si="69"/>
        <v/>
      </c>
      <c r="F2004" s="8" t="str">
        <f t="shared" si="70"/>
        <v/>
      </c>
    </row>
    <row r="2005" spans="1:6" x14ac:dyDescent="0.3">
      <c r="C2005" s="8" t="str">
        <f t="shared" si="69"/>
        <v/>
      </c>
      <c r="F2005" s="8" t="str">
        <f t="shared" si="70"/>
        <v/>
      </c>
    </row>
    <row r="2006" spans="1:6" x14ac:dyDescent="0.3">
      <c r="C2006" s="8" t="str">
        <f t="shared" si="69"/>
        <v/>
      </c>
      <c r="F2006" s="8" t="str">
        <f t="shared" si="70"/>
        <v/>
      </c>
    </row>
    <row r="2007" spans="1:6" x14ac:dyDescent="0.3">
      <c r="C2007" s="8" t="str">
        <f t="shared" si="69"/>
        <v/>
      </c>
      <c r="F2007" s="8" t="str">
        <f t="shared" si="70"/>
        <v/>
      </c>
    </row>
    <row r="2008" spans="1:6" x14ac:dyDescent="0.3">
      <c r="C2008" s="8" t="str">
        <f t="shared" si="69"/>
        <v/>
      </c>
      <c r="F2008" s="8" t="str">
        <f t="shared" si="70"/>
        <v/>
      </c>
    </row>
    <row r="2009" spans="1:6" x14ac:dyDescent="0.3">
      <c r="C2009" s="8" t="str">
        <f t="shared" si="69"/>
        <v/>
      </c>
      <c r="F2009" s="8" t="str">
        <f t="shared" si="70"/>
        <v/>
      </c>
    </row>
    <row r="2010" spans="1:6" x14ac:dyDescent="0.3">
      <c r="C2010" s="8" t="str">
        <f t="shared" si="69"/>
        <v/>
      </c>
      <c r="F2010" s="8" t="str">
        <f t="shared" si="70"/>
        <v/>
      </c>
    </row>
    <row r="2011" spans="1:6" x14ac:dyDescent="0.3">
      <c r="A2011" s="3">
        <v>45762</v>
      </c>
      <c r="B2011" s="8" t="s">
        <v>23</v>
      </c>
      <c r="D2011" s="8">
        <v>420</v>
      </c>
      <c r="E2011" s="8">
        <v>0.35</v>
      </c>
    </row>
    <row r="2012" spans="1:6" x14ac:dyDescent="0.3">
      <c r="A2012" s="3">
        <v>45973</v>
      </c>
      <c r="B2012" s="8" t="s">
        <v>35</v>
      </c>
      <c r="D2012" s="8">
        <v>190</v>
      </c>
    </row>
    <row r="2013" spans="1:6" x14ac:dyDescent="0.3">
      <c r="A2013" s="3">
        <v>45973</v>
      </c>
      <c r="B2013" s="8" t="s">
        <v>39</v>
      </c>
      <c r="D2013" s="8">
        <v>55</v>
      </c>
    </row>
  </sheetData>
  <phoneticPr fontId="4" type="noConversion"/>
  <conditionalFormatting sqref="F79:F1048576 F61 F38:F59 F20:F35 F1:F15">
    <cfRule type="containsText" dxfId="53" priority="52" operator="containsText" text="부적합">
      <formula>NOT(ISERROR(SEARCH("부적합",F1)))</formula>
    </cfRule>
  </conditionalFormatting>
  <conditionalFormatting sqref="F38">
    <cfRule type="containsText" dxfId="52" priority="51" operator="containsText" text="부적합">
      <formula>NOT(ISERROR(SEARCH("부적합",F38)))</formula>
    </cfRule>
  </conditionalFormatting>
  <conditionalFormatting sqref="F39">
    <cfRule type="containsText" dxfId="51" priority="50" operator="containsText" text="부적합">
      <formula>NOT(ISERROR(SEARCH("부적합",F39)))</formula>
    </cfRule>
  </conditionalFormatting>
  <conditionalFormatting sqref="F39">
    <cfRule type="containsText" dxfId="50" priority="49" operator="containsText" text="부적합">
      <formula>NOT(ISERROR(SEARCH("부적합",F39)))</formula>
    </cfRule>
  </conditionalFormatting>
  <conditionalFormatting sqref="F40">
    <cfRule type="containsText" dxfId="49" priority="48" operator="containsText" text="부적합">
      <formula>NOT(ISERROR(SEARCH("부적합",F40)))</formula>
    </cfRule>
  </conditionalFormatting>
  <conditionalFormatting sqref="F41">
    <cfRule type="containsText" dxfId="48" priority="47" operator="containsText" text="부적합">
      <formula>NOT(ISERROR(SEARCH("부적합",F41)))</formula>
    </cfRule>
  </conditionalFormatting>
  <conditionalFormatting sqref="F42">
    <cfRule type="containsText" dxfId="47" priority="46" operator="containsText" text="부적합">
      <formula>NOT(ISERROR(SEARCH("부적합",F42)))</formula>
    </cfRule>
  </conditionalFormatting>
  <conditionalFormatting sqref="F43">
    <cfRule type="containsText" dxfId="46" priority="45" operator="containsText" text="부적합">
      <formula>NOT(ISERROR(SEARCH("부적합",F43)))</formula>
    </cfRule>
  </conditionalFormatting>
  <conditionalFormatting sqref="F44">
    <cfRule type="containsText" dxfId="45" priority="44" operator="containsText" text="부적합">
      <formula>NOT(ISERROR(SEARCH("부적합",F44)))</formula>
    </cfRule>
  </conditionalFormatting>
  <conditionalFormatting sqref="F45">
    <cfRule type="containsText" dxfId="44" priority="43" operator="containsText" text="부적합">
      <formula>NOT(ISERROR(SEARCH("부적합",F45)))</formula>
    </cfRule>
  </conditionalFormatting>
  <conditionalFormatting sqref="F46">
    <cfRule type="containsText" dxfId="43" priority="42" operator="containsText" text="부적합">
      <formula>NOT(ISERROR(SEARCH("부적합",F46)))</formula>
    </cfRule>
  </conditionalFormatting>
  <conditionalFormatting sqref="F47">
    <cfRule type="containsText" dxfId="42" priority="41" operator="containsText" text="부적합">
      <formula>NOT(ISERROR(SEARCH("부적합",F47)))</formula>
    </cfRule>
  </conditionalFormatting>
  <conditionalFormatting sqref="F48">
    <cfRule type="containsText" dxfId="41" priority="40" operator="containsText" text="부적합">
      <formula>NOT(ISERROR(SEARCH("부적합",F48)))</formula>
    </cfRule>
  </conditionalFormatting>
  <conditionalFormatting sqref="F49">
    <cfRule type="containsText" dxfId="40" priority="39" operator="containsText" text="부적합">
      <formula>NOT(ISERROR(SEARCH("부적합",F49)))</formula>
    </cfRule>
  </conditionalFormatting>
  <conditionalFormatting sqref="F50">
    <cfRule type="containsText" dxfId="39" priority="38" operator="containsText" text="부적합">
      <formula>NOT(ISERROR(SEARCH("부적합",F50)))</formula>
    </cfRule>
  </conditionalFormatting>
  <conditionalFormatting sqref="F51">
    <cfRule type="containsText" dxfId="38" priority="37" operator="containsText" text="부적합">
      <formula>NOT(ISERROR(SEARCH("부적합",F51)))</formula>
    </cfRule>
  </conditionalFormatting>
  <conditionalFormatting sqref="F64">
    <cfRule type="containsText" dxfId="37" priority="4" operator="containsText" text="부적합">
      <formula>NOT(ISERROR(SEARCH("부적합",F64)))</formula>
    </cfRule>
  </conditionalFormatting>
  <conditionalFormatting sqref="F60">
    <cfRule type="containsText" dxfId="36" priority="35" operator="containsText" text="부적합">
      <formula>NOT(ISERROR(SEARCH("부적합",F60)))</formula>
    </cfRule>
  </conditionalFormatting>
  <conditionalFormatting sqref="F64">
    <cfRule type="containsText" dxfId="35" priority="5" operator="containsText" text="부적합">
      <formula>NOT(ISERROR(SEARCH("부적합",F64)))</formula>
    </cfRule>
  </conditionalFormatting>
  <conditionalFormatting sqref="F36:F37">
    <cfRule type="containsText" dxfId="34" priority="3" operator="containsText" text="부적합">
      <formula>NOT(ISERROR(SEARCH("부적합",F36)))</formula>
    </cfRule>
  </conditionalFormatting>
  <conditionalFormatting sqref="F62">
    <cfRule type="containsText" dxfId="33" priority="6" operator="containsText" text="부적합">
      <formula>NOT(ISERROR(SEARCH("부적합",F62)))</formula>
    </cfRule>
  </conditionalFormatting>
  <conditionalFormatting sqref="F63 F65">
    <cfRule type="containsText" dxfId="32" priority="28" operator="containsText" text="부적합">
      <formula>NOT(ISERROR(SEARCH("부적합",F63)))</formula>
    </cfRule>
  </conditionalFormatting>
  <conditionalFormatting sqref="F67 F69">
    <cfRule type="containsText" dxfId="31" priority="25" operator="containsText" text="부적합">
      <formula>NOT(ISERROR(SEARCH("부적합",F67)))</formula>
    </cfRule>
  </conditionalFormatting>
  <conditionalFormatting sqref="F66">
    <cfRule type="containsText" dxfId="30" priority="26" operator="containsText" text="부적합">
      <formula>NOT(ISERROR(SEARCH("부적합",F66)))</formula>
    </cfRule>
  </conditionalFormatting>
  <conditionalFormatting sqref="F68">
    <cfRule type="containsText" dxfId="29" priority="24" operator="containsText" text="부적합">
      <formula>NOT(ISERROR(SEARCH("부적합",F68)))</formula>
    </cfRule>
  </conditionalFormatting>
  <conditionalFormatting sqref="F70">
    <cfRule type="containsText" dxfId="28" priority="23" operator="containsText" text="부적합">
      <formula>NOT(ISERROR(SEARCH("부적합",F70)))</formula>
    </cfRule>
  </conditionalFormatting>
  <conditionalFormatting sqref="F71 F73">
    <cfRule type="containsText" dxfId="27" priority="22" operator="containsText" text="부적합">
      <formula>NOT(ISERROR(SEARCH("부적합",F71)))</formula>
    </cfRule>
  </conditionalFormatting>
  <conditionalFormatting sqref="F72">
    <cfRule type="containsText" dxfId="26" priority="21" operator="containsText" text="부적합">
      <formula>NOT(ISERROR(SEARCH("부적합",F72)))</formula>
    </cfRule>
  </conditionalFormatting>
  <conditionalFormatting sqref="F74">
    <cfRule type="containsText" dxfId="25" priority="20" operator="containsText" text="부적합">
      <formula>NOT(ISERROR(SEARCH("부적합",F74)))</formula>
    </cfRule>
  </conditionalFormatting>
  <conditionalFormatting sqref="F75 F77">
    <cfRule type="containsText" dxfId="24" priority="19" operator="containsText" text="부적합">
      <formula>NOT(ISERROR(SEARCH("부적합",F75)))</formula>
    </cfRule>
  </conditionalFormatting>
  <conditionalFormatting sqref="F76">
    <cfRule type="containsText" dxfId="23" priority="18" operator="containsText" text="부적합">
      <formula>NOT(ISERROR(SEARCH("부적합",F76)))</formula>
    </cfRule>
  </conditionalFormatting>
  <conditionalFormatting sqref="F78">
    <cfRule type="containsText" dxfId="22" priority="17" operator="containsText" text="부적합">
      <formula>NOT(ISERROR(SEARCH("부적합",F78)))</formula>
    </cfRule>
  </conditionalFormatting>
  <conditionalFormatting sqref="F52">
    <cfRule type="containsText" dxfId="21" priority="16" operator="containsText" text="부적합">
      <formula>NOT(ISERROR(SEARCH("부적합",F52)))</formula>
    </cfRule>
  </conditionalFormatting>
  <conditionalFormatting sqref="F53">
    <cfRule type="containsText" dxfId="20" priority="15" operator="containsText" text="부적합">
      <formula>NOT(ISERROR(SEARCH("부적합",F53)))</formula>
    </cfRule>
  </conditionalFormatting>
  <conditionalFormatting sqref="F54">
    <cfRule type="containsText" dxfId="19" priority="14" operator="containsText" text="부적합">
      <formula>NOT(ISERROR(SEARCH("부적합",F54)))</formula>
    </cfRule>
  </conditionalFormatting>
  <conditionalFormatting sqref="F55">
    <cfRule type="containsText" dxfId="18" priority="13" operator="containsText" text="부적합">
      <formula>NOT(ISERROR(SEARCH("부적합",F55)))</formula>
    </cfRule>
  </conditionalFormatting>
  <conditionalFormatting sqref="F56">
    <cfRule type="containsText" dxfId="17" priority="12" operator="containsText" text="부적합">
      <formula>NOT(ISERROR(SEARCH("부적합",F56)))</formula>
    </cfRule>
  </conditionalFormatting>
  <conditionalFormatting sqref="F57">
    <cfRule type="containsText" dxfId="16" priority="11" operator="containsText" text="부적합">
      <formula>NOT(ISERROR(SEARCH("부적합",F57)))</formula>
    </cfRule>
  </conditionalFormatting>
  <conditionalFormatting sqref="F58">
    <cfRule type="containsText" dxfId="15" priority="10" operator="containsText" text="부적합">
      <formula>NOT(ISERROR(SEARCH("부적합",F58)))</formula>
    </cfRule>
  </conditionalFormatting>
  <conditionalFormatting sqref="F59">
    <cfRule type="containsText" dxfId="14" priority="9" operator="containsText" text="부적합">
      <formula>NOT(ISERROR(SEARCH("부적합",F59)))</formula>
    </cfRule>
  </conditionalFormatting>
  <conditionalFormatting sqref="F61">
    <cfRule type="containsText" dxfId="13" priority="8" operator="containsText" text="부적합">
      <formula>NOT(ISERROR(SEARCH("부적합",F61)))</formula>
    </cfRule>
  </conditionalFormatting>
  <conditionalFormatting sqref="F62">
    <cfRule type="containsText" dxfId="12" priority="7" operator="containsText" text="부적합">
      <formula>NOT(ISERROR(SEARCH("부적합",F62)))</formula>
    </cfRule>
  </conditionalFormatting>
  <conditionalFormatting sqref="F18:F19">
    <cfRule type="containsText" dxfId="11" priority="2" operator="containsText" text="부적합">
      <formula>NOT(ISERROR(SEARCH("부적합",F18)))</formula>
    </cfRule>
  </conditionalFormatting>
  <conditionalFormatting sqref="F16:F17">
    <cfRule type="containsText" dxfId="10" priority="1" operator="containsText" text="부적합">
      <formula>NOT(ISERROR(SEARCH("부적합",F16)))</formula>
    </cfRule>
  </conditionalFormatting>
  <dataValidations count="2">
    <dataValidation type="list" allowBlank="1" sqref="B5:B6 B2 B12:B15 B82:B1010">
      <formula1>"PBHAv1.0,SBCT,SCRA"</formula1>
    </dataValidation>
    <dataValidation type="list" allowBlank="1" sqref="B3:B4 B7:B11 B16:B81">
      <formula1>"PBHAv1.0,PBHBv1.0,SBCT,SCRA"</formula1>
    </dataValidation>
  </dataValidations>
  <pageMargins left="0.75" right="0.75" top="1" bottom="1" header="0.5" footer="0.5"/>
  <ignoredErrors>
    <ignoredError sqref="F60:F64 C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7030A0"/>
  </sheetPr>
  <dimension ref="A1:BA2006"/>
  <sheetViews>
    <sheetView tabSelected="1" zoomScale="80" zoomScaleNormal="80" workbookViewId="0">
      <pane ySplit="1" topLeftCell="A50" activePane="bottomLeft" state="frozen"/>
      <selection pane="bottomLeft" activeCell="R56" sqref="R56"/>
    </sheetView>
  </sheetViews>
  <sheetFormatPr defaultRowHeight="16.5" x14ac:dyDescent="0.3"/>
  <cols>
    <col min="1" max="1" width="13.25" style="7" customWidth="1"/>
    <col min="2" max="2" width="15.5" style="7" customWidth="1"/>
    <col min="3" max="3" width="13.25" style="7" customWidth="1"/>
    <col min="4" max="4" width="12" style="7" customWidth="1"/>
    <col min="5" max="5" width="16" style="7" customWidth="1"/>
    <col min="6" max="6" width="16.25" style="7" customWidth="1"/>
    <col min="7" max="7" width="12.375" style="7" customWidth="1"/>
    <col min="8" max="8" width="17.5" style="7" customWidth="1"/>
    <col min="9" max="9" width="14.875" style="7" bestFit="1" customWidth="1"/>
    <col min="10" max="15" width="10" style="7" customWidth="1"/>
    <col min="16" max="16" width="15" style="7" customWidth="1"/>
  </cols>
  <sheetData>
    <row r="1" spans="1:53" s="16" customFormat="1" ht="27" x14ac:dyDescent="0.25">
      <c r="A1" s="13" t="s">
        <v>115</v>
      </c>
      <c r="B1" s="14" t="s">
        <v>156</v>
      </c>
      <c r="C1" s="13" t="s">
        <v>42</v>
      </c>
      <c r="D1" s="13" t="s">
        <v>43</v>
      </c>
      <c r="E1" s="13" t="s">
        <v>116</v>
      </c>
      <c r="F1" s="13" t="s">
        <v>117</v>
      </c>
      <c r="G1" s="14" t="s">
        <v>157</v>
      </c>
      <c r="H1" s="13" t="s">
        <v>118</v>
      </c>
      <c r="I1" s="15" t="s">
        <v>119</v>
      </c>
      <c r="J1" s="13" t="s">
        <v>120</v>
      </c>
      <c r="K1" s="13" t="s">
        <v>121</v>
      </c>
      <c r="L1" s="13" t="s">
        <v>122</v>
      </c>
      <c r="M1" s="15" t="s">
        <v>123</v>
      </c>
      <c r="N1" s="15" t="s">
        <v>124</v>
      </c>
      <c r="O1" s="15" t="s">
        <v>125</v>
      </c>
      <c r="P1" s="13" t="s">
        <v>21</v>
      </c>
    </row>
    <row r="2" spans="1:53" x14ac:dyDescent="0.3">
      <c r="A2" s="12">
        <v>45862</v>
      </c>
      <c r="B2" s="18" t="s">
        <v>147</v>
      </c>
      <c r="C2" s="18" t="s">
        <v>47</v>
      </c>
      <c r="D2" s="18" t="s">
        <v>50</v>
      </c>
      <c r="E2" s="18" t="str">
        <f t="shared" ref="E2:E72" si="0">IF(D2="","",IF(B2="Silicone", "SL" &amp; IF(C2="Black","B",IF(C2="White","W",IF(C2="Blue","U",IF(C2="Green","G",IF(C2="Yellow","Y",IF(C2="Red","R",IF(C2="Pink","P",""))))))) &amp; TEXT(A2,"yymmdd") &amp; "01",IF(LEFT(D2,3)="NPL","NPL","PL") &amp; IF(C2="Black","B",IF(C2="White","W",IF(C2="Blue","U",IF(C2="Green","G",IF(C2="Yellow","Y",IF(C2="Red","R",IF(C2="Pink","P",""))))))) &amp; TEXT(A2,"yymmdd") &amp; "01"))</f>
        <v>PLB25072401</v>
      </c>
      <c r="F2" s="18"/>
      <c r="G2" s="18" t="s">
        <v>158</v>
      </c>
      <c r="H2" s="22" t="str">
        <f>VLOOKUP(D2,'Spec_Single_H&amp;S'!$B$2:$G$42,6,FALSE)</f>
        <v>PBHAv1.0</v>
      </c>
      <c r="I2" s="18"/>
      <c r="J2" s="22">
        <f>VLOOKUP(D2,'Spec_Single_H&amp;S'!$B$2:$G$42,4,FALSE)</f>
        <v>60000</v>
      </c>
      <c r="K2" s="22">
        <f>VLOOKUP(D2,'Spec_Single_H&amp;S'!$B$2:$G$42,5,FALSE)</f>
        <v>90000</v>
      </c>
      <c r="L2" s="18" t="str">
        <f t="shared" ref="L2:L72" si="1">IF(AND(NOT(ISBLANK(I2)),I2&gt;=J2,I2&lt;=K2),"적합",IF(ISBLANK(I2),"", "부적합"))</f>
        <v/>
      </c>
      <c r="M2" s="18"/>
      <c r="N2" s="18"/>
      <c r="O2" s="18"/>
      <c r="P2" s="18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spans="1:53" x14ac:dyDescent="0.3">
      <c r="A3" s="12">
        <v>45883</v>
      </c>
      <c r="B3" s="19" t="s">
        <v>147</v>
      </c>
      <c r="C3" s="19" t="s">
        <v>56</v>
      </c>
      <c r="D3" s="18" t="s">
        <v>60</v>
      </c>
      <c r="E3" s="19" t="str">
        <f t="shared" si="0"/>
        <v>PLU25081401</v>
      </c>
      <c r="F3" s="18"/>
      <c r="G3" s="19" t="s">
        <v>158</v>
      </c>
      <c r="H3" s="22" t="str">
        <f>VLOOKUP(D3,'Spec_Single_H&amp;S'!$B$2:$G$42,6,FALSE)</f>
        <v>PBHAv1.0</v>
      </c>
      <c r="I3" s="17">
        <v>116900</v>
      </c>
      <c r="J3" s="22">
        <f>VLOOKUP(D3,'Spec_Single_H&amp;S'!$B$2:$G$42,4,FALSE)</f>
        <v>53000</v>
      </c>
      <c r="K3" s="22">
        <f>VLOOKUP(D3,'Spec_Single_H&amp;S'!$B$2:$G$42,5,FALSE)</f>
        <v>73000</v>
      </c>
      <c r="L3" s="18" t="str">
        <f t="shared" si="1"/>
        <v>부적합</v>
      </c>
      <c r="M3" s="11">
        <v>11.64</v>
      </c>
      <c r="N3" s="11">
        <v>6.56</v>
      </c>
      <c r="O3" s="11">
        <v>-23.38</v>
      </c>
      <c r="P3" s="18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s="5" customFormat="1" x14ac:dyDescent="0.3">
      <c r="A4" s="12">
        <v>45883</v>
      </c>
      <c r="B4" s="19" t="s">
        <v>147</v>
      </c>
      <c r="C4" s="19" t="s">
        <v>56</v>
      </c>
      <c r="D4" s="18" t="s">
        <v>61</v>
      </c>
      <c r="E4" s="18" t="str">
        <f t="shared" si="0"/>
        <v>NPLU25081401</v>
      </c>
      <c r="F4" s="18"/>
      <c r="G4" s="19" t="s">
        <v>158</v>
      </c>
      <c r="H4" s="22" t="str">
        <f>VLOOKUP(D4,'Spec_Single_H&amp;S'!$B$2:$G$42,6,FALSE)</f>
        <v>PBHBv1.0</v>
      </c>
      <c r="I4" s="11">
        <v>107600</v>
      </c>
      <c r="J4" s="22">
        <f>VLOOKUP(D4,'Spec_Single_H&amp;S'!$B$2:$G$42,4,FALSE)</f>
        <v>53000</v>
      </c>
      <c r="K4" s="22">
        <f>VLOOKUP(D4,'Spec_Single_H&amp;S'!$B$2:$G$42,5,FALSE)</f>
        <v>73000</v>
      </c>
      <c r="L4" s="18" t="str">
        <f t="shared" si="1"/>
        <v>부적합</v>
      </c>
      <c r="M4" s="11">
        <v>10.17</v>
      </c>
      <c r="N4" s="11">
        <v>6.85</v>
      </c>
      <c r="O4" s="11">
        <v>-23.79</v>
      </c>
      <c r="P4" s="18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s="5" customFormat="1" x14ac:dyDescent="0.3">
      <c r="A5" s="12">
        <v>45889</v>
      </c>
      <c r="B5" s="18" t="s">
        <v>147</v>
      </c>
      <c r="C5" s="18" t="s">
        <v>56</v>
      </c>
      <c r="D5" s="18" t="s">
        <v>57</v>
      </c>
      <c r="E5" s="18" t="str">
        <f t="shared" si="0"/>
        <v>PLU25082001</v>
      </c>
      <c r="F5" s="18"/>
      <c r="G5" s="18" t="s">
        <v>158</v>
      </c>
      <c r="H5" s="22" t="str">
        <f>VLOOKUP(D5,'Spec_Single_H&amp;S'!$B$2:$G$42,6,FALSE)</f>
        <v>PBHAv1.0</v>
      </c>
      <c r="I5" s="11">
        <v>32740</v>
      </c>
      <c r="J5" s="22">
        <f>VLOOKUP(D5,'Spec_Single_H&amp;S'!$B$2:$G$42,4,FALSE)</f>
        <v>30000</v>
      </c>
      <c r="K5" s="22">
        <f>VLOOKUP(D5,'Spec_Single_H&amp;S'!$B$2:$G$42,5,FALSE)</f>
        <v>40000</v>
      </c>
      <c r="L5" s="18" t="str">
        <f t="shared" si="1"/>
        <v>적합</v>
      </c>
      <c r="M5" s="11">
        <v>7.91</v>
      </c>
      <c r="N5" s="11">
        <v>5.95</v>
      </c>
      <c r="O5" s="11">
        <v>-31.82</v>
      </c>
      <c r="P5" s="18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</row>
    <row r="6" spans="1:53" s="5" customFormat="1" x14ac:dyDescent="0.3">
      <c r="A6" s="12">
        <v>45894</v>
      </c>
      <c r="B6" s="18" t="s">
        <v>147</v>
      </c>
      <c r="C6" s="18" t="s">
        <v>56</v>
      </c>
      <c r="D6" s="18" t="s">
        <v>59</v>
      </c>
      <c r="E6" s="18" t="str">
        <f t="shared" si="0"/>
        <v>PLU25082501</v>
      </c>
      <c r="F6" s="18"/>
      <c r="G6" s="18" t="s">
        <v>158</v>
      </c>
      <c r="H6" s="22" t="str">
        <f>VLOOKUP(D6,'Spec_Single_H&amp;S'!$B$2:$G$42,6,FALSE)</f>
        <v>PBHAv1.0</v>
      </c>
      <c r="I6" s="11">
        <v>83290</v>
      </c>
      <c r="J6" s="22">
        <f>VLOOKUP(D6,'Spec_Single_H&amp;S'!$B$2:$G$42,4,FALSE)</f>
        <v>53000</v>
      </c>
      <c r="K6" s="22">
        <f>VLOOKUP(D6,'Spec_Single_H&amp;S'!$B$2:$G$42,5,FALSE)</f>
        <v>73000</v>
      </c>
      <c r="L6" s="18" t="str">
        <f t="shared" si="1"/>
        <v>부적합</v>
      </c>
      <c r="M6" s="11">
        <v>9.09</v>
      </c>
      <c r="N6" s="11">
        <v>6.33</v>
      </c>
      <c r="O6" s="11">
        <v>-24.22</v>
      </c>
      <c r="P6" s="18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:53" x14ac:dyDescent="0.3">
      <c r="A7" s="12">
        <v>45912</v>
      </c>
      <c r="B7" s="18" t="s">
        <v>147</v>
      </c>
      <c r="C7" s="18" t="s">
        <v>47</v>
      </c>
      <c r="D7" s="18" t="s">
        <v>74</v>
      </c>
      <c r="E7" s="18" t="str">
        <f t="shared" si="0"/>
        <v>NPLB25091201</v>
      </c>
      <c r="F7" s="18"/>
      <c r="G7" s="18" t="s">
        <v>158</v>
      </c>
      <c r="H7" s="22" t="str">
        <f>VLOOKUP(D7,'Spec_Single_H&amp;S'!$B$2:$G$42,6,FALSE)</f>
        <v>PBHBv1.0</v>
      </c>
      <c r="I7" s="18">
        <v>109800</v>
      </c>
      <c r="J7" s="22">
        <f>VLOOKUP(D7,'Spec_Single_H&amp;S'!$B$2:$G$42,4,FALSE)</f>
        <v>60000</v>
      </c>
      <c r="K7" s="22">
        <f>VLOOKUP(D7,'Spec_Single_H&amp;S'!$B$2:$G$42,5,FALSE)</f>
        <v>90000</v>
      </c>
      <c r="L7" s="18" t="str">
        <f t="shared" si="1"/>
        <v>부적합</v>
      </c>
      <c r="M7" s="18">
        <v>13.17</v>
      </c>
      <c r="N7" s="18">
        <v>0.21</v>
      </c>
      <c r="O7" s="18">
        <v>0.31</v>
      </c>
      <c r="P7" s="1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 x14ac:dyDescent="0.3">
      <c r="A8" s="12">
        <v>45912</v>
      </c>
      <c r="B8" s="18" t="s">
        <v>147</v>
      </c>
      <c r="C8" s="18" t="s">
        <v>68</v>
      </c>
      <c r="D8" s="18" t="s">
        <v>70</v>
      </c>
      <c r="E8" s="18" t="str">
        <f t="shared" si="0"/>
        <v>NPLR25091201</v>
      </c>
      <c r="F8" s="18"/>
      <c r="G8" s="18" t="s">
        <v>158</v>
      </c>
      <c r="H8" s="22" t="str">
        <f>VLOOKUP(D8,'Spec_Single_H&amp;S'!$B$2:$G$42,6,FALSE)</f>
        <v>PBHBv1.0</v>
      </c>
      <c r="I8" s="18">
        <v>11570</v>
      </c>
      <c r="J8" s="22">
        <f>VLOOKUP(D8,'Spec_Single_H&amp;S'!$B$2:$G$42,4,FALSE)</f>
        <v>6000</v>
      </c>
      <c r="K8" s="22">
        <f>VLOOKUP(D8,'Spec_Single_H&amp;S'!$B$2:$G$42,5,FALSE)</f>
        <v>16000</v>
      </c>
      <c r="L8" s="18" t="str">
        <f t="shared" si="1"/>
        <v>적합</v>
      </c>
      <c r="M8" s="18">
        <v>42.05</v>
      </c>
      <c r="N8" s="18">
        <v>57.59</v>
      </c>
      <c r="O8" s="18">
        <v>48.75</v>
      </c>
      <c r="P8" s="1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</row>
    <row r="9" spans="1:53" x14ac:dyDescent="0.3">
      <c r="A9" s="12">
        <v>45912</v>
      </c>
      <c r="B9" s="18" t="s">
        <v>147</v>
      </c>
      <c r="C9" s="18" t="s">
        <v>64</v>
      </c>
      <c r="D9" s="18" t="s">
        <v>159</v>
      </c>
      <c r="E9" s="18" t="str">
        <f t="shared" si="0"/>
        <v>NPLY25091201</v>
      </c>
      <c r="F9" s="18"/>
      <c r="G9" s="18" t="s">
        <v>158</v>
      </c>
      <c r="H9" s="22" t="str">
        <f>VLOOKUP(D9,'Spec_Single_H&amp;S'!$B$2:$G$42,6,FALSE)</f>
        <v>PBHBv1.0</v>
      </c>
      <c r="I9" s="18">
        <v>51510</v>
      </c>
      <c r="J9" s="22">
        <f>VLOOKUP(D9,'Spec_Single_H&amp;S'!$B$2:$G$42,4,FALSE)</f>
        <v>20000</v>
      </c>
      <c r="K9" s="22">
        <f>VLOOKUP(D9,'Spec_Single_H&amp;S'!$B$2:$G$42,5,FALSE)</f>
        <v>30000</v>
      </c>
      <c r="L9" s="18" t="str">
        <f t="shared" si="1"/>
        <v>부적합</v>
      </c>
      <c r="M9" s="18">
        <v>79.22</v>
      </c>
      <c r="N9" s="18">
        <v>33.76</v>
      </c>
      <c r="O9" s="18">
        <v>113.62</v>
      </c>
      <c r="P9" s="18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</row>
    <row r="10" spans="1:53" x14ac:dyDescent="0.3">
      <c r="A10" s="12">
        <v>45919</v>
      </c>
      <c r="B10" s="19" t="s">
        <v>147</v>
      </c>
      <c r="C10" s="19" t="s">
        <v>56</v>
      </c>
      <c r="D10" s="18" t="s">
        <v>61</v>
      </c>
      <c r="E10" s="18" t="str">
        <f t="shared" si="0"/>
        <v>NPLU25091901</v>
      </c>
      <c r="F10" s="18"/>
      <c r="G10" s="19" t="s">
        <v>158</v>
      </c>
      <c r="H10" s="22" t="str">
        <f>VLOOKUP(D10,'Spec_Single_H&amp;S'!$B$2:$G$42,6,FALSE)</f>
        <v>PBHBv1.0</v>
      </c>
      <c r="I10" s="11">
        <v>81690</v>
      </c>
      <c r="J10" s="22">
        <f>VLOOKUP(D10,'Spec_Single_H&amp;S'!$B$2:$G$42,4,FALSE)</f>
        <v>53000</v>
      </c>
      <c r="K10" s="22">
        <f>VLOOKUP(D10,'Spec_Single_H&amp;S'!$B$2:$G$42,5,FALSE)</f>
        <v>73000</v>
      </c>
      <c r="L10" s="18" t="str">
        <f t="shared" si="1"/>
        <v>부적합</v>
      </c>
      <c r="M10" s="11">
        <v>11.51</v>
      </c>
      <c r="N10" s="11">
        <v>7.22</v>
      </c>
      <c r="O10" s="11">
        <v>-27.83</v>
      </c>
      <c r="P10" s="18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</row>
    <row r="11" spans="1:53" x14ac:dyDescent="0.3">
      <c r="A11" s="12">
        <v>45923</v>
      </c>
      <c r="B11" s="19" t="s">
        <v>147</v>
      </c>
      <c r="C11" s="19" t="s">
        <v>56</v>
      </c>
      <c r="D11" s="18" t="s">
        <v>60</v>
      </c>
      <c r="E11" s="19" t="str">
        <f t="shared" si="0"/>
        <v>PLU25092301</v>
      </c>
      <c r="F11" s="18"/>
      <c r="G11" s="19" t="s">
        <v>158</v>
      </c>
      <c r="H11" s="22" t="str">
        <f>VLOOKUP(D11,'Spec_Single_H&amp;S'!$B$2:$G$42,6,FALSE)</f>
        <v>PBHAv1.0</v>
      </c>
      <c r="I11" s="11">
        <v>95910</v>
      </c>
      <c r="J11" s="22">
        <f>VLOOKUP(D11,'Spec_Single_H&amp;S'!$B$2:$G$42,4,FALSE)</f>
        <v>53000</v>
      </c>
      <c r="K11" s="22">
        <f>VLOOKUP(D11,'Spec_Single_H&amp;S'!$B$2:$G$42,5,FALSE)</f>
        <v>73000</v>
      </c>
      <c r="L11" s="18" t="str">
        <f t="shared" si="1"/>
        <v>부적합</v>
      </c>
      <c r="M11" s="11">
        <v>9.99</v>
      </c>
      <c r="N11" s="11">
        <v>6.59</v>
      </c>
      <c r="O11" s="11">
        <v>-24.97</v>
      </c>
      <c r="P11" s="18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:53" x14ac:dyDescent="0.3">
      <c r="A12" s="12">
        <v>45925</v>
      </c>
      <c r="B12" s="19" t="s">
        <v>147</v>
      </c>
      <c r="C12" s="19" t="s">
        <v>56</v>
      </c>
      <c r="D12" s="18" t="s">
        <v>60</v>
      </c>
      <c r="E12" s="19" t="str">
        <f t="shared" si="0"/>
        <v>PLU25092501</v>
      </c>
      <c r="F12" s="18"/>
      <c r="G12" s="19" t="s">
        <v>158</v>
      </c>
      <c r="H12" s="22" t="str">
        <f>VLOOKUP(D12,'Spec_Single_H&amp;S'!$B$2:$G$42,6,FALSE)</f>
        <v>PBHAv1.0</v>
      </c>
      <c r="I12" s="11">
        <v>104000</v>
      </c>
      <c r="J12" s="22">
        <f>VLOOKUP(D12,'Spec_Single_H&amp;S'!$B$2:$G$42,4,FALSE)</f>
        <v>53000</v>
      </c>
      <c r="K12" s="22">
        <f>VLOOKUP(D12,'Spec_Single_H&amp;S'!$B$2:$G$42,5,FALSE)</f>
        <v>73000</v>
      </c>
      <c r="L12" s="18" t="str">
        <f t="shared" si="1"/>
        <v>부적합</v>
      </c>
      <c r="M12" s="11">
        <v>12.16</v>
      </c>
      <c r="N12" s="11">
        <v>6.49</v>
      </c>
      <c r="O12" s="11">
        <v>-22.52</v>
      </c>
      <c r="P12" s="18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:53" x14ac:dyDescent="0.3">
      <c r="A13" s="12">
        <v>45930</v>
      </c>
      <c r="B13" s="18" t="s">
        <v>147</v>
      </c>
      <c r="C13" s="18" t="s">
        <v>56</v>
      </c>
      <c r="D13" s="18" t="s">
        <v>57</v>
      </c>
      <c r="E13" s="18" t="str">
        <f t="shared" si="0"/>
        <v>PLU25093001</v>
      </c>
      <c r="F13" s="18"/>
      <c r="G13" s="18" t="s">
        <v>158</v>
      </c>
      <c r="H13" s="22" t="str">
        <f>VLOOKUP(D13,'Spec_Single_H&amp;S'!$B$2:$G$42,6,FALSE)</f>
        <v>PBHAv1.0</v>
      </c>
      <c r="I13" s="11">
        <v>13720</v>
      </c>
      <c r="J13" s="22">
        <f>VLOOKUP(D13,'Spec_Single_H&amp;S'!$B$2:$G$42,4,FALSE)</f>
        <v>30000</v>
      </c>
      <c r="K13" s="22">
        <f>VLOOKUP(D13,'Spec_Single_H&amp;S'!$B$2:$G$42,5,FALSE)</f>
        <v>40000</v>
      </c>
      <c r="L13" s="18" t="str">
        <f t="shared" si="1"/>
        <v>부적합</v>
      </c>
      <c r="M13" s="18"/>
      <c r="N13" s="18"/>
      <c r="O13" s="18"/>
      <c r="P13" s="18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x14ac:dyDescent="0.3">
      <c r="A14" s="12">
        <v>45930</v>
      </c>
      <c r="B14" s="18" t="s">
        <v>147</v>
      </c>
      <c r="C14" s="18" t="s">
        <v>64</v>
      </c>
      <c r="D14" s="18" t="s">
        <v>67</v>
      </c>
      <c r="E14" s="18" t="str">
        <f t="shared" si="0"/>
        <v>NPLY25093001</v>
      </c>
      <c r="F14" s="18"/>
      <c r="G14" s="18" t="s">
        <v>158</v>
      </c>
      <c r="H14" s="22" t="str">
        <f>VLOOKUP(D14,'Spec_Single_H&amp;S'!$B$2:$G$42,6,FALSE)</f>
        <v>PBHBv1.0</v>
      </c>
      <c r="I14" s="18">
        <v>39200</v>
      </c>
      <c r="J14" s="22">
        <f>VLOOKUP(D14,'Spec_Single_H&amp;S'!$B$2:$G$42,4,FALSE)</f>
        <v>20000</v>
      </c>
      <c r="K14" s="22">
        <f>VLOOKUP(D14,'Spec_Single_H&amp;S'!$B$2:$G$42,5,FALSE)</f>
        <v>30000</v>
      </c>
      <c r="L14" s="18" t="str">
        <f t="shared" si="1"/>
        <v>부적합</v>
      </c>
      <c r="M14" s="18">
        <v>80.69</v>
      </c>
      <c r="N14" s="18">
        <v>31.24</v>
      </c>
      <c r="O14" s="18">
        <v>116.42</v>
      </c>
      <c r="P14" s="18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:53" x14ac:dyDescent="0.3">
      <c r="A15" s="12">
        <v>45930</v>
      </c>
      <c r="B15" s="18" t="s">
        <v>147</v>
      </c>
      <c r="C15" s="18" t="s">
        <v>51</v>
      </c>
      <c r="D15" s="18" t="s">
        <v>54</v>
      </c>
      <c r="E15" s="18" t="str">
        <f t="shared" si="0"/>
        <v>NPLW25093001</v>
      </c>
      <c r="F15" s="18"/>
      <c r="G15" s="18" t="s">
        <v>158</v>
      </c>
      <c r="H15" s="22" t="str">
        <f>VLOOKUP(D15,'Spec_Single_H&amp;S'!$B$2:$G$42,6,FALSE)</f>
        <v>PBHBv1.0</v>
      </c>
      <c r="I15" s="18">
        <v>14300</v>
      </c>
      <c r="J15" s="22">
        <f>VLOOKUP(D15,'Spec_Single_H&amp;S'!$B$2:$G$42,4,FALSE)</f>
        <v>14000</v>
      </c>
      <c r="K15" s="22">
        <f>VLOOKUP(D15,'Spec_Single_H&amp;S'!$B$2:$G$42,5,FALSE)</f>
        <v>24000</v>
      </c>
      <c r="L15" s="18" t="str">
        <f t="shared" si="1"/>
        <v>적합</v>
      </c>
      <c r="M15" s="18">
        <v>95.71</v>
      </c>
      <c r="N15" s="18">
        <v>-0.03</v>
      </c>
      <c r="O15" s="18">
        <v>3.02</v>
      </c>
      <c r="P15" s="1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x14ac:dyDescent="0.3">
      <c r="A16" s="12">
        <v>45930</v>
      </c>
      <c r="B16" s="18" t="s">
        <v>147</v>
      </c>
      <c r="C16" s="18" t="s">
        <v>51</v>
      </c>
      <c r="D16" s="18" t="s">
        <v>55</v>
      </c>
      <c r="E16" s="18" t="str">
        <f t="shared" si="0"/>
        <v>NPLW25093001</v>
      </c>
      <c r="F16" s="18"/>
      <c r="G16" s="18" t="s">
        <v>158</v>
      </c>
      <c r="H16" s="22" t="str">
        <f>VLOOKUP(D16,'Spec_Single_H&amp;S'!$B$2:$G$42,6,FALSE)</f>
        <v>PBHBv1.0</v>
      </c>
      <c r="I16" s="18">
        <v>18500</v>
      </c>
      <c r="J16" s="22">
        <f>VLOOKUP(D16,'Spec_Single_H&amp;S'!$B$2:$G$42,4,FALSE)</f>
        <v>11000</v>
      </c>
      <c r="K16" s="22">
        <f>VLOOKUP(D16,'Spec_Single_H&amp;S'!$B$2:$G$42,5,FALSE)</f>
        <v>21000</v>
      </c>
      <c r="L16" s="18" t="str">
        <f t="shared" si="1"/>
        <v>적합</v>
      </c>
      <c r="M16" s="18">
        <v>94.08</v>
      </c>
      <c r="N16" s="18">
        <v>0.24</v>
      </c>
      <c r="O16" s="18">
        <v>2.57</v>
      </c>
      <c r="P16" s="18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53" s="26" customFormat="1" x14ac:dyDescent="0.3">
      <c r="A17" s="12">
        <v>45952</v>
      </c>
      <c r="B17" s="18" t="s">
        <v>147</v>
      </c>
      <c r="C17" s="18" t="s">
        <v>56</v>
      </c>
      <c r="D17" s="18" t="s">
        <v>59</v>
      </c>
      <c r="E17" s="18" t="str">
        <f t="shared" ref="E17:E22" si="2">IF(D17="","",IF(B17="Silicone", "SL" &amp; IF(C17="Black","B",IF(C17="White","W",IF(C17="Blue","U",IF(C17="Green","G",IF(C17="Yellow","Y",IF(C17="Red","R",IF(C17="Pink","P",""))))))) &amp; TEXT(A17,"yymmdd") &amp; "01",IF(LEFT(D17,3)="NPL","NPL","PL") &amp; IF(C17="Black","B",IF(C17="White","W",IF(C17="Blue","U",IF(C17="Green","G",IF(C17="Yellow","Y",IF(C17="Red","R",IF(C17="Pink","P",""))))))) &amp; TEXT(A17,"yymmdd") &amp; "01"))</f>
        <v>PLU25102201</v>
      </c>
      <c r="F17" s="11"/>
      <c r="G17" s="18" t="s">
        <v>158</v>
      </c>
      <c r="H17" s="22" t="str">
        <f>VLOOKUP(D17,'Spec_Single_H&amp;S'!$B$2:$G$42,6,FALSE)</f>
        <v>PBHAv1.0</v>
      </c>
      <c r="I17" s="11">
        <v>74530</v>
      </c>
      <c r="J17" s="22">
        <f>VLOOKUP(D17,'Spec_Single_H&amp;S'!$B$2:$G$42,4,FALSE)</f>
        <v>53000</v>
      </c>
      <c r="K17" s="22">
        <f>VLOOKUP(D17,'Spec_Single_H&amp;S'!$B$2:$G$42,5,FALSE)</f>
        <v>73000</v>
      </c>
      <c r="L17" s="18" t="str">
        <f t="shared" ref="L17:L22" si="3">IF(AND(NOT(ISBLANK(I17)),I17&gt;=J17,I17&lt;=K17),"적합",IF(ISBLANK(I17),"", "부적합"))</f>
        <v>부적합</v>
      </c>
      <c r="M17" s="11"/>
      <c r="N17" s="11"/>
      <c r="O17" s="11"/>
      <c r="P17" s="18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 s="26" customFormat="1" x14ac:dyDescent="0.3">
      <c r="A18" s="12">
        <v>45953</v>
      </c>
      <c r="B18" s="18" t="s">
        <v>147</v>
      </c>
      <c r="C18" s="18" t="s">
        <v>47</v>
      </c>
      <c r="D18" s="18" t="s">
        <v>48</v>
      </c>
      <c r="E18" s="18" t="str">
        <f t="shared" si="2"/>
        <v>PLB25102301</v>
      </c>
      <c r="F18" s="11" t="s">
        <v>176</v>
      </c>
      <c r="G18" s="18" t="s">
        <v>158</v>
      </c>
      <c r="H18" s="22" t="str">
        <f>VLOOKUP(D18,'Spec_Single_H&amp;S'!$B$2:$G$42,6,FALSE)</f>
        <v>PBHAv1.0</v>
      </c>
      <c r="I18" s="11">
        <v>55150</v>
      </c>
      <c r="J18" s="22">
        <f>VLOOKUP(D18,'Spec_Single_H&amp;S'!$B$2:$G$42,4,FALSE)</f>
        <v>60000</v>
      </c>
      <c r="K18" s="22">
        <f>VLOOKUP(D18,'Spec_Single_H&amp;S'!$B$2:$G$42,5,FALSE)</f>
        <v>90000</v>
      </c>
      <c r="L18" s="18" t="str">
        <f t="shared" si="3"/>
        <v>부적합</v>
      </c>
      <c r="M18" s="11">
        <v>12.86</v>
      </c>
      <c r="N18" s="11">
        <v>0.31</v>
      </c>
      <c r="O18" s="11">
        <v>0.61</v>
      </c>
      <c r="P18" s="18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s="26" customFormat="1" x14ac:dyDescent="0.3">
      <c r="A19" s="12">
        <v>45953</v>
      </c>
      <c r="B19" s="18" t="s">
        <v>147</v>
      </c>
      <c r="C19" s="18" t="s">
        <v>51</v>
      </c>
      <c r="D19" s="18" t="s">
        <v>52</v>
      </c>
      <c r="E19" s="18" t="str">
        <f t="shared" si="2"/>
        <v>PLW25102301</v>
      </c>
      <c r="F19" s="11" t="s">
        <v>177</v>
      </c>
      <c r="G19" s="18" t="s">
        <v>158</v>
      </c>
      <c r="H19" s="22" t="str">
        <f>VLOOKUP(D19,'Spec_Single_H&amp;S'!$B$2:$G$42,6,FALSE)</f>
        <v>PBHAv1.0</v>
      </c>
      <c r="I19" s="11">
        <v>23490</v>
      </c>
      <c r="J19" s="22">
        <f>VLOOKUP(D19,'Spec_Single_H&amp;S'!$B$2:$G$42,4,FALSE)</f>
        <v>14000</v>
      </c>
      <c r="K19" s="22">
        <f>VLOOKUP(D19,'Spec_Single_H&amp;S'!$B$2:$G$42,5,FALSE)</f>
        <v>24000</v>
      </c>
      <c r="L19" s="18" t="str">
        <f t="shared" si="3"/>
        <v>적합</v>
      </c>
      <c r="M19" s="11">
        <v>95.68</v>
      </c>
      <c r="N19" s="11">
        <v>0.15</v>
      </c>
      <c r="O19" s="11">
        <v>1.99</v>
      </c>
      <c r="P19" s="18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 s="26" customFormat="1" x14ac:dyDescent="0.3">
      <c r="A20" s="12">
        <v>45953</v>
      </c>
      <c r="B20" s="18" t="s">
        <v>147</v>
      </c>
      <c r="C20" s="18" t="s">
        <v>51</v>
      </c>
      <c r="D20" s="18" t="s">
        <v>53</v>
      </c>
      <c r="E20" s="18" t="str">
        <f t="shared" si="2"/>
        <v>PLW25102301</v>
      </c>
      <c r="F20" s="11" t="s">
        <v>178</v>
      </c>
      <c r="G20" s="18" t="s">
        <v>158</v>
      </c>
      <c r="H20" s="22" t="str">
        <f>VLOOKUP(D20,'Spec_Single_H&amp;S'!$B$2:$G$42,6,FALSE)</f>
        <v>PBHAv1.0</v>
      </c>
      <c r="I20" s="11">
        <v>60480</v>
      </c>
      <c r="J20" s="22">
        <f>VLOOKUP(D20,'Spec_Single_H&amp;S'!$B$2:$G$42,4,FALSE)</f>
        <v>11000</v>
      </c>
      <c r="K20" s="22">
        <f>VLOOKUP(D20,'Spec_Single_H&amp;S'!$B$2:$G$42,5,FALSE)</f>
        <v>21000</v>
      </c>
      <c r="L20" s="18" t="str">
        <f t="shared" si="3"/>
        <v>부적합</v>
      </c>
      <c r="M20" s="11">
        <v>93.95</v>
      </c>
      <c r="N20" s="11">
        <v>0.31</v>
      </c>
      <c r="O20" s="11">
        <v>3.31</v>
      </c>
      <c r="P20" s="18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</row>
    <row r="21" spans="1:53" s="26" customFormat="1" x14ac:dyDescent="0.3">
      <c r="A21" s="12">
        <v>45953</v>
      </c>
      <c r="B21" s="18" t="s">
        <v>147</v>
      </c>
      <c r="C21" s="18" t="s">
        <v>68</v>
      </c>
      <c r="D21" s="18" t="s">
        <v>69</v>
      </c>
      <c r="E21" s="18" t="str">
        <f t="shared" si="2"/>
        <v>PLR25102301</v>
      </c>
      <c r="F21" s="11" t="s">
        <v>175</v>
      </c>
      <c r="G21" s="18" t="s">
        <v>158</v>
      </c>
      <c r="H21" s="22" t="str">
        <f>VLOOKUP(D21,'Spec_Single_H&amp;S'!$B$2:$G$42,6,FALSE)</f>
        <v>PBHAv1.0</v>
      </c>
      <c r="I21" s="11">
        <v>24880</v>
      </c>
      <c r="J21" s="22">
        <f>VLOOKUP(D21,'Spec_Single_H&amp;S'!$B$2:$G$42,4,FALSE)</f>
        <v>6000</v>
      </c>
      <c r="K21" s="22">
        <f>VLOOKUP(D21,'Spec_Single_H&amp;S'!$B$2:$G$42,5,FALSE)</f>
        <v>16000</v>
      </c>
      <c r="L21" s="18" t="str">
        <f t="shared" si="3"/>
        <v>부적합</v>
      </c>
      <c r="M21" s="11">
        <v>39.380000000000003</v>
      </c>
      <c r="N21" s="11">
        <v>54.53</v>
      </c>
      <c r="O21" s="11">
        <v>48.23</v>
      </c>
      <c r="P21" s="18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</row>
    <row r="22" spans="1:53" s="26" customFormat="1" x14ac:dyDescent="0.3">
      <c r="A22" s="12">
        <v>45953</v>
      </c>
      <c r="B22" s="18" t="s">
        <v>147</v>
      </c>
      <c r="C22" s="18" t="s">
        <v>64</v>
      </c>
      <c r="D22" s="18" t="s">
        <v>65</v>
      </c>
      <c r="E22" s="18" t="str">
        <f t="shared" si="2"/>
        <v>PLY25102301</v>
      </c>
      <c r="F22" s="11" t="s">
        <v>179</v>
      </c>
      <c r="G22" s="18" t="s">
        <v>158</v>
      </c>
      <c r="H22" s="22" t="str">
        <f>VLOOKUP(D22,'Spec_Single_H&amp;S'!$B$2:$G$42,6,FALSE)</f>
        <v>PBHAv1.0</v>
      </c>
      <c r="I22" s="11">
        <v>43510</v>
      </c>
      <c r="J22" s="22">
        <f>VLOOKUP(D22,'Spec_Single_H&amp;S'!$B$2:$G$42,4,FALSE)</f>
        <v>20000</v>
      </c>
      <c r="K22" s="22">
        <f>VLOOKUP(D22,'Spec_Single_H&amp;S'!$B$2:$G$42,5,FALSE)</f>
        <v>30000</v>
      </c>
      <c r="L22" s="18" t="str">
        <f t="shared" si="3"/>
        <v>부적합</v>
      </c>
      <c r="M22" s="11">
        <v>80.14</v>
      </c>
      <c r="N22" s="11">
        <v>32.21</v>
      </c>
      <c r="O22" s="11">
        <v>114.44</v>
      </c>
      <c r="P22" s="18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53" s="26" customFormat="1" x14ac:dyDescent="0.3">
      <c r="A23" s="12">
        <v>45958</v>
      </c>
      <c r="B23" s="18" t="s">
        <v>147</v>
      </c>
      <c r="C23" s="18" t="s">
        <v>64</v>
      </c>
      <c r="D23" s="18" t="s">
        <v>66</v>
      </c>
      <c r="E23" s="18" t="str">
        <f t="shared" ref="E23:E24" si="4">IF(D23="","",IF(B23="Silicone", "SL" &amp; IF(C23="Black","B",IF(C23="White","W",IF(C23="Blue","U",IF(C23="Green","G",IF(C23="Yellow","Y",IF(C23="Red","R",IF(C23="Pink","P",""))))))) &amp; TEXT(A23,"yymmdd") &amp; "01",IF(LEFT(D23,3)="NPL","NPL","PL") &amp; IF(C23="Black","B",IF(C23="White","W",IF(C23="Blue","U",IF(C23="Green","G",IF(C23="Yellow","Y",IF(C23="Red","R",IF(C23="Pink","P",""))))))) &amp; TEXT(A23,"yymmdd") &amp; "01"))</f>
        <v>PLY25102801</v>
      </c>
      <c r="F23" s="18" t="s">
        <v>174</v>
      </c>
      <c r="G23" s="18" t="s">
        <v>158</v>
      </c>
      <c r="H23" s="22" t="str">
        <f>VLOOKUP(D23,'Spec_Single_H&amp;S'!$B$2:$G$42,6,FALSE)</f>
        <v>PBHAv1.0</v>
      </c>
      <c r="I23" s="18">
        <v>27660</v>
      </c>
      <c r="J23" s="22">
        <f>VLOOKUP(D23,'Spec_Single_H&amp;S'!$B$2:$G$42,4,FALSE)</f>
        <v>20000</v>
      </c>
      <c r="K23" s="22">
        <f>VLOOKUP(D23,'Spec_Single_H&amp;S'!$B$2:$G$42,5,FALSE)</f>
        <v>30000</v>
      </c>
      <c r="L23" s="18" t="str">
        <f t="shared" ref="L23:L24" si="5">IF(AND(NOT(ISBLANK(I23)),I23&gt;=J23,I23&lt;=K23),"적합",IF(ISBLANK(I23),"", "부적합"))</f>
        <v>적합</v>
      </c>
      <c r="M23" s="18">
        <v>81.62</v>
      </c>
      <c r="N23" s="18">
        <v>29.61</v>
      </c>
      <c r="O23" s="18">
        <v>106.27</v>
      </c>
      <c r="P23" s="18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 spans="1:53" s="26" customFormat="1" x14ac:dyDescent="0.3">
      <c r="A24" s="12">
        <v>45958</v>
      </c>
      <c r="B24" s="18" t="s">
        <v>147</v>
      </c>
      <c r="C24" s="18" t="s">
        <v>64</v>
      </c>
      <c r="D24" s="18" t="s">
        <v>65</v>
      </c>
      <c r="E24" s="18" t="str">
        <f t="shared" si="4"/>
        <v>PLY25102801</v>
      </c>
      <c r="F24" s="18" t="s">
        <v>174</v>
      </c>
      <c r="G24" s="18" t="s">
        <v>158</v>
      </c>
      <c r="H24" s="22" t="str">
        <f>VLOOKUP(D24,'Spec_Single_H&amp;S'!$B$2:$G$42,6,FALSE)</f>
        <v>PBHAv1.0</v>
      </c>
      <c r="I24" s="18">
        <v>69710</v>
      </c>
      <c r="J24" s="22">
        <f>VLOOKUP(D24,'Spec_Single_H&amp;S'!$B$2:$G$42,4,FALSE)</f>
        <v>20000</v>
      </c>
      <c r="K24" s="22">
        <f>VLOOKUP(D24,'Spec_Single_H&amp;S'!$B$2:$G$42,5,FALSE)</f>
        <v>30000</v>
      </c>
      <c r="L24" s="18" t="str">
        <f t="shared" si="5"/>
        <v>부적합</v>
      </c>
      <c r="M24" s="18">
        <v>80.14</v>
      </c>
      <c r="N24" s="18">
        <v>32.21</v>
      </c>
      <c r="O24" s="18">
        <v>114.44</v>
      </c>
      <c r="P24" s="18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x14ac:dyDescent="0.3">
      <c r="A25" s="12">
        <v>45958</v>
      </c>
      <c r="B25" s="18" t="s">
        <v>147</v>
      </c>
      <c r="C25" s="18" t="s">
        <v>68</v>
      </c>
      <c r="D25" s="18" t="s">
        <v>69</v>
      </c>
      <c r="E25" s="18" t="str">
        <f t="shared" si="0"/>
        <v>PLR25102801</v>
      </c>
      <c r="F25" s="18" t="s">
        <v>175</v>
      </c>
      <c r="G25" s="18" t="s">
        <v>158</v>
      </c>
      <c r="H25" s="22" t="str">
        <f>VLOOKUP(D25,'Spec_Single_H&amp;S'!$B$2:$G$42,6,FALSE)</f>
        <v>PBHAv1.0</v>
      </c>
      <c r="I25" s="18">
        <v>22000</v>
      </c>
      <c r="J25" s="22">
        <f>VLOOKUP(D25,'Spec_Single_H&amp;S'!$B$2:$G$42,4,FALSE)</f>
        <v>6000</v>
      </c>
      <c r="K25" s="22">
        <f>VLOOKUP(D25,'Spec_Single_H&amp;S'!$B$2:$G$42,5,FALSE)</f>
        <v>16000</v>
      </c>
      <c r="L25" s="18" t="str">
        <f t="shared" si="1"/>
        <v>부적합</v>
      </c>
      <c r="M25" s="18">
        <v>42.06</v>
      </c>
      <c r="N25" s="18">
        <v>59.54</v>
      </c>
      <c r="O25" s="18">
        <v>51.51</v>
      </c>
      <c r="P25" s="18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</row>
    <row r="26" spans="1:53" x14ac:dyDescent="0.3">
      <c r="A26" s="12">
        <v>45958</v>
      </c>
      <c r="B26" s="18" t="s">
        <v>147</v>
      </c>
      <c r="C26" s="18" t="s">
        <v>71</v>
      </c>
      <c r="D26" s="18" t="s">
        <v>72</v>
      </c>
      <c r="E26" s="18" t="str">
        <f t="shared" si="0"/>
        <v>PLP25102801</v>
      </c>
      <c r="F26" s="18"/>
      <c r="G26" s="18" t="s">
        <v>158</v>
      </c>
      <c r="H26" s="22" t="str">
        <f>VLOOKUP(D26,'Spec_Single_H&amp;S'!$B$2:$G$42,6,FALSE)</f>
        <v>PBHAv1.0</v>
      </c>
      <c r="I26" s="18"/>
      <c r="J26" s="22">
        <f>VLOOKUP(D26,'Spec_Single_H&amp;S'!$B$2:$G$42,4,FALSE)</f>
        <v>7000</v>
      </c>
      <c r="K26" s="22">
        <f>VLOOKUP(D26,'Spec_Single_H&amp;S'!$B$2:$G$42,5,FALSE)</f>
        <v>17000</v>
      </c>
      <c r="L26" s="18" t="str">
        <f t="shared" si="1"/>
        <v/>
      </c>
      <c r="M26" s="18"/>
      <c r="N26" s="18"/>
      <c r="O26" s="18"/>
      <c r="P26" s="18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</row>
    <row r="27" spans="1:53" x14ac:dyDescent="0.3">
      <c r="A27" s="12">
        <v>45958</v>
      </c>
      <c r="B27" s="18" t="s">
        <v>147</v>
      </c>
      <c r="C27" s="18" t="s">
        <v>62</v>
      </c>
      <c r="D27" s="18" t="s">
        <v>63</v>
      </c>
      <c r="E27" s="18" t="str">
        <f t="shared" si="0"/>
        <v>PLG25102801</v>
      </c>
      <c r="F27" s="18"/>
      <c r="G27" s="18" t="s">
        <v>158</v>
      </c>
      <c r="H27" s="22" t="str">
        <f>VLOOKUP(D27,'Spec_Single_H&amp;S'!$B$2:$G$42,6,FALSE)</f>
        <v>PBHAv1.0</v>
      </c>
      <c r="I27" s="18"/>
      <c r="J27" s="22">
        <f>VLOOKUP(D27,'Spec_Single_H&amp;S'!$B$2:$G$42,4,FALSE)</f>
        <v>4000</v>
      </c>
      <c r="K27" s="22">
        <f>VLOOKUP(D27,'Spec_Single_H&amp;S'!$B$2:$G$42,5,FALSE)</f>
        <v>10000</v>
      </c>
      <c r="L27" s="18" t="str">
        <f t="shared" si="1"/>
        <v/>
      </c>
      <c r="M27" s="18"/>
      <c r="N27" s="18"/>
      <c r="O27" s="18"/>
      <c r="P27" s="18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</row>
    <row r="28" spans="1:53" x14ac:dyDescent="0.3">
      <c r="A28" s="12">
        <v>45973</v>
      </c>
      <c r="B28" s="18" t="s">
        <v>147</v>
      </c>
      <c r="C28" s="18" t="s">
        <v>64</v>
      </c>
      <c r="D28" s="18" t="s">
        <v>65</v>
      </c>
      <c r="E28" s="18" t="str">
        <f t="shared" si="0"/>
        <v>PLY25111201</v>
      </c>
      <c r="F28" s="18" t="s">
        <v>170</v>
      </c>
      <c r="G28" s="18" t="s">
        <v>158</v>
      </c>
      <c r="H28" s="22" t="str">
        <f>VLOOKUP(D28,'Spec_Single_H&amp;S'!$B$2:$G$42,6,FALSE)</f>
        <v>PBHAv1.0</v>
      </c>
      <c r="I28" s="18">
        <v>35310</v>
      </c>
      <c r="J28" s="22">
        <f>VLOOKUP(D28,'Spec_Single_H&amp;S'!$B$2:$G$42,4,FALSE)</f>
        <v>20000</v>
      </c>
      <c r="K28" s="22">
        <f>VLOOKUP(D28,'Spec_Single_H&amp;S'!$B$2:$G$42,5,FALSE)</f>
        <v>30000</v>
      </c>
      <c r="L28" s="18" t="str">
        <f t="shared" si="1"/>
        <v>부적합</v>
      </c>
      <c r="M28" s="11">
        <v>78.5</v>
      </c>
      <c r="N28" s="11">
        <v>35.299999999999997</v>
      </c>
      <c r="O28" s="11">
        <v>112.9</v>
      </c>
      <c r="P28" s="1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</row>
    <row r="29" spans="1:53" x14ac:dyDescent="0.3">
      <c r="A29" s="12">
        <v>45973</v>
      </c>
      <c r="B29" s="18" t="s">
        <v>147</v>
      </c>
      <c r="C29" s="18" t="s">
        <v>47</v>
      </c>
      <c r="D29" s="18" t="s">
        <v>49</v>
      </c>
      <c r="E29" s="18" t="str">
        <f t="shared" si="0"/>
        <v>PLB25111201</v>
      </c>
      <c r="F29" s="18" t="s">
        <v>171</v>
      </c>
      <c r="G29" s="18" t="s">
        <v>158</v>
      </c>
      <c r="H29" s="22" t="str">
        <f>VLOOKUP(D29,'Spec_Single_H&amp;S'!$B$2:$G$42,6,FALSE)</f>
        <v>PBHAv1.0</v>
      </c>
      <c r="I29" s="18">
        <v>56980</v>
      </c>
      <c r="J29" s="22">
        <f>VLOOKUP(D29,'Spec_Single_H&amp;S'!$B$2:$G$42,4,FALSE)</f>
        <v>60000</v>
      </c>
      <c r="K29" s="22">
        <f>VLOOKUP(D29,'Spec_Single_H&amp;S'!$B$2:$G$42,5,FALSE)</f>
        <v>90000</v>
      </c>
      <c r="L29" s="18" t="str">
        <f t="shared" si="1"/>
        <v>부적합</v>
      </c>
      <c r="M29" s="18">
        <v>9.8000000000000007</v>
      </c>
      <c r="N29" s="18">
        <v>-0.34</v>
      </c>
      <c r="O29" s="18">
        <v>-1.1200000000000001</v>
      </c>
      <c r="P29" s="18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</row>
    <row r="30" spans="1:53" x14ac:dyDescent="0.3">
      <c r="A30" s="12">
        <v>45974</v>
      </c>
      <c r="B30" s="18" t="s">
        <v>147</v>
      </c>
      <c r="C30" s="18" t="s">
        <v>47</v>
      </c>
      <c r="D30" s="18" t="s">
        <v>48</v>
      </c>
      <c r="E30" s="18" t="str">
        <f t="shared" si="0"/>
        <v>PLB25111301</v>
      </c>
      <c r="F30" s="18" t="s">
        <v>173</v>
      </c>
      <c r="G30" s="18" t="s">
        <v>158</v>
      </c>
      <c r="H30" s="22" t="str">
        <f>VLOOKUP(D30,'Spec_Single_H&amp;S'!$B$2:$G$42,6,FALSE)</f>
        <v>PBHAv1.0</v>
      </c>
      <c r="I30" s="18">
        <v>46860</v>
      </c>
      <c r="J30" s="22">
        <f>VLOOKUP(D30,'Spec_Single_H&amp;S'!$B$2:$G$42,4,FALSE)</f>
        <v>60000</v>
      </c>
      <c r="K30" s="22">
        <f>VLOOKUP(D30,'Spec_Single_H&amp;S'!$B$2:$G$42,5,FALSE)</f>
        <v>90000</v>
      </c>
      <c r="L30" s="18" t="str">
        <f t="shared" si="1"/>
        <v>부적합</v>
      </c>
      <c r="M30" s="11">
        <v>9.5500000000000007</v>
      </c>
      <c r="N30" s="11">
        <v>-0.14000000000000001</v>
      </c>
      <c r="O30" s="11">
        <v>-0.73</v>
      </c>
      <c r="P30" s="18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</row>
    <row r="31" spans="1:53" x14ac:dyDescent="0.3">
      <c r="A31" s="12">
        <v>45974</v>
      </c>
      <c r="B31" s="18" t="s">
        <v>147</v>
      </c>
      <c r="C31" s="18" t="s">
        <v>68</v>
      </c>
      <c r="D31" s="18" t="s">
        <v>69</v>
      </c>
      <c r="E31" s="18" t="str">
        <f t="shared" si="0"/>
        <v>PLR25111301</v>
      </c>
      <c r="F31" s="11" t="s">
        <v>172</v>
      </c>
      <c r="G31" s="18" t="s">
        <v>158</v>
      </c>
      <c r="H31" s="22" t="str">
        <f>VLOOKUP(D31,'Spec_Single_H&amp;S'!$B$2:$G$42,6,FALSE)</f>
        <v>PBHAv1.0</v>
      </c>
      <c r="I31" s="18">
        <v>12240</v>
      </c>
      <c r="J31" s="22">
        <f>VLOOKUP(D31,'Spec_Single_H&amp;S'!$B$2:$G$42,4,FALSE)</f>
        <v>6000</v>
      </c>
      <c r="K31" s="22">
        <f>VLOOKUP(D31,'Spec_Single_H&amp;S'!$B$2:$G$42,5,FALSE)</f>
        <v>16000</v>
      </c>
      <c r="L31" s="18" t="str">
        <f t="shared" si="1"/>
        <v>적합</v>
      </c>
      <c r="M31" s="11">
        <v>40.229999999999997</v>
      </c>
      <c r="N31" s="11">
        <v>56.99</v>
      </c>
      <c r="O31" s="11">
        <v>50.33</v>
      </c>
      <c r="P31" s="18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</row>
    <row r="32" spans="1:53" x14ac:dyDescent="0.3">
      <c r="A32" s="20">
        <v>45980</v>
      </c>
      <c r="B32" s="18" t="s">
        <v>160</v>
      </c>
      <c r="C32" s="18" t="s">
        <v>64</v>
      </c>
      <c r="D32" s="18" t="s">
        <v>87</v>
      </c>
      <c r="E32" s="18" t="str">
        <f t="shared" si="0"/>
        <v>SLY25111901</v>
      </c>
      <c r="F32" s="18"/>
      <c r="G32" s="18" t="s">
        <v>161</v>
      </c>
      <c r="H32" s="22" t="str">
        <f>VLOOKUP(D32,'Spec_Single_H&amp;S'!$B$2:$G$42,6,FALSE)</f>
        <v>SBCT</v>
      </c>
      <c r="I32" s="18">
        <v>67660</v>
      </c>
      <c r="J32" s="22">
        <f>VLOOKUP(D32,'Spec_Single_H&amp;S'!$B$2:$G$42,4,FALSE)</f>
        <v>11000</v>
      </c>
      <c r="K32" s="22">
        <f>VLOOKUP(D32,'Spec_Single_H&amp;S'!$B$2:$G$42,5,FALSE)</f>
        <v>15000</v>
      </c>
      <c r="L32" s="18" t="str">
        <f t="shared" si="1"/>
        <v>부적합</v>
      </c>
      <c r="M32" s="18">
        <v>82.741</v>
      </c>
      <c r="N32" s="18">
        <v>30.181999999999999</v>
      </c>
      <c r="O32" s="18">
        <v>121.74</v>
      </c>
      <c r="P32" s="18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</row>
    <row r="33" spans="1:53" x14ac:dyDescent="0.3">
      <c r="A33" s="20">
        <v>45980</v>
      </c>
      <c r="B33" s="18" t="s">
        <v>160</v>
      </c>
      <c r="C33" s="18" t="s">
        <v>47</v>
      </c>
      <c r="D33" s="18" t="s">
        <v>75</v>
      </c>
      <c r="E33" s="18" t="str">
        <f t="shared" si="0"/>
        <v>SLB25111901</v>
      </c>
      <c r="F33" s="18"/>
      <c r="G33" s="18" t="s">
        <v>162</v>
      </c>
      <c r="H33" s="22" t="str">
        <f>VLOOKUP(D33,'Spec_Single_H&amp;S'!$B$2:$G$42,6,FALSE)</f>
        <v>SBCT</v>
      </c>
      <c r="I33" s="18">
        <v>139400</v>
      </c>
      <c r="J33" s="22">
        <f>VLOOKUP(D33,'Spec_Single_H&amp;S'!$B$2:$G$42,4,FALSE)</f>
        <v>100000</v>
      </c>
      <c r="K33" s="22">
        <f>VLOOKUP(D33,'Spec_Single_H&amp;S'!$B$2:$G$42,5,FALSE)</f>
        <v>140000</v>
      </c>
      <c r="L33" s="18" t="str">
        <f t="shared" si="1"/>
        <v>적합</v>
      </c>
      <c r="M33" s="18">
        <v>24.736999999999998</v>
      </c>
      <c r="N33" s="18">
        <v>0.49980000000000002</v>
      </c>
      <c r="O33" s="18">
        <v>1.4826999999999999</v>
      </c>
      <c r="P33" s="18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</row>
    <row r="34" spans="1:53" x14ac:dyDescent="0.3">
      <c r="A34" s="20">
        <v>45980</v>
      </c>
      <c r="B34" s="18" t="s">
        <v>160</v>
      </c>
      <c r="C34" s="18" t="s">
        <v>68</v>
      </c>
      <c r="D34" s="18" t="s">
        <v>90</v>
      </c>
      <c r="E34" s="18" t="str">
        <f t="shared" si="0"/>
        <v>SLR25111901</v>
      </c>
      <c r="F34" s="18"/>
      <c r="G34" s="18" t="s">
        <v>163</v>
      </c>
      <c r="H34" s="22" t="str">
        <f>VLOOKUP(D34,'Spec_Single_H&amp;S'!$B$2:$G$42,6,FALSE)</f>
        <v>SBCT</v>
      </c>
      <c r="I34" s="18">
        <v>25070</v>
      </c>
      <c r="J34" s="22">
        <f>VLOOKUP(D34,'Spec_Single_H&amp;S'!$B$2:$G$42,4,FALSE)</f>
        <v>31000</v>
      </c>
      <c r="K34" s="22">
        <f>VLOOKUP(D34,'Spec_Single_H&amp;S'!$B$2:$G$42,5,FALSE)</f>
        <v>41000</v>
      </c>
      <c r="L34" s="18" t="str">
        <f t="shared" si="1"/>
        <v>부적합</v>
      </c>
      <c r="M34" s="18">
        <v>41.417999999999999</v>
      </c>
      <c r="N34" s="18">
        <v>58.896000000000001</v>
      </c>
      <c r="O34" s="18">
        <v>54.832000000000001</v>
      </c>
      <c r="P34" s="1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</row>
    <row r="35" spans="1:53" x14ac:dyDescent="0.3">
      <c r="A35" s="20">
        <v>45980</v>
      </c>
      <c r="B35" s="18" t="s">
        <v>160</v>
      </c>
      <c r="C35" s="18" t="s">
        <v>51</v>
      </c>
      <c r="D35" s="18" t="s">
        <v>81</v>
      </c>
      <c r="E35" s="18" t="str">
        <f t="shared" si="0"/>
        <v>SLW25111901</v>
      </c>
      <c r="F35" s="18"/>
      <c r="G35" s="18" t="s">
        <v>163</v>
      </c>
      <c r="H35" s="22" t="str">
        <f>VLOOKUP(D35,'Spec_Single_H&amp;S'!$B$2:$G$42,6,FALSE)</f>
        <v>SBCT</v>
      </c>
      <c r="I35" s="18">
        <v>41140</v>
      </c>
      <c r="J35" s="22">
        <f>VLOOKUP(D35,'Spec_Single_H&amp;S'!$B$2:$G$42,4,FALSE)</f>
        <v>40000</v>
      </c>
      <c r="K35" s="22">
        <f>VLOOKUP(D35,'Spec_Single_H&amp;S'!$B$2:$G$42,5,FALSE)</f>
        <v>60000</v>
      </c>
      <c r="L35" s="18" t="str">
        <f t="shared" si="1"/>
        <v>적합</v>
      </c>
      <c r="M35" s="18">
        <v>97.066999999999993</v>
      </c>
      <c r="N35" s="18">
        <v>0.18190000000000001</v>
      </c>
      <c r="O35" s="18">
        <v>1.7143999999999999</v>
      </c>
      <c r="P35" s="18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</row>
    <row r="36" spans="1:53" x14ac:dyDescent="0.3">
      <c r="A36" s="20">
        <v>45980</v>
      </c>
      <c r="B36" s="18" t="s">
        <v>147</v>
      </c>
      <c r="C36" s="18" t="s">
        <v>51</v>
      </c>
      <c r="D36" s="18" t="s">
        <v>52</v>
      </c>
      <c r="E36" s="18" t="str">
        <f t="shared" si="0"/>
        <v>PLW25111901</v>
      </c>
      <c r="F36" s="18" t="s">
        <v>169</v>
      </c>
      <c r="G36" s="18" t="s">
        <v>162</v>
      </c>
      <c r="H36" s="22" t="str">
        <f>VLOOKUP(D36,'Spec_Single_H&amp;S'!$B$2:$G$42,6,FALSE)</f>
        <v>PBHAv1.0</v>
      </c>
      <c r="I36" s="18">
        <v>19040</v>
      </c>
      <c r="J36" s="22">
        <f>VLOOKUP(D36,'Spec_Single_H&amp;S'!$B$2:$G$42,4,FALSE)</f>
        <v>14000</v>
      </c>
      <c r="K36" s="22">
        <f>VLOOKUP(D36,'Spec_Single_H&amp;S'!$B$2:$G$42,5,FALSE)</f>
        <v>24000</v>
      </c>
      <c r="L36" s="18" t="str">
        <f t="shared" si="1"/>
        <v>적합</v>
      </c>
      <c r="M36" s="18">
        <v>95.768000000000001</v>
      </c>
      <c r="N36" s="18">
        <v>0.20760000000000001</v>
      </c>
      <c r="O36" s="18">
        <v>1.8724000000000001</v>
      </c>
      <c r="P36" s="18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</row>
    <row r="37" spans="1:53" x14ac:dyDescent="0.3">
      <c r="A37" s="20">
        <v>45987</v>
      </c>
      <c r="B37" s="18" t="s">
        <v>147</v>
      </c>
      <c r="C37" s="18" t="s">
        <v>68</v>
      </c>
      <c r="D37" s="18" t="s">
        <v>69</v>
      </c>
      <c r="E37" s="18" t="str">
        <f t="shared" si="0"/>
        <v>PLR25112601</v>
      </c>
      <c r="F37" s="18" t="s">
        <v>165</v>
      </c>
      <c r="G37" s="18" t="s">
        <v>161</v>
      </c>
      <c r="H37" s="22" t="str">
        <f>VLOOKUP(D37,'Spec_Single_H&amp;S'!$B$2:$G$42,6,FALSE)</f>
        <v>PBHAv1.0</v>
      </c>
      <c r="I37" s="18">
        <v>12220</v>
      </c>
      <c r="J37" s="22">
        <f>VLOOKUP(D37,'Spec_Single_H&amp;S'!$B$2:$G$42,4,FALSE)</f>
        <v>6000</v>
      </c>
      <c r="K37" s="22">
        <f>VLOOKUP(D37,'Spec_Single_H&amp;S'!$B$2:$G$42,5,FALSE)</f>
        <v>16000</v>
      </c>
      <c r="L37" s="18" t="str">
        <f t="shared" si="1"/>
        <v>적합</v>
      </c>
      <c r="M37" s="18">
        <v>38.953000000000003</v>
      </c>
      <c r="N37" s="18">
        <v>55.344000000000001</v>
      </c>
      <c r="O37" s="18">
        <v>50.866999999999997</v>
      </c>
      <c r="P37" s="18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</row>
    <row r="38" spans="1:53" x14ac:dyDescent="0.3">
      <c r="A38" s="20">
        <v>45987</v>
      </c>
      <c r="B38" s="18" t="s">
        <v>147</v>
      </c>
      <c r="C38" s="18" t="s">
        <v>51</v>
      </c>
      <c r="D38" s="18" t="s">
        <v>52</v>
      </c>
      <c r="E38" s="18" t="str">
        <f t="shared" si="0"/>
        <v>PLW25112601</v>
      </c>
      <c r="F38" s="18" t="s">
        <v>166</v>
      </c>
      <c r="G38" s="18" t="s">
        <v>161</v>
      </c>
      <c r="H38" s="22" t="str">
        <f>VLOOKUP(D38,'Spec_Single_H&amp;S'!$B$2:$G$42,6,FALSE)</f>
        <v>PBHAv1.0</v>
      </c>
      <c r="I38" s="18">
        <v>34570</v>
      </c>
      <c r="J38" s="22">
        <f>VLOOKUP(D38,'Spec_Single_H&amp;S'!$B$2:$G$42,4,FALSE)</f>
        <v>14000</v>
      </c>
      <c r="K38" s="22">
        <f>VLOOKUP(D38,'Spec_Single_H&amp;S'!$B$2:$G$42,5,FALSE)</f>
        <v>24000</v>
      </c>
      <c r="L38" s="18" t="str">
        <f t="shared" si="1"/>
        <v>부적합</v>
      </c>
      <c r="M38" s="18">
        <v>97.35</v>
      </c>
      <c r="N38" s="18">
        <v>0.16</v>
      </c>
      <c r="O38" s="18">
        <v>2.27</v>
      </c>
      <c r="P38" s="1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</row>
    <row r="39" spans="1:53" x14ac:dyDescent="0.3">
      <c r="A39" s="20">
        <v>45987</v>
      </c>
      <c r="B39" s="18" t="s">
        <v>147</v>
      </c>
      <c r="C39" s="18" t="s">
        <v>47</v>
      </c>
      <c r="D39" s="18" t="s">
        <v>48</v>
      </c>
      <c r="E39" s="18" t="str">
        <f t="shared" si="0"/>
        <v>PLB25112601</v>
      </c>
      <c r="F39" s="18" t="s">
        <v>167</v>
      </c>
      <c r="G39" s="18" t="s">
        <v>161</v>
      </c>
      <c r="H39" s="22" t="str">
        <f>VLOOKUP(D39,'Spec_Single_H&amp;S'!$B$2:$G$42,6,FALSE)</f>
        <v>PBHAv1.0</v>
      </c>
      <c r="I39" s="18">
        <v>46030</v>
      </c>
      <c r="J39" s="22">
        <f>VLOOKUP(D39,'Spec_Single_H&amp;S'!$B$2:$G$42,4,FALSE)</f>
        <v>60000</v>
      </c>
      <c r="K39" s="22">
        <f>VLOOKUP(D39,'Spec_Single_H&amp;S'!$B$2:$G$42,5,FALSE)</f>
        <v>90000</v>
      </c>
      <c r="L39" s="18" t="str">
        <f t="shared" si="1"/>
        <v>부적합</v>
      </c>
      <c r="M39" s="18">
        <v>5.2751000000000001</v>
      </c>
      <c r="N39" s="18">
        <v>-0.11899999999999999</v>
      </c>
      <c r="O39" s="18">
        <v>-0.29199999999999998</v>
      </c>
      <c r="P39" s="18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</row>
    <row r="40" spans="1:53" x14ac:dyDescent="0.3">
      <c r="A40" s="20">
        <v>45987</v>
      </c>
      <c r="B40" s="18" t="s">
        <v>147</v>
      </c>
      <c r="C40" s="18" t="s">
        <v>68</v>
      </c>
      <c r="D40" s="18" t="s">
        <v>70</v>
      </c>
      <c r="E40" s="18" t="str">
        <f t="shared" si="0"/>
        <v>NPLR25112601</v>
      </c>
      <c r="F40" s="25" t="s">
        <v>168</v>
      </c>
      <c r="G40" s="18" t="s">
        <v>161</v>
      </c>
      <c r="H40" s="22" t="str">
        <f>VLOOKUP(D40,'Spec_Single_H&amp;S'!$B$2:$G$42,6,FALSE)</f>
        <v>PBHBv1.0</v>
      </c>
      <c r="I40" s="18">
        <v>17550</v>
      </c>
      <c r="J40" s="22">
        <f>VLOOKUP(D40,'Spec_Single_H&amp;S'!$B$2:$G$42,4,FALSE)</f>
        <v>6000</v>
      </c>
      <c r="K40" s="22">
        <f>VLOOKUP(D40,'Spec_Single_H&amp;S'!$B$2:$G$42,5,FALSE)</f>
        <v>16000</v>
      </c>
      <c r="L40" s="18" t="str">
        <f t="shared" si="1"/>
        <v>부적합</v>
      </c>
      <c r="M40" s="18">
        <v>38.923999999999999</v>
      </c>
      <c r="N40" s="18">
        <v>54.284999999999997</v>
      </c>
      <c r="O40" s="18">
        <v>48.887</v>
      </c>
      <c r="P40" s="18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 spans="1:53" x14ac:dyDescent="0.3">
      <c r="A41" s="20">
        <v>45987</v>
      </c>
      <c r="B41" s="18" t="s">
        <v>147</v>
      </c>
      <c r="C41" s="18" t="s">
        <v>64</v>
      </c>
      <c r="D41" s="18" t="s">
        <v>67</v>
      </c>
      <c r="E41" s="18" t="str">
        <f t="shared" si="0"/>
        <v>NPLY25112601</v>
      </c>
      <c r="F41" s="25" t="s">
        <v>168</v>
      </c>
      <c r="G41" s="18" t="s">
        <v>161</v>
      </c>
      <c r="H41" s="22" t="str">
        <f>VLOOKUP(D41,'Spec_Single_H&amp;S'!$B$2:$G$42,6,FALSE)</f>
        <v>PBHBv1.0</v>
      </c>
      <c r="I41" s="18">
        <v>47350</v>
      </c>
      <c r="J41" s="22">
        <f>VLOOKUP(D41,'Spec_Single_H&amp;S'!$B$2:$G$42,4,FALSE)</f>
        <v>20000</v>
      </c>
      <c r="K41" s="22">
        <f>VLOOKUP(D41,'Spec_Single_H&amp;S'!$B$2:$G$42,5,FALSE)</f>
        <v>30000</v>
      </c>
      <c r="L41" s="18" t="str">
        <f t="shared" si="1"/>
        <v>부적합</v>
      </c>
      <c r="M41" s="18">
        <v>79.61</v>
      </c>
      <c r="N41" s="18">
        <v>33.429000000000002</v>
      </c>
      <c r="O41" s="18">
        <v>114.03</v>
      </c>
      <c r="P41" s="1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</row>
    <row r="42" spans="1:53" x14ac:dyDescent="0.3">
      <c r="A42" s="20">
        <v>45987</v>
      </c>
      <c r="B42" s="18" t="s">
        <v>147</v>
      </c>
      <c r="C42" s="18" t="s">
        <v>51</v>
      </c>
      <c r="D42" s="18" t="s">
        <v>54</v>
      </c>
      <c r="E42" s="18" t="str">
        <f t="shared" si="0"/>
        <v>NPLW25112601</v>
      </c>
      <c r="F42" s="25" t="s">
        <v>168</v>
      </c>
      <c r="G42" s="18" t="s">
        <v>161</v>
      </c>
      <c r="H42" s="22" t="str">
        <f>VLOOKUP(D42,'Spec_Single_H&amp;S'!$B$2:$G$42,6,FALSE)</f>
        <v>PBHBv1.0</v>
      </c>
      <c r="I42" s="18">
        <v>14630</v>
      </c>
      <c r="J42" s="22">
        <f>VLOOKUP(D42,'Spec_Single_H&amp;S'!$B$2:$G$42,4,FALSE)</f>
        <v>14000</v>
      </c>
      <c r="K42" s="22">
        <f>VLOOKUP(D42,'Spec_Single_H&amp;S'!$B$2:$G$42,5,FALSE)</f>
        <v>24000</v>
      </c>
      <c r="L42" s="18" t="str">
        <f t="shared" si="1"/>
        <v>적합</v>
      </c>
      <c r="M42" s="18">
        <v>96.089500000000001</v>
      </c>
      <c r="N42" s="18">
        <v>2.2589999999999999E-2</v>
      </c>
      <c r="O42" s="18">
        <v>1.5615000000000001</v>
      </c>
      <c r="P42" s="18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 spans="1:53" x14ac:dyDescent="0.3">
      <c r="A43" s="20">
        <v>45993</v>
      </c>
      <c r="B43" s="18" t="s">
        <v>147</v>
      </c>
      <c r="C43" s="18" t="s">
        <v>68</v>
      </c>
      <c r="D43" s="18" t="s">
        <v>69</v>
      </c>
      <c r="E43" s="18" t="str">
        <f t="shared" si="0"/>
        <v>PLR25120201</v>
      </c>
      <c r="F43" s="24" t="s">
        <v>180</v>
      </c>
      <c r="G43" s="18" t="s">
        <v>181</v>
      </c>
      <c r="H43" s="22" t="str">
        <f>VLOOKUP(D43,'Spec_Single_H&amp;S'!$B$2:$G$42,6,FALSE)</f>
        <v>PBHAv1.0</v>
      </c>
      <c r="I43" s="18">
        <v>12840</v>
      </c>
      <c r="J43" s="22">
        <f>VLOOKUP(D43,'Spec_Single_H&amp;S'!$B$2:$G$42,4,FALSE)</f>
        <v>6000</v>
      </c>
      <c r="K43" s="22">
        <f>VLOOKUP(D43,'Spec_Single_H&amp;S'!$B$2:$G$42,5,FALSE)</f>
        <v>16000</v>
      </c>
      <c r="L43" s="18" t="str">
        <f t="shared" si="1"/>
        <v>적합</v>
      </c>
      <c r="M43" s="18">
        <v>41.600999999999999</v>
      </c>
      <c r="N43" s="18">
        <v>59.176000000000002</v>
      </c>
      <c r="O43" s="18">
        <v>51.661000000000001</v>
      </c>
      <c r="P43" s="18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 spans="1:53" x14ac:dyDescent="0.3">
      <c r="A44" s="20">
        <v>45993</v>
      </c>
      <c r="B44" s="18" t="s">
        <v>147</v>
      </c>
      <c r="C44" s="18" t="s">
        <v>64</v>
      </c>
      <c r="D44" s="18" t="s">
        <v>66</v>
      </c>
      <c r="E44" s="18" t="str">
        <f t="shared" si="0"/>
        <v>PLY25120201</v>
      </c>
      <c r="F44" s="24" t="s">
        <v>180</v>
      </c>
      <c r="G44" s="18" t="s">
        <v>181</v>
      </c>
      <c r="H44" s="22" t="str">
        <f>VLOOKUP(D44,'Spec_Single_H&amp;S'!$B$2:$G$42,6,FALSE)</f>
        <v>PBHAv1.0</v>
      </c>
      <c r="I44" s="18">
        <v>23250</v>
      </c>
      <c r="J44" s="22">
        <f>VLOOKUP(D44,'Spec_Single_H&amp;S'!$B$2:$G$42,4,FALSE)</f>
        <v>20000</v>
      </c>
      <c r="K44" s="22">
        <f>VLOOKUP(D44,'Spec_Single_H&amp;S'!$B$2:$G$42,5,FALSE)</f>
        <v>30000</v>
      </c>
      <c r="L44" s="18" t="str">
        <f t="shared" si="1"/>
        <v>적합</v>
      </c>
      <c r="M44" s="18">
        <v>78.953999999999994</v>
      </c>
      <c r="N44" s="18">
        <v>34.965000000000003</v>
      </c>
      <c r="O44" s="18">
        <v>11.292999999999999</v>
      </c>
      <c r="P44" s="1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1:53" x14ac:dyDescent="0.3">
      <c r="A45" s="20">
        <v>45993</v>
      </c>
      <c r="B45" s="18" t="s">
        <v>147</v>
      </c>
      <c r="C45" s="18" t="s">
        <v>51</v>
      </c>
      <c r="D45" s="18" t="s">
        <v>52</v>
      </c>
      <c r="E45" s="18" t="str">
        <f t="shared" si="0"/>
        <v>PLW25120201</v>
      </c>
      <c r="F45" s="24" t="s">
        <v>182</v>
      </c>
      <c r="G45" s="18" t="s">
        <v>181</v>
      </c>
      <c r="H45" s="22" t="str">
        <f>VLOOKUP(D45,'Spec_Single_H&amp;S'!$B$2:$G$42,6,FALSE)</f>
        <v>PBHAv1.0</v>
      </c>
      <c r="I45" s="18">
        <v>21520</v>
      </c>
      <c r="J45" s="22">
        <f>VLOOKUP(D45,'Spec_Single_H&amp;S'!$B$2:$G$42,4,FALSE)</f>
        <v>14000</v>
      </c>
      <c r="K45" s="22">
        <f>VLOOKUP(D45,'Spec_Single_H&amp;S'!$B$2:$G$42,5,FALSE)</f>
        <v>24000</v>
      </c>
      <c r="L45" s="18" t="str">
        <f t="shared" si="1"/>
        <v>적합</v>
      </c>
      <c r="M45" s="18">
        <v>95.695999999999998</v>
      </c>
      <c r="N45" s="18">
        <v>0.3977</v>
      </c>
      <c r="O45" s="18">
        <v>2.1158999999999999</v>
      </c>
      <c r="P45" s="1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 spans="1:53" x14ac:dyDescent="0.3">
      <c r="A46" s="20">
        <v>45995</v>
      </c>
      <c r="B46" s="18" t="s">
        <v>147</v>
      </c>
      <c r="C46" s="18" t="s">
        <v>47</v>
      </c>
      <c r="D46" s="18" t="s">
        <v>48</v>
      </c>
      <c r="E46" s="18" t="str">
        <f t="shared" si="0"/>
        <v>PLB25120401</v>
      </c>
      <c r="F46" s="18" t="s">
        <v>183</v>
      </c>
      <c r="G46" s="18" t="s">
        <v>184</v>
      </c>
      <c r="H46" s="22" t="str">
        <f>VLOOKUP(D46,'Spec_Single_H&amp;S'!$B$2:$G$42,6,FALSE)</f>
        <v>PBHAv1.0</v>
      </c>
      <c r="I46" s="18">
        <v>37850</v>
      </c>
      <c r="J46" s="22">
        <f>VLOOKUP(D46,'Spec_Single_H&amp;S'!$B$2:$G$42,4,FALSE)</f>
        <v>60000</v>
      </c>
      <c r="K46" s="22">
        <f>VLOOKUP(D46,'Spec_Single_H&amp;S'!$B$2:$G$42,5,FALSE)</f>
        <v>90000</v>
      </c>
      <c r="L46" s="18" t="str">
        <f t="shared" si="1"/>
        <v>부적합</v>
      </c>
      <c r="M46" s="18">
        <v>14.611000000000001</v>
      </c>
      <c r="N46" s="18">
        <v>0.17810000000000001</v>
      </c>
      <c r="O46" s="18">
        <v>0.55810000000000004</v>
      </c>
      <c r="P46" s="18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</row>
    <row r="47" spans="1:53" x14ac:dyDescent="0.3">
      <c r="A47" s="20">
        <v>45995</v>
      </c>
      <c r="B47" s="18" t="s">
        <v>147</v>
      </c>
      <c r="C47" s="18" t="s">
        <v>68</v>
      </c>
      <c r="D47" s="18" t="s">
        <v>69</v>
      </c>
      <c r="E47" s="18" t="str">
        <f t="shared" si="0"/>
        <v>PLR25120401</v>
      </c>
      <c r="F47" s="18" t="s">
        <v>185</v>
      </c>
      <c r="G47" s="18" t="s">
        <v>186</v>
      </c>
      <c r="H47" s="22" t="str">
        <f>VLOOKUP(D47,'Spec_Single_H&amp;S'!$B$2:$G$42,6,FALSE)</f>
        <v>PBHAv1.0</v>
      </c>
      <c r="I47" s="18">
        <v>12400</v>
      </c>
      <c r="J47" s="22">
        <f>VLOOKUP(D47,'Spec_Single_H&amp;S'!$B$2:$G$42,4,FALSE)</f>
        <v>6000</v>
      </c>
      <c r="K47" s="22">
        <f>VLOOKUP(D47,'Spec_Single_H&amp;S'!$B$2:$G$42,5,FALSE)</f>
        <v>16000</v>
      </c>
      <c r="L47" s="18" t="str">
        <f t="shared" si="1"/>
        <v>적합</v>
      </c>
      <c r="M47" s="18">
        <v>43.582000000000001</v>
      </c>
      <c r="N47" s="18">
        <v>60.14</v>
      </c>
      <c r="O47" s="18">
        <v>51.945</v>
      </c>
      <c r="P47" s="18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</row>
    <row r="48" spans="1:53" x14ac:dyDescent="0.3">
      <c r="A48" s="20">
        <v>45995</v>
      </c>
      <c r="B48" s="18" t="s">
        <v>147</v>
      </c>
      <c r="C48" s="18" t="s">
        <v>56</v>
      </c>
      <c r="D48" s="18" t="s">
        <v>59</v>
      </c>
      <c r="E48" s="18" t="str">
        <f t="shared" si="0"/>
        <v>PLU25120401</v>
      </c>
      <c r="F48" s="18" t="s">
        <v>187</v>
      </c>
      <c r="G48" s="18" t="s">
        <v>184</v>
      </c>
      <c r="H48" s="22" t="str">
        <f>VLOOKUP(D48,'Spec_Single_H&amp;S'!$B$2:$G$42,6,FALSE)</f>
        <v>PBHAv1.0</v>
      </c>
      <c r="I48" s="18">
        <v>77260</v>
      </c>
      <c r="J48" s="22">
        <f>VLOOKUP(D48,'Spec_Single_H&amp;S'!$B$2:$G$42,4,FALSE)</f>
        <v>53000</v>
      </c>
      <c r="K48" s="22">
        <f>VLOOKUP(D48,'Spec_Single_H&amp;S'!$B$2:$G$42,5,FALSE)</f>
        <v>73000</v>
      </c>
      <c r="L48" s="18" t="str">
        <f t="shared" si="1"/>
        <v>부적합</v>
      </c>
      <c r="M48" s="18">
        <v>13.015000000000001</v>
      </c>
      <c r="N48" s="18">
        <v>7.4847999999999999</v>
      </c>
      <c r="O48" s="18">
        <v>-26.92</v>
      </c>
      <c r="P48" s="18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</row>
    <row r="49" spans="1:53" x14ac:dyDescent="0.3">
      <c r="A49" s="20">
        <v>45995</v>
      </c>
      <c r="B49" s="18" t="s">
        <v>147</v>
      </c>
      <c r="C49" s="18" t="s">
        <v>64</v>
      </c>
      <c r="D49" s="18" t="s">
        <v>65</v>
      </c>
      <c r="E49" s="18" t="str">
        <f t="shared" si="0"/>
        <v>PLY25120401</v>
      </c>
      <c r="F49" s="18" t="s">
        <v>188</v>
      </c>
      <c r="G49" s="18" t="s">
        <v>184</v>
      </c>
      <c r="H49" s="22" t="str">
        <f>VLOOKUP(D49,'Spec_Single_H&amp;S'!$B$2:$G$42,6,FALSE)</f>
        <v>PBHAv1.0</v>
      </c>
      <c r="I49" s="18">
        <v>39080</v>
      </c>
      <c r="J49" s="22">
        <f>VLOOKUP(D49,'Spec_Single_H&amp;S'!$B$2:$G$42,4,FALSE)</f>
        <v>20000</v>
      </c>
      <c r="K49" s="22">
        <f>VLOOKUP(D49,'Spec_Single_H&amp;S'!$B$2:$G$42,5,FALSE)</f>
        <v>30000</v>
      </c>
      <c r="L49" s="18" t="str">
        <f t="shared" si="1"/>
        <v>부적합</v>
      </c>
      <c r="M49" s="18">
        <v>84.4</v>
      </c>
      <c r="N49" s="18">
        <v>32.935000000000002</v>
      </c>
      <c r="O49" s="18">
        <v>119.67</v>
      </c>
      <c r="P49" s="18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</row>
    <row r="50" spans="1:53" x14ac:dyDescent="0.3">
      <c r="A50" s="20">
        <v>45995</v>
      </c>
      <c r="B50" s="18" t="s">
        <v>147</v>
      </c>
      <c r="C50" s="18" t="s">
        <v>64</v>
      </c>
      <c r="D50" s="18" t="s">
        <v>66</v>
      </c>
      <c r="E50" s="18" t="str">
        <f t="shared" si="0"/>
        <v>PLY25120401</v>
      </c>
      <c r="F50" s="18" t="s">
        <v>189</v>
      </c>
      <c r="G50" s="18" t="s">
        <v>184</v>
      </c>
      <c r="H50" s="22" t="str">
        <f>VLOOKUP(D50,'Spec_Single_H&amp;S'!$B$2:$G$42,6,FALSE)</f>
        <v>PBHAv1.0</v>
      </c>
      <c r="I50" s="18">
        <v>16910</v>
      </c>
      <c r="J50" s="22">
        <f>VLOOKUP(D50,'Spec_Single_H&amp;S'!$B$2:$G$42,4,FALSE)</f>
        <v>20000</v>
      </c>
      <c r="K50" s="22">
        <f>VLOOKUP(D50,'Spec_Single_H&amp;S'!$B$2:$G$42,5,FALSE)</f>
        <v>30000</v>
      </c>
      <c r="L50" s="18" t="str">
        <f t="shared" si="1"/>
        <v>부적합</v>
      </c>
      <c r="M50" s="18">
        <v>84.917000000000002</v>
      </c>
      <c r="N50" s="18">
        <v>32.347999999999999</v>
      </c>
      <c r="O50" s="18">
        <v>112.81</v>
      </c>
      <c r="P50" s="18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</row>
    <row r="51" spans="1:53" x14ac:dyDescent="0.3">
      <c r="A51" s="20">
        <v>45995</v>
      </c>
      <c r="B51" s="18" t="s">
        <v>147</v>
      </c>
      <c r="C51" s="18" t="s">
        <v>51</v>
      </c>
      <c r="D51" s="18" t="s">
        <v>52</v>
      </c>
      <c r="E51" s="18" t="str">
        <f t="shared" si="0"/>
        <v>PLW25120401</v>
      </c>
      <c r="F51" s="18" t="s">
        <v>190</v>
      </c>
      <c r="G51" s="18" t="s">
        <v>191</v>
      </c>
      <c r="H51" s="22" t="str">
        <f>VLOOKUP(D51,'Spec_Single_H&amp;S'!$B$2:$G$42,6,FALSE)</f>
        <v>PBHAv1.0</v>
      </c>
      <c r="I51" s="18">
        <v>19580</v>
      </c>
      <c r="J51" s="22">
        <f>VLOOKUP(D51,'Spec_Single_H&amp;S'!$B$2:$G$42,4,FALSE)</f>
        <v>14000</v>
      </c>
      <c r="K51" s="22">
        <f>VLOOKUP(D51,'Spec_Single_H&amp;S'!$B$2:$G$42,5,FALSE)</f>
        <v>24000</v>
      </c>
      <c r="L51" s="18" t="str">
        <f t="shared" si="1"/>
        <v>적합</v>
      </c>
      <c r="M51" s="18">
        <v>99.691999999999993</v>
      </c>
      <c r="N51" s="18">
        <v>0.88690000000000002</v>
      </c>
      <c r="O51" s="18">
        <v>4.9086999999999996</v>
      </c>
      <c r="P51" s="18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</row>
    <row r="52" spans="1:53" x14ac:dyDescent="0.3">
      <c r="A52" s="20">
        <v>46000</v>
      </c>
      <c r="B52" s="18" t="s">
        <v>160</v>
      </c>
      <c r="C52" s="18" t="s">
        <v>64</v>
      </c>
      <c r="D52" s="18" t="s">
        <v>87</v>
      </c>
      <c r="E52" s="18" t="str">
        <f t="shared" si="0"/>
        <v>SLY25120901</v>
      </c>
      <c r="F52" s="18">
        <v>251023</v>
      </c>
      <c r="G52" s="18" t="s">
        <v>192</v>
      </c>
      <c r="H52" s="22" t="str">
        <f>VLOOKUP(D52,'Spec_Single_H&amp;S'!$B$2:$G$42,6,FALSE)</f>
        <v>SBCT</v>
      </c>
      <c r="I52" s="18">
        <v>62920</v>
      </c>
      <c r="J52" s="22">
        <f>VLOOKUP(D52,'Spec_Single_H&amp;S'!$B$2:$G$42,4,FALSE)</f>
        <v>11000</v>
      </c>
      <c r="K52" s="22">
        <f>VLOOKUP(D52,'Spec_Single_H&amp;S'!$B$2:$G$42,5,FALSE)</f>
        <v>15000</v>
      </c>
      <c r="L52" s="18" t="str">
        <f t="shared" si="1"/>
        <v>부적합</v>
      </c>
      <c r="M52" s="18"/>
      <c r="N52" s="18"/>
      <c r="O52" s="18"/>
      <c r="P52" s="18" t="s">
        <v>198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</row>
    <row r="53" spans="1:53" x14ac:dyDescent="0.3">
      <c r="A53" s="20">
        <v>46003</v>
      </c>
      <c r="B53" s="18" t="s">
        <v>147</v>
      </c>
      <c r="C53" s="18" t="s">
        <v>56</v>
      </c>
      <c r="D53" s="18" t="s">
        <v>59</v>
      </c>
      <c r="E53" s="18" t="str">
        <f t="shared" si="0"/>
        <v>PLU25121201</v>
      </c>
      <c r="F53" s="18" t="s">
        <v>193</v>
      </c>
      <c r="G53" s="18" t="s">
        <v>194</v>
      </c>
      <c r="H53" s="22" t="str">
        <f>VLOOKUP(D53,'Spec_Single_H&amp;S'!$B$2:$G$42,6,FALSE)</f>
        <v>PBHAv1.0</v>
      </c>
      <c r="I53" s="27">
        <v>70530</v>
      </c>
      <c r="J53" s="22">
        <f>VLOOKUP(D53,'Spec_Single_H&amp;S'!$B$2:$G$42,4,FALSE)</f>
        <v>53000</v>
      </c>
      <c r="K53" s="22">
        <f>VLOOKUP(D53,'Spec_Single_H&amp;S'!$B$2:$G$42,5,FALSE)</f>
        <v>73000</v>
      </c>
      <c r="L53" s="18" t="str">
        <f t="shared" si="1"/>
        <v>적합</v>
      </c>
      <c r="M53" s="18">
        <v>11.169</v>
      </c>
      <c r="N53" s="18">
        <v>9.1605000000000008</v>
      </c>
      <c r="O53" s="18">
        <v>-26.8</v>
      </c>
      <c r="P53" s="18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</row>
    <row r="54" spans="1:53" x14ac:dyDescent="0.3">
      <c r="A54" s="20">
        <v>46003</v>
      </c>
      <c r="B54" s="18" t="s">
        <v>147</v>
      </c>
      <c r="C54" s="18" t="s">
        <v>51</v>
      </c>
      <c r="D54" s="18" t="s">
        <v>52</v>
      </c>
      <c r="E54" s="18" t="str">
        <f t="shared" si="0"/>
        <v>PLW25121201</v>
      </c>
      <c r="F54" s="18" t="s">
        <v>195</v>
      </c>
      <c r="G54" s="18" t="s">
        <v>194</v>
      </c>
      <c r="H54" s="22" t="str">
        <f>VLOOKUP(D54,'Spec_Single_H&amp;S'!$B$2:$G$42,6,FALSE)</f>
        <v>PBHAv1.0</v>
      </c>
      <c r="I54" s="27">
        <v>17740</v>
      </c>
      <c r="J54" s="22">
        <f>VLOOKUP(D54,'Spec_Single_H&amp;S'!$B$2:$G$42,4,FALSE)</f>
        <v>14000</v>
      </c>
      <c r="K54" s="22">
        <f>VLOOKUP(D54,'Spec_Single_H&amp;S'!$B$2:$G$42,5,FALSE)</f>
        <v>24000</v>
      </c>
      <c r="L54" s="18" t="str">
        <f t="shared" si="1"/>
        <v>적합</v>
      </c>
      <c r="M54" s="18">
        <v>95.718999999999994</v>
      </c>
      <c r="N54" s="18">
        <v>0.42070000000000002</v>
      </c>
      <c r="O54" s="18">
        <v>2.1194999999999999</v>
      </c>
      <c r="P54" s="18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</row>
    <row r="55" spans="1:53" ht="14.45" customHeight="1" x14ac:dyDescent="0.3">
      <c r="A55" s="20">
        <v>46003</v>
      </c>
      <c r="B55" s="18" t="s">
        <v>147</v>
      </c>
      <c r="C55" s="18" t="s">
        <v>51</v>
      </c>
      <c r="D55" s="18" t="s">
        <v>53</v>
      </c>
      <c r="E55" s="18" t="str">
        <f t="shared" si="0"/>
        <v>PLW25121201</v>
      </c>
      <c r="F55" s="18" t="s">
        <v>196</v>
      </c>
      <c r="G55" s="18" t="s">
        <v>194</v>
      </c>
      <c r="H55" s="22" t="str">
        <f>VLOOKUP(D55,'Spec_Single_H&amp;S'!$B$2:$G$42,6,FALSE)</f>
        <v>PBHAv1.0</v>
      </c>
      <c r="I55" s="27">
        <v>13570</v>
      </c>
      <c r="J55" s="22">
        <f>VLOOKUP(D55,'Spec_Single_H&amp;S'!$B$2:$G$42,4,FALSE)</f>
        <v>11000</v>
      </c>
      <c r="K55" s="22">
        <f>VLOOKUP(D55,'Spec_Single_H&amp;S'!$B$2:$G$42,5,FALSE)</f>
        <v>21000</v>
      </c>
      <c r="L55" s="18" t="str">
        <f t="shared" si="1"/>
        <v>적합</v>
      </c>
      <c r="M55" s="18">
        <v>94.051000000000002</v>
      </c>
      <c r="N55" s="18">
        <v>0.53649999999999998</v>
      </c>
      <c r="O55" s="18">
        <v>2.8854000000000002</v>
      </c>
      <c r="P55" s="1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</row>
    <row r="56" spans="1:53" x14ac:dyDescent="0.3">
      <c r="A56" s="20">
        <v>46003</v>
      </c>
      <c r="B56" s="18" t="s">
        <v>147</v>
      </c>
      <c r="C56" s="18" t="s">
        <v>64</v>
      </c>
      <c r="D56" s="18" t="s">
        <v>65</v>
      </c>
      <c r="E56" s="18" t="str">
        <f t="shared" si="0"/>
        <v>PLY25121201</v>
      </c>
      <c r="F56" s="18" t="s">
        <v>197</v>
      </c>
      <c r="G56" s="18" t="s">
        <v>194</v>
      </c>
      <c r="H56" s="22" t="str">
        <f>VLOOKUP(D56,'Spec_Single_H&amp;S'!$B$2:$G$42,6,FALSE)</f>
        <v>PBHAv1.0</v>
      </c>
      <c r="I56" s="27">
        <v>42290</v>
      </c>
      <c r="J56" s="22">
        <f>VLOOKUP(D56,'Spec_Single_H&amp;S'!$B$2:$G$42,4,FALSE)</f>
        <v>20000</v>
      </c>
      <c r="K56" s="22">
        <f>VLOOKUP(D56,'Spec_Single_H&amp;S'!$B$2:$G$42,5,FALSE)</f>
        <v>30000</v>
      </c>
      <c r="L56" s="18" t="str">
        <f t="shared" si="1"/>
        <v>부적합</v>
      </c>
      <c r="M56" s="18">
        <v>79.91</v>
      </c>
      <c r="N56" s="18">
        <v>33.383000000000003</v>
      </c>
      <c r="O56" s="18">
        <v>117.52</v>
      </c>
      <c r="P56" s="18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</row>
    <row r="57" spans="1:53" x14ac:dyDescent="0.3">
      <c r="A57" s="20">
        <v>46009</v>
      </c>
      <c r="B57" s="18" t="s">
        <v>160</v>
      </c>
      <c r="C57" s="18" t="s">
        <v>64</v>
      </c>
      <c r="D57" s="18" t="s">
        <v>87</v>
      </c>
      <c r="E57" s="18" t="str">
        <f t="shared" ref="E57" si="6">IF(D57="","",IF(B57="Silicone", "SL" &amp; IF(C57="Black","B",IF(C57="White","W",IF(C57="Blue","U",IF(C57="Green","G",IF(C57="Yellow","Y",IF(C57="Red","R",IF(C57="Pink","P",""))))))) &amp; TEXT(A57,"yymmdd") &amp; "01",IF(LEFT(D57,3)="NPL","NPL","PL") &amp; IF(C57="Black","B",IF(C57="White","W",IF(C57="Blue","U",IF(C57="Green","G",IF(C57="Yellow","Y",IF(C57="Red","R",IF(C57="Pink","P",""))))))) &amp; TEXT(A57,"yymmdd") &amp; "01"))</f>
        <v>SLY25121801</v>
      </c>
      <c r="F57" s="18">
        <v>251205</v>
      </c>
      <c r="G57" s="18" t="s">
        <v>161</v>
      </c>
      <c r="H57" s="22" t="str">
        <f>VLOOKUP(D57,'Spec_Single_H&amp;S'!$B$2:$G$42,6,FALSE)</f>
        <v>SBCT</v>
      </c>
      <c r="I57" s="27">
        <v>67110</v>
      </c>
      <c r="J57" s="22">
        <f>VLOOKUP(D57,'Spec_Single_H&amp;S'!$B$2:$G$42,4,FALSE)</f>
        <v>11000</v>
      </c>
      <c r="K57" s="22">
        <f>VLOOKUP(D57,'Spec_Single_H&amp;S'!$B$2:$G$42,5,FALSE)</f>
        <v>15000</v>
      </c>
      <c r="L57" s="18" t="str">
        <f t="shared" ref="L57" si="7">IF(AND(NOT(ISBLANK(I57)),I57&gt;=J57,I57&lt;=K57),"적합",IF(ISBLANK(I57),"", "부적합"))</f>
        <v>부적합</v>
      </c>
      <c r="M57" s="18">
        <v>81.09</v>
      </c>
      <c r="N57" s="18">
        <v>28.26</v>
      </c>
      <c r="O57" s="18">
        <v>115.92</v>
      </c>
      <c r="P57" s="18" t="s">
        <v>198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</row>
    <row r="58" spans="1:53" x14ac:dyDescent="0.3">
      <c r="A58" s="20">
        <v>46017</v>
      </c>
      <c r="B58" s="18" t="s">
        <v>147</v>
      </c>
      <c r="C58" s="18" t="s">
        <v>47</v>
      </c>
      <c r="D58" s="18" t="s">
        <v>48</v>
      </c>
      <c r="E58" s="18" t="str">
        <f t="shared" si="0"/>
        <v>PLB25122601</v>
      </c>
      <c r="F58" s="18" t="s">
        <v>199</v>
      </c>
      <c r="G58" s="18" t="s">
        <v>200</v>
      </c>
      <c r="H58" s="22" t="str">
        <f>VLOOKUP(D58,'Spec_Single_H&amp;S'!$B$2:$G$42,6,FALSE)</f>
        <v>PBHAv1.0</v>
      </c>
      <c r="I58" s="27">
        <v>57900</v>
      </c>
      <c r="J58" s="22">
        <f>VLOOKUP(D58,'Spec_Single_H&amp;S'!$B$2:$G$42,4,FALSE)</f>
        <v>60000</v>
      </c>
      <c r="K58" s="22">
        <f>VLOOKUP(D58,'Spec_Single_H&amp;S'!$B$2:$G$42,5,FALSE)</f>
        <v>90000</v>
      </c>
      <c r="L58" s="18" t="str">
        <f t="shared" si="1"/>
        <v>부적합</v>
      </c>
      <c r="M58" s="18">
        <v>6.92</v>
      </c>
      <c r="N58" s="18">
        <v>-0.38</v>
      </c>
      <c r="O58" s="18">
        <v>-1.1299999999999999</v>
      </c>
      <c r="P58" s="18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</row>
    <row r="59" spans="1:53" x14ac:dyDescent="0.3">
      <c r="A59" s="20">
        <v>46017</v>
      </c>
      <c r="B59" s="18" t="s">
        <v>147</v>
      </c>
      <c r="C59" s="18" t="s">
        <v>68</v>
      </c>
      <c r="D59" s="18" t="s">
        <v>69</v>
      </c>
      <c r="E59" s="18" t="str">
        <f t="shared" si="0"/>
        <v>PLR25122601</v>
      </c>
      <c r="F59" s="18" t="s">
        <v>201</v>
      </c>
      <c r="G59" s="18" t="s">
        <v>200</v>
      </c>
      <c r="H59" s="22" t="str">
        <f>VLOOKUP(D59,'Spec_Single_H&amp;S'!$B$2:$G$42,6,FALSE)</f>
        <v>PBHAv1.0</v>
      </c>
      <c r="I59" s="18">
        <v>16500</v>
      </c>
      <c r="J59" s="22">
        <f>VLOOKUP(D59,'Spec_Single_H&amp;S'!$B$2:$G$42,4,FALSE)</f>
        <v>6000</v>
      </c>
      <c r="K59" s="22">
        <f>VLOOKUP(D59,'Spec_Single_H&amp;S'!$B$2:$G$42,5,FALSE)</f>
        <v>16000</v>
      </c>
      <c r="L59" s="18" t="str">
        <f t="shared" si="1"/>
        <v>부적합</v>
      </c>
      <c r="M59" s="18">
        <v>42.959000000000003</v>
      </c>
      <c r="N59" s="18">
        <v>61.487000000000002</v>
      </c>
      <c r="O59" s="18">
        <v>53.545000000000002</v>
      </c>
      <c r="P59" s="1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</row>
    <row r="60" spans="1:53" x14ac:dyDescent="0.3">
      <c r="A60" s="20">
        <v>46017</v>
      </c>
      <c r="B60" s="18" t="s">
        <v>147</v>
      </c>
      <c r="C60" s="18" t="s">
        <v>64</v>
      </c>
      <c r="D60" s="18" t="s">
        <v>65</v>
      </c>
      <c r="E60" s="18" t="str">
        <f t="shared" si="0"/>
        <v>PLY25122601</v>
      </c>
      <c r="F60" s="18" t="s">
        <v>202</v>
      </c>
      <c r="G60" s="18" t="s">
        <v>200</v>
      </c>
      <c r="H60" s="22" t="str">
        <f>VLOOKUP(D60,'Spec_Single_H&amp;S'!$B$2:$G$42,6,FALSE)</f>
        <v>PBHAv1.0</v>
      </c>
      <c r="I60" s="18">
        <v>50020</v>
      </c>
      <c r="J60" s="22">
        <f>VLOOKUP(D60,'Spec_Single_H&amp;S'!$B$2:$G$42,4,FALSE)</f>
        <v>20000</v>
      </c>
      <c r="K60" s="22">
        <f>VLOOKUP(D60,'Spec_Single_H&amp;S'!$B$2:$G$42,5,FALSE)</f>
        <v>30000</v>
      </c>
      <c r="L60" s="18" t="str">
        <f t="shared" si="1"/>
        <v>부적합</v>
      </c>
      <c r="M60" s="18">
        <v>80.051900000000003</v>
      </c>
      <c r="N60" s="18">
        <v>32.799999999999997</v>
      </c>
      <c r="O60" s="18">
        <v>120.4</v>
      </c>
      <c r="P60" s="18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</row>
    <row r="61" spans="1:53" x14ac:dyDescent="0.3">
      <c r="A61" s="20">
        <v>46017</v>
      </c>
      <c r="B61" s="18" t="s">
        <v>147</v>
      </c>
      <c r="C61" s="18" t="s">
        <v>51</v>
      </c>
      <c r="D61" s="18" t="s">
        <v>52</v>
      </c>
      <c r="E61" s="18" t="str">
        <f t="shared" si="0"/>
        <v>PLW25122601</v>
      </c>
      <c r="F61" s="18" t="s">
        <v>203</v>
      </c>
      <c r="G61" s="18" t="s">
        <v>204</v>
      </c>
      <c r="H61" s="22" t="str">
        <f>VLOOKUP(D61,'Spec_Single_H&amp;S'!$B$2:$G$42,6,FALSE)</f>
        <v>PBHAv1.0</v>
      </c>
      <c r="I61" s="18">
        <v>21850</v>
      </c>
      <c r="J61" s="22">
        <f>VLOOKUP(D61,'Spec_Single_H&amp;S'!$B$2:$G$42,4,FALSE)</f>
        <v>14000</v>
      </c>
      <c r="K61" s="22">
        <f>VLOOKUP(D61,'Spec_Single_H&amp;S'!$B$2:$G$42,5,FALSE)</f>
        <v>24000</v>
      </c>
      <c r="L61" s="18" t="str">
        <f t="shared" si="1"/>
        <v>적합</v>
      </c>
      <c r="M61" s="18">
        <v>95.513000000000005</v>
      </c>
      <c r="N61" s="18">
        <v>0.30630000000000002</v>
      </c>
      <c r="O61" s="45">
        <v>1.9709000000000001</v>
      </c>
      <c r="P61" s="1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</row>
    <row r="62" spans="1:53" x14ac:dyDescent="0.3">
      <c r="A62" s="20">
        <v>46029</v>
      </c>
      <c r="B62" s="18" t="s">
        <v>228</v>
      </c>
      <c r="C62" s="18" t="s">
        <v>229</v>
      </c>
      <c r="D62" s="18" t="s">
        <v>230</v>
      </c>
      <c r="E62" s="18" t="str">
        <f t="shared" si="0"/>
        <v>PLB26010701</v>
      </c>
      <c r="F62" s="18" t="s">
        <v>237</v>
      </c>
      <c r="G62" s="18" t="s">
        <v>231</v>
      </c>
      <c r="H62" s="22" t="str">
        <f>VLOOKUP(D62,'Spec_Single_H&amp;S'!$B$2:$G$42,6,FALSE)</f>
        <v>PBHAv1.0</v>
      </c>
      <c r="I62" s="18">
        <v>41760</v>
      </c>
      <c r="J62" s="22">
        <f>VLOOKUP(D62,'Spec_Single_H&amp;S'!$B$2:$G$42,4,FALSE)</f>
        <v>60000</v>
      </c>
      <c r="K62" s="22">
        <f>VLOOKUP(D62,'Spec_Single_H&amp;S'!$B$2:$G$42,5,FALSE)</f>
        <v>90000</v>
      </c>
      <c r="L62" s="18" t="str">
        <f t="shared" si="1"/>
        <v>부적합</v>
      </c>
      <c r="M62" s="18">
        <v>10.868</v>
      </c>
      <c r="N62" s="18">
        <v>-3.3000000000000002E-2</v>
      </c>
      <c r="O62" s="18">
        <v>-0.29499999999999998</v>
      </c>
      <c r="P62" s="18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</row>
    <row r="63" spans="1:53" x14ac:dyDescent="0.3">
      <c r="A63" s="20">
        <v>46029</v>
      </c>
      <c r="B63" s="18" t="s">
        <v>228</v>
      </c>
      <c r="C63" s="18" t="s">
        <v>232</v>
      </c>
      <c r="D63" s="18" t="s">
        <v>233</v>
      </c>
      <c r="E63" s="18" t="str">
        <f t="shared" si="0"/>
        <v>PLR26010701</v>
      </c>
      <c r="F63" s="18" t="s">
        <v>238</v>
      </c>
      <c r="G63" s="18" t="s">
        <v>234</v>
      </c>
      <c r="H63" s="22" t="str">
        <f>VLOOKUP(D63,'Spec_Single_H&amp;S'!$B$2:$G$42,6,FALSE)</f>
        <v>PBHAv1.0</v>
      </c>
      <c r="I63" s="18">
        <v>12570</v>
      </c>
      <c r="J63" s="22">
        <f>VLOOKUP(D63,'Spec_Single_H&amp;S'!$B$2:$G$42,4,FALSE)</f>
        <v>6000</v>
      </c>
      <c r="K63" s="22">
        <f>VLOOKUP(D63,'Spec_Single_H&amp;S'!$B$2:$G$42,5,FALSE)</f>
        <v>16000</v>
      </c>
      <c r="L63" s="18" t="str">
        <f t="shared" si="1"/>
        <v>적합</v>
      </c>
      <c r="M63" s="18">
        <v>41.921999999999997</v>
      </c>
      <c r="N63" s="18">
        <v>58.530999999999999</v>
      </c>
      <c r="O63" s="18">
        <v>49.712000000000003</v>
      </c>
      <c r="P63" s="1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</row>
    <row r="64" spans="1:53" x14ac:dyDescent="0.3">
      <c r="A64" s="20">
        <v>46029</v>
      </c>
      <c r="B64" s="18" t="s">
        <v>228</v>
      </c>
      <c r="C64" s="18" t="s">
        <v>235</v>
      </c>
      <c r="D64" s="18" t="s">
        <v>236</v>
      </c>
      <c r="E64" s="18" t="str">
        <f t="shared" si="0"/>
        <v>PLY26010701</v>
      </c>
      <c r="F64" s="18" t="s">
        <v>239</v>
      </c>
      <c r="G64" s="18" t="s">
        <v>234</v>
      </c>
      <c r="H64" s="22" t="str">
        <f>VLOOKUP(D64,'Spec_Single_H&amp;S'!$B$2:$G$42,6,FALSE)</f>
        <v>PBHAv1.0</v>
      </c>
      <c r="I64" s="18">
        <v>44410</v>
      </c>
      <c r="J64" s="22">
        <f>VLOOKUP(D64,'Spec_Single_H&amp;S'!$B$2:$G$42,4,FALSE)</f>
        <v>20000</v>
      </c>
      <c r="K64" s="22">
        <f>VLOOKUP(D64,'Spec_Single_H&amp;S'!$B$2:$G$42,5,FALSE)</f>
        <v>30000</v>
      </c>
      <c r="L64" s="18" t="str">
        <f t="shared" si="1"/>
        <v>부적합</v>
      </c>
      <c r="M64" s="18">
        <v>80.713800000000006</v>
      </c>
      <c r="N64" s="18">
        <v>31.670999999999999</v>
      </c>
      <c r="O64" s="18">
        <v>116.37</v>
      </c>
      <c r="P64" s="1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</row>
    <row r="65" spans="1:53" x14ac:dyDescent="0.3">
      <c r="A65" s="20">
        <v>46029</v>
      </c>
      <c r="B65" s="18" t="s">
        <v>228</v>
      </c>
      <c r="C65" s="18" t="s">
        <v>240</v>
      </c>
      <c r="D65" s="18" t="s">
        <v>241</v>
      </c>
      <c r="E65" s="18" t="str">
        <f t="shared" si="0"/>
        <v>PLW26010701</v>
      </c>
      <c r="F65" s="18" t="s">
        <v>242</v>
      </c>
      <c r="G65" s="18" t="s">
        <v>243</v>
      </c>
      <c r="H65" s="22" t="str">
        <f>VLOOKUP(D65,'Spec_Single_H&amp;S'!$B$2:$G$42,6,FALSE)</f>
        <v>PBHAv1.0</v>
      </c>
      <c r="I65" s="18">
        <v>24630</v>
      </c>
      <c r="J65" s="22">
        <f>VLOOKUP(D65,'Spec_Single_H&amp;S'!$B$2:$G$42,4,FALSE)</f>
        <v>14000</v>
      </c>
      <c r="K65" s="22">
        <f>VLOOKUP(D65,'Spec_Single_H&amp;S'!$B$2:$G$42,5,FALSE)</f>
        <v>24000</v>
      </c>
      <c r="L65" s="18" t="str">
        <f t="shared" si="1"/>
        <v>부적합</v>
      </c>
      <c r="M65" s="18">
        <v>95.83</v>
      </c>
      <c r="N65" s="18">
        <v>0.31269999999999998</v>
      </c>
      <c r="O65" s="18">
        <v>2.1480000000000001</v>
      </c>
      <c r="P65" s="18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</row>
    <row r="66" spans="1:53" x14ac:dyDescent="0.3">
      <c r="A66" s="20">
        <v>46029</v>
      </c>
      <c r="B66" s="18" t="s">
        <v>228</v>
      </c>
      <c r="C66" s="18" t="s">
        <v>240</v>
      </c>
      <c r="D66" s="18" t="s">
        <v>244</v>
      </c>
      <c r="E66" s="18" t="str">
        <f t="shared" si="0"/>
        <v>PLW26010701</v>
      </c>
      <c r="F66" s="18" t="s">
        <v>245</v>
      </c>
      <c r="G66" s="18" t="s">
        <v>246</v>
      </c>
      <c r="H66" s="22" t="str">
        <f>VLOOKUP(D66,'Spec_Single_H&amp;S'!$B$2:$G$42,6,FALSE)</f>
        <v>PBHAv1.0</v>
      </c>
      <c r="I66" s="18">
        <v>20250</v>
      </c>
      <c r="J66" s="22">
        <f>VLOOKUP(D66,'Spec_Single_H&amp;S'!$B$2:$G$42,4,FALSE)</f>
        <v>11000</v>
      </c>
      <c r="K66" s="22">
        <f>VLOOKUP(D66,'Spec_Single_H&amp;S'!$B$2:$G$42,5,FALSE)</f>
        <v>21000</v>
      </c>
      <c r="L66" s="18" t="str">
        <f t="shared" si="1"/>
        <v>적합</v>
      </c>
      <c r="M66" s="18">
        <v>94.466999999999999</v>
      </c>
      <c r="N66" s="18">
        <v>0.495</v>
      </c>
      <c r="O66" s="18">
        <v>3.3187000000000002</v>
      </c>
      <c r="P66" s="18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</row>
    <row r="67" spans="1:53" x14ac:dyDescent="0.3">
      <c r="A67" s="20">
        <v>46029</v>
      </c>
      <c r="B67" s="18" t="s">
        <v>228</v>
      </c>
      <c r="C67" s="18" t="s">
        <v>247</v>
      </c>
      <c r="D67" s="18" t="s">
        <v>248</v>
      </c>
      <c r="E67" s="18" t="str">
        <f t="shared" si="0"/>
        <v>PLP26010701</v>
      </c>
      <c r="F67" s="18" t="s">
        <v>249</v>
      </c>
      <c r="G67" s="18" t="s">
        <v>231</v>
      </c>
      <c r="H67" s="22" t="str">
        <f>VLOOKUP(D67,'Spec_Single_H&amp;S'!$B$2:$G$42,6,FALSE)</f>
        <v>PBHAv1.0</v>
      </c>
      <c r="I67" s="18">
        <v>14860</v>
      </c>
      <c r="J67" s="22">
        <f>VLOOKUP(D67,'Spec_Single_H&amp;S'!$B$2:$G$42,4,FALSE)</f>
        <v>7000</v>
      </c>
      <c r="K67" s="22">
        <f>VLOOKUP(D67,'Spec_Single_H&amp;S'!$B$2:$G$42,5,FALSE)</f>
        <v>17000</v>
      </c>
      <c r="L67" s="18" t="str">
        <f t="shared" si="1"/>
        <v>적합</v>
      </c>
      <c r="M67" s="18">
        <v>34.369999999999997</v>
      </c>
      <c r="N67" s="18">
        <v>56.033999999999999</v>
      </c>
      <c r="O67" s="18">
        <v>27.881</v>
      </c>
      <c r="P67" s="1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</row>
    <row r="68" spans="1:53" x14ac:dyDescent="0.3">
      <c r="A68" s="20">
        <v>46029</v>
      </c>
      <c r="B68" s="18" t="s">
        <v>228</v>
      </c>
      <c r="C68" s="18" t="s">
        <v>250</v>
      </c>
      <c r="D68" s="18" t="s">
        <v>251</v>
      </c>
      <c r="E68" s="18" t="str">
        <f t="shared" si="0"/>
        <v>PLG26010701</v>
      </c>
      <c r="F68" s="18" t="s">
        <v>238</v>
      </c>
      <c r="G68" s="18" t="s">
        <v>243</v>
      </c>
      <c r="H68" s="22" t="str">
        <f>VLOOKUP(D68,'Spec_Single_H&amp;S'!$B$2:$G$42,6,FALSE)</f>
        <v>PBHAv1.0</v>
      </c>
      <c r="I68" s="18">
        <v>9304</v>
      </c>
      <c r="J68" s="22">
        <f>VLOOKUP(D68,'Spec_Single_H&amp;S'!$B$2:$G$42,4,FALSE)</f>
        <v>4000</v>
      </c>
      <c r="K68" s="22">
        <f>VLOOKUP(D68,'Spec_Single_H&amp;S'!$B$2:$G$42,5,FALSE)</f>
        <v>10000</v>
      </c>
      <c r="L68" s="18" t="str">
        <f t="shared" si="1"/>
        <v>적합</v>
      </c>
      <c r="M68" s="18">
        <v>14.702999999999999</v>
      </c>
      <c r="N68" s="18">
        <v>-36.35</v>
      </c>
      <c r="O68" s="18">
        <v>-9.2910000000000004</v>
      </c>
      <c r="P68" s="1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</row>
    <row r="69" spans="1:53" x14ac:dyDescent="0.3">
      <c r="A69" s="18"/>
      <c r="B69" s="18"/>
      <c r="C69" s="18"/>
      <c r="D69" s="18"/>
      <c r="E69" s="18" t="str">
        <f t="shared" si="0"/>
        <v/>
      </c>
      <c r="F69" s="18"/>
      <c r="G69" s="18"/>
      <c r="H69" s="22" t="e">
        <f>VLOOKUP(D69,'Spec_Single_H&amp;S'!$B$2:$G$42,6,FALSE)</f>
        <v>#N/A</v>
      </c>
      <c r="I69" s="18"/>
      <c r="J69" s="22" t="e">
        <f>VLOOKUP(D69,'Spec_Single_H&amp;S'!$B$2:$G$42,4,FALSE)</f>
        <v>#N/A</v>
      </c>
      <c r="K69" s="22" t="e">
        <f>VLOOKUP(D69,'Spec_Single_H&amp;S'!$B$2:$G$42,5,FALSE)</f>
        <v>#N/A</v>
      </c>
      <c r="L69" s="18" t="e">
        <f t="shared" si="1"/>
        <v>#N/A</v>
      </c>
      <c r="M69" s="18"/>
      <c r="N69" s="18"/>
      <c r="O69" s="18"/>
      <c r="P69" s="1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</row>
    <row r="70" spans="1:53" x14ac:dyDescent="0.3">
      <c r="A70" s="18"/>
      <c r="B70" s="18"/>
      <c r="C70" s="18"/>
      <c r="D70" s="18"/>
      <c r="E70" s="18" t="str">
        <f t="shared" si="0"/>
        <v/>
      </c>
      <c r="F70" s="18"/>
      <c r="G70" s="18"/>
      <c r="H70" s="22" t="str">
        <f>IF(B70&lt;&gt;"Silicone","",IFERROR(XLOOKUP(D70,#REF!,#REF!),""))</f>
        <v/>
      </c>
      <c r="I70" s="18"/>
      <c r="J70" s="22" t="e">
        <f>VLOOKUP(D70,'Spec_Single_H&amp;S'!$B$2:$G$42,4,FALSE)</f>
        <v>#N/A</v>
      </c>
      <c r="K70" s="22" t="e">
        <f>VLOOKUP(D70,'Spec_Single_H&amp;S'!$B$2:$G$42,5,FALSE)</f>
        <v>#N/A</v>
      </c>
      <c r="L70" s="18" t="e">
        <f t="shared" si="1"/>
        <v>#N/A</v>
      </c>
      <c r="M70" s="18"/>
      <c r="N70" s="18"/>
      <c r="O70" s="18"/>
      <c r="P70" s="1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</row>
    <row r="71" spans="1:53" x14ac:dyDescent="0.3">
      <c r="A71" s="18"/>
      <c r="B71" s="18"/>
      <c r="C71" s="18"/>
      <c r="D71" s="18"/>
      <c r="E71" s="18" t="str">
        <f t="shared" si="0"/>
        <v/>
      </c>
      <c r="F71" s="18"/>
      <c r="G71" s="18"/>
      <c r="H71" s="22" t="str">
        <f>IF(B71&lt;&gt;"Silicone","",IFERROR(XLOOKUP(D71,#REF!,#REF!),""))</f>
        <v/>
      </c>
      <c r="I71" s="18"/>
      <c r="J71" s="22" t="e">
        <f>VLOOKUP(D71,'Spec_Single_H&amp;S'!$B$2:$G$42,4,FALSE)</f>
        <v>#N/A</v>
      </c>
      <c r="K71" s="22" t="e">
        <f>VLOOKUP(D71,'Spec_Single_H&amp;S'!$B$2:$G$42,5,FALSE)</f>
        <v>#N/A</v>
      </c>
      <c r="L71" s="18" t="e">
        <f t="shared" si="1"/>
        <v>#N/A</v>
      </c>
      <c r="M71" s="18"/>
      <c r="N71" s="18"/>
      <c r="O71" s="18"/>
      <c r="P71" s="1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</row>
    <row r="72" spans="1:53" x14ac:dyDescent="0.3">
      <c r="A72" s="18"/>
      <c r="B72" s="18"/>
      <c r="C72" s="18"/>
      <c r="D72" s="18"/>
      <c r="E72" s="18" t="str">
        <f t="shared" si="0"/>
        <v/>
      </c>
      <c r="F72" s="18"/>
      <c r="G72" s="18"/>
      <c r="H72" s="22" t="str">
        <f>IF(B72&lt;&gt;"Silicone","",IFERROR(XLOOKUP(D72,#REF!,#REF!),""))</f>
        <v/>
      </c>
      <c r="I72" s="18"/>
      <c r="J72" s="22" t="e">
        <f>VLOOKUP(D72,'Spec_Single_H&amp;S'!$B$2:$G$42,4,FALSE)</f>
        <v>#N/A</v>
      </c>
      <c r="K72" s="22" t="e">
        <f>VLOOKUP(D72,'Spec_Single_H&amp;S'!$B$2:$G$42,5,FALSE)</f>
        <v>#N/A</v>
      </c>
      <c r="L72" s="18" t="e">
        <f t="shared" si="1"/>
        <v>#N/A</v>
      </c>
      <c r="M72" s="18"/>
      <c r="N72" s="18"/>
      <c r="O72" s="18"/>
      <c r="P72" s="1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</row>
    <row r="73" spans="1:53" x14ac:dyDescent="0.3">
      <c r="A73" s="18"/>
      <c r="B73" s="18"/>
      <c r="C73" s="18"/>
      <c r="D73" s="18"/>
      <c r="E73" s="18" t="str">
        <f t="shared" ref="E73:E136" si="8">IF(D73="","",IF(B73="Silicone", "SL" &amp; IF(C73="Black","B",IF(C73="White","W",IF(C73="Blue","U",IF(C73="Green","G",IF(C73="Yellow","Y",IF(C73="Red","R",IF(C73="Pink","P",""))))))) &amp; TEXT(A73,"yymmdd") &amp; "01",IF(LEFT(D73,3)="NPL","NPL","PL") &amp; IF(C73="Black","B",IF(C73="White","W",IF(C73="Blue","U",IF(C73="Green","G",IF(C73="Yellow","Y",IF(C73="Red","R",IF(C73="Pink","P",""))))))) &amp; TEXT(A73,"yymmdd") &amp; "01"))</f>
        <v/>
      </c>
      <c r="F73" s="18"/>
      <c r="G73" s="18"/>
      <c r="H73" s="22" t="str">
        <f>IF(B73&lt;&gt;"Silicone","",IFERROR(XLOOKUP(D73,#REF!,#REF!),""))</f>
        <v/>
      </c>
      <c r="I73" s="18"/>
      <c r="J73" s="22" t="e">
        <f>VLOOKUP(D73,'Spec_Single_H&amp;S'!$B$2:$G$42,4,FALSE)</f>
        <v>#N/A</v>
      </c>
      <c r="K73" s="22" t="e">
        <f>VLOOKUP(D73,'Spec_Single_H&amp;S'!$B$2:$G$42,5,FALSE)</f>
        <v>#N/A</v>
      </c>
      <c r="L73" s="18" t="e">
        <f t="shared" ref="L73:L136" si="9">IF(AND(NOT(ISBLANK(I73)),I73&gt;=J73,I73&lt;=K73),"적합",IF(ISBLANK(I73),"", "부적합"))</f>
        <v>#N/A</v>
      </c>
      <c r="M73" s="18"/>
      <c r="N73" s="18"/>
      <c r="O73" s="18"/>
      <c r="P73" s="1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</row>
    <row r="74" spans="1:53" x14ac:dyDescent="0.3">
      <c r="A74" s="18"/>
      <c r="B74" s="18"/>
      <c r="C74" s="18"/>
      <c r="D74" s="18"/>
      <c r="E74" s="18" t="str">
        <f t="shared" si="8"/>
        <v/>
      </c>
      <c r="F74" s="18"/>
      <c r="G74" s="18"/>
      <c r="H74" s="22" t="str">
        <f>IF(B74&lt;&gt;"Silicone","",IFERROR(XLOOKUP(D74,#REF!,#REF!),""))</f>
        <v/>
      </c>
      <c r="I74" s="18"/>
      <c r="J74" s="22" t="e">
        <f>VLOOKUP(D74,'Spec_Single_H&amp;S'!$B$2:$G$42,4,FALSE)</f>
        <v>#N/A</v>
      </c>
      <c r="K74" s="22" t="e">
        <f>VLOOKUP(D74,'Spec_Single_H&amp;S'!$B$2:$G$42,5,FALSE)</f>
        <v>#N/A</v>
      </c>
      <c r="L74" s="18" t="e">
        <f t="shared" si="9"/>
        <v>#N/A</v>
      </c>
      <c r="M74" s="18"/>
      <c r="N74" s="18"/>
      <c r="O74" s="18"/>
      <c r="P74" s="1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</row>
    <row r="75" spans="1:53" x14ac:dyDescent="0.3">
      <c r="A75" s="18"/>
      <c r="B75" s="18"/>
      <c r="C75" s="18"/>
      <c r="D75" s="18"/>
      <c r="E75" s="18" t="str">
        <f t="shared" si="8"/>
        <v/>
      </c>
      <c r="F75" s="18"/>
      <c r="G75" s="18"/>
      <c r="H75" s="22" t="str">
        <f>IF(B75&lt;&gt;"Silicone","",IFERROR(XLOOKUP(D75,#REF!,#REF!),""))</f>
        <v/>
      </c>
      <c r="I75" s="18"/>
      <c r="J75" s="22" t="e">
        <f>VLOOKUP(D75,'Spec_Single_H&amp;S'!$B$2:$G$42,4,FALSE)</f>
        <v>#N/A</v>
      </c>
      <c r="K75" s="22" t="e">
        <f>VLOOKUP(D75,'Spec_Single_H&amp;S'!$B$2:$G$42,5,FALSE)</f>
        <v>#N/A</v>
      </c>
      <c r="L75" s="18" t="e">
        <f t="shared" si="9"/>
        <v>#N/A</v>
      </c>
      <c r="M75" s="18"/>
      <c r="N75" s="18"/>
      <c r="O75" s="18"/>
      <c r="P75" s="1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</row>
    <row r="76" spans="1:53" x14ac:dyDescent="0.3">
      <c r="A76" s="18"/>
      <c r="B76" s="18"/>
      <c r="C76" s="18"/>
      <c r="D76" s="18"/>
      <c r="E76" s="18" t="str">
        <f t="shared" si="8"/>
        <v/>
      </c>
      <c r="F76" s="18"/>
      <c r="G76" s="18"/>
      <c r="H76" s="22" t="str">
        <f>IF(B76&lt;&gt;"Silicone","",IFERROR(XLOOKUP(D76,#REF!,#REF!),""))</f>
        <v/>
      </c>
      <c r="I76" s="18"/>
      <c r="J76" s="22" t="e">
        <f>VLOOKUP(D76,'Spec_Single_H&amp;S'!$B$2:$G$42,4,FALSE)</f>
        <v>#N/A</v>
      </c>
      <c r="K76" s="22" t="e">
        <f>VLOOKUP(D76,'Spec_Single_H&amp;S'!$B$2:$G$42,5,FALSE)</f>
        <v>#N/A</v>
      </c>
      <c r="L76" s="18" t="e">
        <f t="shared" si="9"/>
        <v>#N/A</v>
      </c>
      <c r="M76" s="18"/>
      <c r="N76" s="18"/>
      <c r="O76" s="18"/>
      <c r="P76" s="1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</row>
    <row r="77" spans="1:53" x14ac:dyDescent="0.3">
      <c r="A77" s="18"/>
      <c r="B77" s="18"/>
      <c r="C77" s="18"/>
      <c r="D77" s="18"/>
      <c r="E77" s="18" t="str">
        <f t="shared" si="8"/>
        <v/>
      </c>
      <c r="F77" s="18"/>
      <c r="G77" s="18"/>
      <c r="H77" s="22" t="str">
        <f>IF(B77&lt;&gt;"Silicone","",IFERROR(XLOOKUP(D77,#REF!,#REF!),""))</f>
        <v/>
      </c>
      <c r="I77" s="18"/>
      <c r="J77" s="22" t="e">
        <f>VLOOKUP(D77,'Spec_Single_H&amp;S'!$B$2:$G$42,4,FALSE)</f>
        <v>#N/A</v>
      </c>
      <c r="K77" s="22" t="e">
        <f>VLOOKUP(D77,'Spec_Single_H&amp;S'!$B$2:$G$42,5,FALSE)</f>
        <v>#N/A</v>
      </c>
      <c r="L77" s="18" t="e">
        <f t="shared" si="9"/>
        <v>#N/A</v>
      </c>
      <c r="M77" s="18"/>
      <c r="N77" s="18"/>
      <c r="O77" s="18"/>
      <c r="P77" s="1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</row>
    <row r="78" spans="1:53" x14ac:dyDescent="0.3">
      <c r="A78" s="18"/>
      <c r="B78" s="18"/>
      <c r="C78" s="18"/>
      <c r="D78" s="18"/>
      <c r="E78" s="18" t="str">
        <f t="shared" si="8"/>
        <v/>
      </c>
      <c r="F78" s="18"/>
      <c r="G78" s="18"/>
      <c r="H78" s="22" t="str">
        <f>IF(B78&lt;&gt;"Silicone","",IFERROR(XLOOKUP(D78,#REF!,#REF!),""))</f>
        <v/>
      </c>
      <c r="I78" s="18"/>
      <c r="J78" s="22" t="e">
        <f>VLOOKUP(D78,'Spec_Single_H&amp;S'!$B$2:$G$42,4,FALSE)</f>
        <v>#N/A</v>
      </c>
      <c r="K78" s="22" t="e">
        <f>VLOOKUP(D78,'Spec_Single_H&amp;S'!$B$2:$G$42,5,FALSE)</f>
        <v>#N/A</v>
      </c>
      <c r="L78" s="18" t="e">
        <f t="shared" si="9"/>
        <v>#N/A</v>
      </c>
      <c r="M78" s="18"/>
      <c r="N78" s="18"/>
      <c r="O78" s="18"/>
      <c r="P78" s="1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</row>
    <row r="79" spans="1:53" x14ac:dyDescent="0.3">
      <c r="A79" s="18"/>
      <c r="B79" s="18"/>
      <c r="C79" s="18"/>
      <c r="D79" s="18"/>
      <c r="E79" s="18" t="str">
        <f t="shared" si="8"/>
        <v/>
      </c>
      <c r="F79" s="18"/>
      <c r="G79" s="18"/>
      <c r="H79" s="22" t="str">
        <f>IF(B79&lt;&gt;"Silicone","",IFERROR(XLOOKUP(D79,#REF!,#REF!),""))</f>
        <v/>
      </c>
      <c r="I79" s="18"/>
      <c r="J79" s="22" t="e">
        <f>VLOOKUP(D79,'Spec_Single_H&amp;S'!$B$2:$G$42,4,FALSE)</f>
        <v>#N/A</v>
      </c>
      <c r="K79" s="22" t="e">
        <f>VLOOKUP(D79,'Spec_Single_H&amp;S'!$B$2:$G$42,5,FALSE)</f>
        <v>#N/A</v>
      </c>
      <c r="L79" s="18" t="e">
        <f t="shared" si="9"/>
        <v>#N/A</v>
      </c>
      <c r="M79" s="18"/>
      <c r="N79" s="18"/>
      <c r="O79" s="18"/>
      <c r="P79" s="1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</row>
    <row r="80" spans="1:53" x14ac:dyDescent="0.3">
      <c r="A80" s="18"/>
      <c r="B80" s="18"/>
      <c r="C80" s="18"/>
      <c r="D80" s="18"/>
      <c r="E80" s="18" t="str">
        <f t="shared" si="8"/>
        <v/>
      </c>
      <c r="F80" s="18"/>
      <c r="G80" s="18"/>
      <c r="H80" s="22" t="str">
        <f>IF(B80&lt;&gt;"Silicone","",IFERROR(XLOOKUP(D80,#REF!,#REF!),""))</f>
        <v/>
      </c>
      <c r="I80" s="18"/>
      <c r="J80" s="22" t="e">
        <f>VLOOKUP(D80,'Spec_Single_H&amp;S'!$B$2:$G$42,4,FALSE)</f>
        <v>#N/A</v>
      </c>
      <c r="K80" s="22" t="e">
        <f>VLOOKUP(D80,'Spec_Single_H&amp;S'!$B$2:$G$42,5,FALSE)</f>
        <v>#N/A</v>
      </c>
      <c r="L80" s="18" t="e">
        <f t="shared" si="9"/>
        <v>#N/A</v>
      </c>
      <c r="M80" s="18"/>
      <c r="N80" s="18"/>
      <c r="O80" s="18"/>
      <c r="P80" s="1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</row>
    <row r="81" spans="5:12" x14ac:dyDescent="0.3">
      <c r="E81" s="7" t="str">
        <f t="shared" si="8"/>
        <v/>
      </c>
      <c r="H81" s="23" t="str">
        <f>IF(B81&lt;&gt;"Silicone","",IFERROR(XLOOKUP(D81,#REF!,#REF!),""))</f>
        <v/>
      </c>
      <c r="J81" s="22" t="e">
        <f>VLOOKUP(D81,'Spec_Single_H&amp;S'!$B$2:$G$42,4,FALSE)</f>
        <v>#N/A</v>
      </c>
      <c r="K81" s="22" t="e">
        <f>VLOOKUP(D81,'Spec_Single_H&amp;S'!$B$2:$G$42,5,FALSE)</f>
        <v>#N/A</v>
      </c>
      <c r="L81" s="18" t="e">
        <f t="shared" si="9"/>
        <v>#N/A</v>
      </c>
    </row>
    <row r="82" spans="5:12" x14ac:dyDescent="0.3">
      <c r="E82" s="7" t="str">
        <f t="shared" si="8"/>
        <v/>
      </c>
      <c r="H82" s="23" t="str">
        <f>IF(B82&lt;&gt;"Silicone","",IFERROR(XLOOKUP(D82,#REF!,#REF!),""))</f>
        <v/>
      </c>
      <c r="J82" s="22" t="e">
        <f>VLOOKUP(D82,'Spec_Single_H&amp;S'!$B$2:$G$42,4,FALSE)</f>
        <v>#N/A</v>
      </c>
      <c r="K82" s="22" t="e">
        <f>VLOOKUP(D82,'Spec_Single_H&amp;S'!$B$2:$G$42,5,FALSE)</f>
        <v>#N/A</v>
      </c>
      <c r="L82" s="18" t="e">
        <f t="shared" si="9"/>
        <v>#N/A</v>
      </c>
    </row>
    <row r="83" spans="5:12" x14ac:dyDescent="0.3">
      <c r="E83" s="7" t="str">
        <f t="shared" si="8"/>
        <v/>
      </c>
      <c r="H83" s="23" t="str">
        <f>IF(B83&lt;&gt;"Silicone","",IFERROR(XLOOKUP(D83,#REF!,#REF!),""))</f>
        <v/>
      </c>
      <c r="J83" s="22" t="e">
        <f>VLOOKUP(D83,'Spec_Single_H&amp;S'!$B$2:$G$42,4,FALSE)</f>
        <v>#N/A</v>
      </c>
      <c r="K83" s="22" t="e">
        <f>VLOOKUP(D83,'Spec_Single_H&amp;S'!$B$2:$G$42,5,FALSE)</f>
        <v>#N/A</v>
      </c>
      <c r="L83" s="18" t="e">
        <f t="shared" si="9"/>
        <v>#N/A</v>
      </c>
    </row>
    <row r="84" spans="5:12" x14ac:dyDescent="0.3">
      <c r="E84" s="7" t="str">
        <f t="shared" si="8"/>
        <v/>
      </c>
      <c r="H84" s="23" t="str">
        <f>IF(B84&lt;&gt;"Silicone","",IFERROR(XLOOKUP(D84,#REF!,#REF!),""))</f>
        <v/>
      </c>
      <c r="J84" s="22" t="e">
        <f>VLOOKUP(D84,'Spec_Single_H&amp;S'!$B$2:$G$42,4,FALSE)</f>
        <v>#N/A</v>
      </c>
      <c r="K84" s="22" t="e">
        <f>VLOOKUP(D84,'Spec_Single_H&amp;S'!$B$2:$G$42,5,FALSE)</f>
        <v>#N/A</v>
      </c>
      <c r="L84" s="18" t="e">
        <f t="shared" si="9"/>
        <v>#N/A</v>
      </c>
    </row>
    <row r="85" spans="5:12" x14ac:dyDescent="0.3">
      <c r="E85" s="7" t="str">
        <f t="shared" si="8"/>
        <v/>
      </c>
      <c r="H85" s="23" t="str">
        <f>IF(B85&lt;&gt;"Silicone","",IFERROR(XLOOKUP(D85,#REF!,#REF!),""))</f>
        <v/>
      </c>
      <c r="J85" s="22" t="e">
        <f>VLOOKUP(D85,'Spec_Single_H&amp;S'!$B$2:$G$42,4,FALSE)</f>
        <v>#N/A</v>
      </c>
      <c r="K85" s="22" t="e">
        <f>VLOOKUP(D85,'Spec_Single_H&amp;S'!$B$2:$G$42,5,FALSE)</f>
        <v>#N/A</v>
      </c>
      <c r="L85" s="18" t="e">
        <f t="shared" si="9"/>
        <v>#N/A</v>
      </c>
    </row>
    <row r="86" spans="5:12" x14ac:dyDescent="0.3">
      <c r="E86" s="7" t="str">
        <f t="shared" si="8"/>
        <v/>
      </c>
      <c r="H86" s="23" t="str">
        <f>IF(B86&lt;&gt;"Silicone","",IFERROR(XLOOKUP(D86,#REF!,#REF!),""))</f>
        <v/>
      </c>
      <c r="J86" s="22" t="e">
        <f>VLOOKUP(D86,'Spec_Single_H&amp;S'!$B$2:$G$42,4,FALSE)</f>
        <v>#N/A</v>
      </c>
      <c r="K86" s="22" t="e">
        <f>VLOOKUP(D86,'Spec_Single_H&amp;S'!$B$2:$G$42,5,FALSE)</f>
        <v>#N/A</v>
      </c>
      <c r="L86" s="18" t="e">
        <f t="shared" si="9"/>
        <v>#N/A</v>
      </c>
    </row>
    <row r="87" spans="5:12" x14ac:dyDescent="0.3">
      <c r="E87" s="7" t="str">
        <f t="shared" si="8"/>
        <v/>
      </c>
      <c r="H87" s="23" t="str">
        <f>IF(B87&lt;&gt;"Silicone","",IFERROR(XLOOKUP(D87,#REF!,#REF!),""))</f>
        <v/>
      </c>
      <c r="J87" s="22" t="e">
        <f>VLOOKUP(D87,'Spec_Single_H&amp;S'!$B$2:$G$42,4,FALSE)</f>
        <v>#N/A</v>
      </c>
      <c r="K87" s="22" t="e">
        <f>VLOOKUP(D87,'Spec_Single_H&amp;S'!$B$2:$G$42,5,FALSE)</f>
        <v>#N/A</v>
      </c>
      <c r="L87" s="18" t="e">
        <f t="shared" si="9"/>
        <v>#N/A</v>
      </c>
    </row>
    <row r="88" spans="5:12" x14ac:dyDescent="0.3">
      <c r="E88" s="7" t="str">
        <f t="shared" si="8"/>
        <v/>
      </c>
      <c r="H88" s="23" t="str">
        <f>IF(B88&lt;&gt;"Silicone","",IFERROR(XLOOKUP(D88,#REF!,#REF!),""))</f>
        <v/>
      </c>
      <c r="J88" s="22" t="e">
        <f>VLOOKUP(D88,'Spec_Single_H&amp;S'!$B$2:$G$42,4,FALSE)</f>
        <v>#N/A</v>
      </c>
      <c r="K88" s="22" t="e">
        <f>VLOOKUP(D88,'Spec_Single_H&amp;S'!$B$2:$G$42,5,FALSE)</f>
        <v>#N/A</v>
      </c>
      <c r="L88" s="18" t="e">
        <f t="shared" si="9"/>
        <v>#N/A</v>
      </c>
    </row>
    <row r="89" spans="5:12" x14ac:dyDescent="0.3">
      <c r="E89" s="7" t="str">
        <f t="shared" si="8"/>
        <v/>
      </c>
      <c r="H89" s="23" t="str">
        <f>IF(B89&lt;&gt;"Silicone","",IFERROR(XLOOKUP(D89,#REF!,#REF!),""))</f>
        <v/>
      </c>
      <c r="J89" s="22" t="e">
        <f>VLOOKUP(D89,'Spec_Single_H&amp;S'!$B$2:$G$42,4,FALSE)</f>
        <v>#N/A</v>
      </c>
      <c r="K89" s="22" t="e">
        <f>VLOOKUP(D89,'Spec_Single_H&amp;S'!$B$2:$G$42,5,FALSE)</f>
        <v>#N/A</v>
      </c>
      <c r="L89" s="18" t="e">
        <f t="shared" si="9"/>
        <v>#N/A</v>
      </c>
    </row>
    <row r="90" spans="5:12" x14ac:dyDescent="0.3">
      <c r="E90" s="7" t="str">
        <f t="shared" si="8"/>
        <v/>
      </c>
      <c r="H90" s="23" t="str">
        <f>IF(B90&lt;&gt;"Silicone","",IFERROR(XLOOKUP(D90,#REF!,#REF!),""))</f>
        <v/>
      </c>
      <c r="J90" s="22" t="e">
        <f>VLOOKUP(D90,'Spec_Single_H&amp;S'!$B$2:$G$42,4,FALSE)</f>
        <v>#N/A</v>
      </c>
      <c r="K90" s="22" t="e">
        <f>VLOOKUP(D90,'Spec_Single_H&amp;S'!$B$2:$G$42,5,FALSE)</f>
        <v>#N/A</v>
      </c>
      <c r="L90" s="18" t="e">
        <f t="shared" si="9"/>
        <v>#N/A</v>
      </c>
    </row>
    <row r="91" spans="5:12" x14ac:dyDescent="0.3">
      <c r="E91" s="7" t="str">
        <f t="shared" si="8"/>
        <v/>
      </c>
      <c r="H91" s="23" t="str">
        <f>IF(B91&lt;&gt;"Silicone","",IFERROR(XLOOKUP(D91,#REF!,#REF!),""))</f>
        <v/>
      </c>
      <c r="J91" s="22" t="e">
        <f>VLOOKUP(D91,'Spec_Single_H&amp;S'!$B$2:$G$42,4,FALSE)</f>
        <v>#N/A</v>
      </c>
      <c r="K91" s="22" t="e">
        <f>VLOOKUP(D91,'Spec_Single_H&amp;S'!$B$2:$G$42,5,FALSE)</f>
        <v>#N/A</v>
      </c>
      <c r="L91" s="18" t="e">
        <f t="shared" si="9"/>
        <v>#N/A</v>
      </c>
    </row>
    <row r="92" spans="5:12" x14ac:dyDescent="0.3">
      <c r="E92" s="7" t="str">
        <f t="shared" si="8"/>
        <v/>
      </c>
      <c r="H92" s="23" t="str">
        <f>IF(B92&lt;&gt;"Silicone","",IFERROR(XLOOKUP(D92,#REF!,#REF!),""))</f>
        <v/>
      </c>
      <c r="J92" s="22" t="e">
        <f>VLOOKUP(D92,'Spec_Single_H&amp;S'!$B$2:$G$42,4,FALSE)</f>
        <v>#N/A</v>
      </c>
      <c r="K92" s="22" t="e">
        <f>VLOOKUP(D92,'Spec_Single_H&amp;S'!$B$2:$G$42,5,FALSE)</f>
        <v>#N/A</v>
      </c>
      <c r="L92" s="18" t="e">
        <f t="shared" si="9"/>
        <v>#N/A</v>
      </c>
    </row>
    <row r="93" spans="5:12" x14ac:dyDescent="0.3">
      <c r="E93" s="7" t="str">
        <f t="shared" si="8"/>
        <v/>
      </c>
      <c r="H93" s="23" t="str">
        <f>IF(B93&lt;&gt;"Silicone","",IFERROR(XLOOKUP(D93,#REF!,#REF!),""))</f>
        <v/>
      </c>
      <c r="J93" s="22" t="e">
        <f>VLOOKUP(D93,'Spec_Single_H&amp;S'!$B$2:$G$42,4,FALSE)</f>
        <v>#N/A</v>
      </c>
      <c r="K93" s="22" t="e">
        <f>VLOOKUP(D93,'Spec_Single_H&amp;S'!$B$2:$G$42,5,FALSE)</f>
        <v>#N/A</v>
      </c>
      <c r="L93" s="18" t="e">
        <f t="shared" si="9"/>
        <v>#N/A</v>
      </c>
    </row>
    <row r="94" spans="5:12" x14ac:dyDescent="0.3">
      <c r="E94" s="7" t="str">
        <f t="shared" si="8"/>
        <v/>
      </c>
      <c r="H94" s="23" t="str">
        <f>IF(B94&lt;&gt;"Silicone","",IFERROR(XLOOKUP(D94,#REF!,#REF!),""))</f>
        <v/>
      </c>
      <c r="J94" s="22" t="e">
        <f>VLOOKUP(D94,'Spec_Single_H&amp;S'!$B$2:$G$42,4,FALSE)</f>
        <v>#N/A</v>
      </c>
      <c r="K94" s="22" t="e">
        <f>VLOOKUP(D94,'Spec_Single_H&amp;S'!$B$2:$G$42,5,FALSE)</f>
        <v>#N/A</v>
      </c>
      <c r="L94" s="18" t="e">
        <f t="shared" si="9"/>
        <v>#N/A</v>
      </c>
    </row>
    <row r="95" spans="5:12" x14ac:dyDescent="0.3">
      <c r="E95" s="7" t="str">
        <f t="shared" si="8"/>
        <v/>
      </c>
      <c r="H95" s="23" t="str">
        <f>IF(B95&lt;&gt;"Silicone","",IFERROR(XLOOKUP(D95,#REF!,#REF!),""))</f>
        <v/>
      </c>
      <c r="J95" s="22" t="e">
        <f>VLOOKUP(D95,'Spec_Single_H&amp;S'!$B$2:$G$42,4,FALSE)</f>
        <v>#N/A</v>
      </c>
      <c r="K95" s="22" t="e">
        <f>VLOOKUP(D95,'Spec_Single_H&amp;S'!$B$2:$G$42,5,FALSE)</f>
        <v>#N/A</v>
      </c>
      <c r="L95" s="18" t="e">
        <f t="shared" si="9"/>
        <v>#N/A</v>
      </c>
    </row>
    <row r="96" spans="5:12" x14ac:dyDescent="0.3">
      <c r="E96" s="7" t="str">
        <f t="shared" si="8"/>
        <v/>
      </c>
      <c r="H96" s="23" t="str">
        <f>IF(B96&lt;&gt;"Silicone","",IFERROR(XLOOKUP(D96,#REF!,#REF!),""))</f>
        <v/>
      </c>
      <c r="J96" s="22" t="e">
        <f>VLOOKUP(D96,'Spec_Single_H&amp;S'!$B$2:$G$42,4,FALSE)</f>
        <v>#N/A</v>
      </c>
      <c r="K96" s="22" t="e">
        <f>VLOOKUP(D96,'Spec_Single_H&amp;S'!$B$2:$G$42,5,FALSE)</f>
        <v>#N/A</v>
      </c>
      <c r="L96" s="18" t="e">
        <f t="shared" si="9"/>
        <v>#N/A</v>
      </c>
    </row>
    <row r="97" spans="5:12" x14ac:dyDescent="0.3">
      <c r="E97" s="7" t="str">
        <f t="shared" si="8"/>
        <v/>
      </c>
      <c r="H97" s="23" t="str">
        <f>IF(B97&lt;&gt;"Silicone","",IFERROR(XLOOKUP(D97,#REF!,#REF!),""))</f>
        <v/>
      </c>
      <c r="J97" s="22" t="e">
        <f>VLOOKUP(D97,'Spec_Single_H&amp;S'!$B$2:$G$42,4,FALSE)</f>
        <v>#N/A</v>
      </c>
      <c r="K97" s="22" t="e">
        <f>VLOOKUP(D97,'Spec_Single_H&amp;S'!$B$2:$G$42,5,FALSE)</f>
        <v>#N/A</v>
      </c>
      <c r="L97" s="18" t="e">
        <f t="shared" si="9"/>
        <v>#N/A</v>
      </c>
    </row>
    <row r="98" spans="5:12" x14ac:dyDescent="0.3">
      <c r="E98" s="7" t="str">
        <f t="shared" si="8"/>
        <v/>
      </c>
      <c r="H98" s="23" t="str">
        <f>IF(B98&lt;&gt;"Silicone","",IFERROR(XLOOKUP(D98,#REF!,#REF!),""))</f>
        <v/>
      </c>
      <c r="J98" s="22" t="e">
        <f>VLOOKUP(D98,'Spec_Single_H&amp;S'!$B$2:$G$42,4,FALSE)</f>
        <v>#N/A</v>
      </c>
      <c r="K98" s="22" t="e">
        <f>VLOOKUP(D98,'Spec_Single_H&amp;S'!$B$2:$G$42,5,FALSE)</f>
        <v>#N/A</v>
      </c>
      <c r="L98" s="18" t="e">
        <f t="shared" si="9"/>
        <v>#N/A</v>
      </c>
    </row>
    <row r="99" spans="5:12" x14ac:dyDescent="0.3">
      <c r="E99" s="7" t="str">
        <f t="shared" si="8"/>
        <v/>
      </c>
      <c r="H99" s="23" t="str">
        <f>IF(B99&lt;&gt;"Silicone","",IFERROR(XLOOKUP(D99,#REF!,#REF!),""))</f>
        <v/>
      </c>
      <c r="J99" s="22" t="e">
        <f>VLOOKUP(D99,'Spec_Single_H&amp;S'!$B$2:$G$42,4,FALSE)</f>
        <v>#N/A</v>
      </c>
      <c r="K99" s="22" t="e">
        <f>VLOOKUP(D99,'Spec_Single_H&amp;S'!$B$2:$G$42,5,FALSE)</f>
        <v>#N/A</v>
      </c>
      <c r="L99" s="18" t="e">
        <f t="shared" si="9"/>
        <v>#N/A</v>
      </c>
    </row>
    <row r="100" spans="5:12" x14ac:dyDescent="0.3">
      <c r="E100" s="7" t="str">
        <f t="shared" si="8"/>
        <v/>
      </c>
      <c r="H100" s="23" t="str">
        <f>IF(B100&lt;&gt;"Silicone","",IFERROR(XLOOKUP(D100,#REF!,#REF!),""))</f>
        <v/>
      </c>
      <c r="J100" s="22" t="e">
        <f>VLOOKUP(D100,'Spec_Single_H&amp;S'!$B$2:$G$42,4,FALSE)</f>
        <v>#N/A</v>
      </c>
      <c r="K100" s="22" t="e">
        <f>VLOOKUP(D100,'Spec_Single_H&amp;S'!$B$2:$G$42,5,FALSE)</f>
        <v>#N/A</v>
      </c>
      <c r="L100" s="18" t="e">
        <f t="shared" si="9"/>
        <v>#N/A</v>
      </c>
    </row>
    <row r="101" spans="5:12" x14ac:dyDescent="0.3">
      <c r="E101" s="7" t="str">
        <f t="shared" si="8"/>
        <v/>
      </c>
      <c r="H101" s="23" t="str">
        <f>IF(B101&lt;&gt;"Silicone","",IFERROR(XLOOKUP(D101,#REF!,#REF!),""))</f>
        <v/>
      </c>
      <c r="J101" s="22" t="e">
        <f>VLOOKUP(D101,'Spec_Single_H&amp;S'!$B$2:$G$42,4,FALSE)</f>
        <v>#N/A</v>
      </c>
      <c r="K101" s="22" t="e">
        <f>VLOOKUP(D101,'Spec_Single_H&amp;S'!$B$2:$G$42,5,FALSE)</f>
        <v>#N/A</v>
      </c>
      <c r="L101" s="18" t="e">
        <f t="shared" si="9"/>
        <v>#N/A</v>
      </c>
    </row>
    <row r="102" spans="5:12" x14ac:dyDescent="0.3">
      <c r="E102" s="7" t="str">
        <f t="shared" si="8"/>
        <v/>
      </c>
      <c r="H102" s="23" t="str">
        <f>IF(B102&lt;&gt;"Silicone","",IFERROR(XLOOKUP(D102,#REF!,#REF!),""))</f>
        <v/>
      </c>
      <c r="J102" s="22" t="e">
        <f>VLOOKUP(D102,'Spec_Single_H&amp;S'!$B$2:$G$42,4,FALSE)</f>
        <v>#N/A</v>
      </c>
      <c r="K102" s="22" t="e">
        <f>VLOOKUP(D102,'Spec_Single_H&amp;S'!$B$2:$G$42,5,FALSE)</f>
        <v>#N/A</v>
      </c>
      <c r="L102" s="18" t="e">
        <f t="shared" si="9"/>
        <v>#N/A</v>
      </c>
    </row>
    <row r="103" spans="5:12" x14ac:dyDescent="0.3">
      <c r="E103" s="7" t="str">
        <f t="shared" si="8"/>
        <v/>
      </c>
      <c r="H103" s="23" t="str">
        <f>IF(B103&lt;&gt;"Silicone","",IFERROR(XLOOKUP(D103,#REF!,#REF!),""))</f>
        <v/>
      </c>
      <c r="J103" s="22" t="e">
        <f>VLOOKUP(D103,'Spec_Single_H&amp;S'!$B$2:$G$42,4,FALSE)</f>
        <v>#N/A</v>
      </c>
      <c r="K103" s="22" t="e">
        <f>VLOOKUP(D103,'Spec_Single_H&amp;S'!$B$2:$G$42,5,FALSE)</f>
        <v>#N/A</v>
      </c>
      <c r="L103" s="18" t="e">
        <f t="shared" si="9"/>
        <v>#N/A</v>
      </c>
    </row>
    <row r="104" spans="5:12" x14ac:dyDescent="0.3">
      <c r="E104" s="7" t="str">
        <f t="shared" si="8"/>
        <v/>
      </c>
      <c r="H104" s="23" t="str">
        <f>IF(B104&lt;&gt;"Silicone","",IFERROR(XLOOKUP(D104,#REF!,#REF!),""))</f>
        <v/>
      </c>
      <c r="J104" s="22" t="e">
        <f>VLOOKUP(D104,'Spec_Single_H&amp;S'!$B$2:$G$42,4,FALSE)</f>
        <v>#N/A</v>
      </c>
      <c r="K104" s="22" t="e">
        <f>VLOOKUP(D104,'Spec_Single_H&amp;S'!$B$2:$G$42,5,FALSE)</f>
        <v>#N/A</v>
      </c>
      <c r="L104" s="18" t="e">
        <f t="shared" si="9"/>
        <v>#N/A</v>
      </c>
    </row>
    <row r="105" spans="5:12" x14ac:dyDescent="0.3">
      <c r="E105" s="7" t="str">
        <f t="shared" si="8"/>
        <v/>
      </c>
      <c r="H105" s="23" t="str">
        <f>IF(B105&lt;&gt;"Silicone","",IFERROR(XLOOKUP(D105,#REF!,#REF!),""))</f>
        <v/>
      </c>
      <c r="J105" s="22" t="e">
        <f>VLOOKUP(D105,'Spec_Single_H&amp;S'!$B$2:$G$42,4,FALSE)</f>
        <v>#N/A</v>
      </c>
      <c r="K105" s="22" t="e">
        <f>VLOOKUP(D105,'Spec_Single_H&amp;S'!$B$2:$G$42,5,FALSE)</f>
        <v>#N/A</v>
      </c>
      <c r="L105" s="18" t="e">
        <f t="shared" si="9"/>
        <v>#N/A</v>
      </c>
    </row>
    <row r="106" spans="5:12" x14ac:dyDescent="0.3">
      <c r="E106" s="7" t="str">
        <f t="shared" si="8"/>
        <v/>
      </c>
      <c r="H106" s="23" t="str">
        <f>IF(B106&lt;&gt;"Silicone","",IFERROR(XLOOKUP(D106,#REF!,#REF!),""))</f>
        <v/>
      </c>
      <c r="J106" s="22" t="e">
        <f>VLOOKUP(D106,'Spec_Single_H&amp;S'!$B$2:$G$42,4,FALSE)</f>
        <v>#N/A</v>
      </c>
      <c r="K106" s="22" t="e">
        <f>VLOOKUP(D106,'Spec_Single_H&amp;S'!$B$2:$G$42,5,FALSE)</f>
        <v>#N/A</v>
      </c>
      <c r="L106" s="18" t="e">
        <f t="shared" si="9"/>
        <v>#N/A</v>
      </c>
    </row>
    <row r="107" spans="5:12" x14ac:dyDescent="0.3">
      <c r="E107" s="7" t="str">
        <f t="shared" si="8"/>
        <v/>
      </c>
      <c r="H107" s="23" t="str">
        <f>IF(B107&lt;&gt;"Silicone","",IFERROR(XLOOKUP(D107,#REF!,#REF!),""))</f>
        <v/>
      </c>
      <c r="J107" s="22" t="e">
        <f>VLOOKUP(D107,'Spec_Single_H&amp;S'!$B$2:$G$42,4,FALSE)</f>
        <v>#N/A</v>
      </c>
      <c r="K107" s="22" t="e">
        <f>VLOOKUP(D107,'Spec_Single_H&amp;S'!$B$2:$G$42,5,FALSE)</f>
        <v>#N/A</v>
      </c>
      <c r="L107" s="18" t="e">
        <f t="shared" si="9"/>
        <v>#N/A</v>
      </c>
    </row>
    <row r="108" spans="5:12" x14ac:dyDescent="0.3">
      <c r="E108" s="7" t="str">
        <f t="shared" si="8"/>
        <v/>
      </c>
      <c r="H108" s="23" t="str">
        <f>IF(B108&lt;&gt;"Silicone","",IFERROR(XLOOKUP(D108,#REF!,#REF!),""))</f>
        <v/>
      </c>
      <c r="J108" s="22" t="e">
        <f>VLOOKUP(D108,'Spec_Single_H&amp;S'!$B$2:$G$42,4,FALSE)</f>
        <v>#N/A</v>
      </c>
      <c r="K108" s="22" t="e">
        <f>VLOOKUP(D108,'Spec_Single_H&amp;S'!$B$2:$G$42,5,FALSE)</f>
        <v>#N/A</v>
      </c>
      <c r="L108" s="18" t="e">
        <f t="shared" si="9"/>
        <v>#N/A</v>
      </c>
    </row>
    <row r="109" spans="5:12" x14ac:dyDescent="0.3">
      <c r="E109" s="7" t="str">
        <f t="shared" si="8"/>
        <v/>
      </c>
      <c r="H109" s="23" t="str">
        <f>IF(B109&lt;&gt;"Silicone","",IFERROR(XLOOKUP(D109,#REF!,#REF!),""))</f>
        <v/>
      </c>
      <c r="J109" s="22" t="e">
        <f>VLOOKUP(D109,'Spec_Single_H&amp;S'!$B$2:$G$42,4,FALSE)</f>
        <v>#N/A</v>
      </c>
      <c r="K109" s="22" t="e">
        <f>VLOOKUP(D109,'Spec_Single_H&amp;S'!$B$2:$G$42,5,FALSE)</f>
        <v>#N/A</v>
      </c>
      <c r="L109" s="18" t="e">
        <f t="shared" si="9"/>
        <v>#N/A</v>
      </c>
    </row>
    <row r="110" spans="5:12" x14ac:dyDescent="0.3">
      <c r="E110" s="7" t="str">
        <f t="shared" si="8"/>
        <v/>
      </c>
      <c r="H110" s="23" t="str">
        <f>IF(B110&lt;&gt;"Silicone","",IFERROR(XLOOKUP(D110,#REF!,#REF!),""))</f>
        <v/>
      </c>
      <c r="J110" s="22" t="e">
        <f>VLOOKUP(D110,'Spec_Single_H&amp;S'!$B$2:$G$42,4,FALSE)</f>
        <v>#N/A</v>
      </c>
      <c r="K110" s="22" t="e">
        <f>VLOOKUP(D110,'Spec_Single_H&amp;S'!$B$2:$G$42,5,FALSE)</f>
        <v>#N/A</v>
      </c>
      <c r="L110" s="18" t="e">
        <f t="shared" si="9"/>
        <v>#N/A</v>
      </c>
    </row>
    <row r="111" spans="5:12" x14ac:dyDescent="0.3">
      <c r="E111" s="7" t="str">
        <f t="shared" si="8"/>
        <v/>
      </c>
      <c r="H111" s="23" t="str">
        <f>IF(B111&lt;&gt;"Silicone","",IFERROR(XLOOKUP(D111,#REF!,#REF!),""))</f>
        <v/>
      </c>
      <c r="J111" s="22" t="e">
        <f>VLOOKUP(D111,'Spec_Single_H&amp;S'!$B$2:$G$42,4,FALSE)</f>
        <v>#N/A</v>
      </c>
      <c r="K111" s="22" t="e">
        <f>VLOOKUP(D111,'Spec_Single_H&amp;S'!$B$2:$G$42,5,FALSE)</f>
        <v>#N/A</v>
      </c>
      <c r="L111" s="18" t="e">
        <f t="shared" si="9"/>
        <v>#N/A</v>
      </c>
    </row>
    <row r="112" spans="5:12" x14ac:dyDescent="0.3">
      <c r="E112" s="7" t="str">
        <f t="shared" si="8"/>
        <v/>
      </c>
      <c r="H112" s="23" t="str">
        <f>IF(B112&lt;&gt;"Silicone","",IFERROR(XLOOKUP(D112,#REF!,#REF!),""))</f>
        <v/>
      </c>
      <c r="J112" s="22" t="e">
        <f>VLOOKUP(D112,'Spec_Single_H&amp;S'!$B$2:$G$42,4,FALSE)</f>
        <v>#N/A</v>
      </c>
      <c r="K112" s="22" t="e">
        <f>VLOOKUP(D112,'Spec_Single_H&amp;S'!$B$2:$G$42,5,FALSE)</f>
        <v>#N/A</v>
      </c>
      <c r="L112" s="18" t="e">
        <f t="shared" si="9"/>
        <v>#N/A</v>
      </c>
    </row>
    <row r="113" spans="5:12" x14ac:dyDescent="0.3">
      <c r="E113" s="7" t="str">
        <f t="shared" si="8"/>
        <v/>
      </c>
      <c r="H113" s="23" t="str">
        <f>IF(B113&lt;&gt;"Silicone","",IFERROR(XLOOKUP(D113,#REF!,#REF!),""))</f>
        <v/>
      </c>
      <c r="J113" s="22" t="e">
        <f>VLOOKUP(D113,'Spec_Single_H&amp;S'!$B$2:$G$42,4,FALSE)</f>
        <v>#N/A</v>
      </c>
      <c r="K113" s="22" t="e">
        <f>VLOOKUP(D113,'Spec_Single_H&amp;S'!$B$2:$G$42,5,FALSE)</f>
        <v>#N/A</v>
      </c>
      <c r="L113" s="18" t="e">
        <f t="shared" si="9"/>
        <v>#N/A</v>
      </c>
    </row>
    <row r="114" spans="5:12" x14ac:dyDescent="0.3">
      <c r="E114" s="7" t="str">
        <f t="shared" si="8"/>
        <v/>
      </c>
      <c r="H114" s="23" t="str">
        <f>IF(B114&lt;&gt;"Silicone","",IFERROR(XLOOKUP(D114,#REF!,#REF!),""))</f>
        <v/>
      </c>
      <c r="J114" s="22" t="e">
        <f>VLOOKUP(D114,'Spec_Single_H&amp;S'!$B$2:$G$42,4,FALSE)</f>
        <v>#N/A</v>
      </c>
      <c r="K114" s="22" t="e">
        <f>VLOOKUP(D114,'Spec_Single_H&amp;S'!$B$2:$G$42,5,FALSE)</f>
        <v>#N/A</v>
      </c>
      <c r="L114" s="18" t="e">
        <f t="shared" si="9"/>
        <v>#N/A</v>
      </c>
    </row>
    <row r="115" spans="5:12" x14ac:dyDescent="0.3">
      <c r="E115" s="7" t="str">
        <f t="shared" si="8"/>
        <v/>
      </c>
      <c r="H115" s="23" t="str">
        <f>IF(B115&lt;&gt;"Silicone","",IFERROR(XLOOKUP(D115,#REF!,#REF!),""))</f>
        <v/>
      </c>
      <c r="J115" s="22" t="e">
        <f>VLOOKUP(D115,'Spec_Single_H&amp;S'!$B$2:$G$42,4,FALSE)</f>
        <v>#N/A</v>
      </c>
      <c r="K115" s="22" t="e">
        <f>VLOOKUP(D115,'Spec_Single_H&amp;S'!$B$2:$G$42,5,FALSE)</f>
        <v>#N/A</v>
      </c>
      <c r="L115" s="18" t="e">
        <f t="shared" si="9"/>
        <v>#N/A</v>
      </c>
    </row>
    <row r="116" spans="5:12" x14ac:dyDescent="0.3">
      <c r="E116" s="7" t="str">
        <f t="shared" si="8"/>
        <v/>
      </c>
      <c r="H116" s="23" t="str">
        <f>IF(B116&lt;&gt;"Silicone","",IFERROR(XLOOKUP(D116,#REF!,#REF!),""))</f>
        <v/>
      </c>
      <c r="J116" s="22" t="e">
        <f>VLOOKUP(D116,'Spec_Single_H&amp;S'!$B$2:$G$42,4,FALSE)</f>
        <v>#N/A</v>
      </c>
      <c r="K116" s="22" t="e">
        <f>VLOOKUP(D116,'Spec_Single_H&amp;S'!$B$2:$G$42,5,FALSE)</f>
        <v>#N/A</v>
      </c>
      <c r="L116" s="18" t="e">
        <f t="shared" si="9"/>
        <v>#N/A</v>
      </c>
    </row>
    <row r="117" spans="5:12" x14ac:dyDescent="0.3">
      <c r="E117" s="7" t="str">
        <f t="shared" si="8"/>
        <v/>
      </c>
      <c r="H117" s="23" t="str">
        <f>IF(B117&lt;&gt;"Silicone","",IFERROR(XLOOKUP(D117,#REF!,#REF!),""))</f>
        <v/>
      </c>
      <c r="J117" s="22" t="e">
        <f>VLOOKUP(D117,'Spec_Single_H&amp;S'!$B$2:$G$42,4,FALSE)</f>
        <v>#N/A</v>
      </c>
      <c r="K117" s="22" t="e">
        <f>VLOOKUP(D117,'Spec_Single_H&amp;S'!$B$2:$G$42,5,FALSE)</f>
        <v>#N/A</v>
      </c>
      <c r="L117" s="18" t="e">
        <f t="shared" si="9"/>
        <v>#N/A</v>
      </c>
    </row>
    <row r="118" spans="5:12" x14ac:dyDescent="0.3">
      <c r="E118" s="7" t="str">
        <f t="shared" si="8"/>
        <v/>
      </c>
      <c r="H118" s="23" t="str">
        <f>IF(B118&lt;&gt;"Silicone","",IFERROR(XLOOKUP(D118,#REF!,#REF!),""))</f>
        <v/>
      </c>
      <c r="J118" s="22" t="e">
        <f>VLOOKUP(D118,'Spec_Single_H&amp;S'!$B$2:$G$42,4,FALSE)</f>
        <v>#N/A</v>
      </c>
      <c r="K118" s="22" t="e">
        <f>VLOOKUP(D118,'Spec_Single_H&amp;S'!$B$2:$G$42,5,FALSE)</f>
        <v>#N/A</v>
      </c>
      <c r="L118" s="18" t="e">
        <f t="shared" si="9"/>
        <v>#N/A</v>
      </c>
    </row>
    <row r="119" spans="5:12" x14ac:dyDescent="0.3">
      <c r="E119" s="7" t="str">
        <f t="shared" si="8"/>
        <v/>
      </c>
      <c r="H119" s="23" t="str">
        <f>IF(B119&lt;&gt;"Silicone","",IFERROR(XLOOKUP(D119,#REF!,#REF!),""))</f>
        <v/>
      </c>
      <c r="J119" s="22" t="e">
        <f>VLOOKUP(D119,'Spec_Single_H&amp;S'!$B$2:$G$42,4,FALSE)</f>
        <v>#N/A</v>
      </c>
      <c r="K119" s="22" t="e">
        <f>VLOOKUP(D119,'Spec_Single_H&amp;S'!$B$2:$G$42,5,FALSE)</f>
        <v>#N/A</v>
      </c>
      <c r="L119" s="18" t="e">
        <f t="shared" si="9"/>
        <v>#N/A</v>
      </c>
    </row>
    <row r="120" spans="5:12" x14ac:dyDescent="0.3">
      <c r="E120" s="7" t="str">
        <f t="shared" si="8"/>
        <v/>
      </c>
      <c r="H120" s="23" t="str">
        <f>IF(B120&lt;&gt;"Silicone","",IFERROR(XLOOKUP(D120,#REF!,#REF!),""))</f>
        <v/>
      </c>
      <c r="J120" s="22" t="e">
        <f>VLOOKUP(D120,'Spec_Single_H&amp;S'!$B$2:$G$42,4,FALSE)</f>
        <v>#N/A</v>
      </c>
      <c r="K120" s="22" t="e">
        <f>VLOOKUP(D120,'Spec_Single_H&amp;S'!$B$2:$G$42,5,FALSE)</f>
        <v>#N/A</v>
      </c>
      <c r="L120" s="18" t="e">
        <f t="shared" si="9"/>
        <v>#N/A</v>
      </c>
    </row>
    <row r="121" spans="5:12" x14ac:dyDescent="0.3">
      <c r="E121" s="7" t="str">
        <f t="shared" si="8"/>
        <v/>
      </c>
      <c r="H121" s="23" t="str">
        <f>IF(B121&lt;&gt;"Silicone","",IFERROR(XLOOKUP(D121,#REF!,#REF!),""))</f>
        <v/>
      </c>
      <c r="J121" s="22" t="e">
        <f>VLOOKUP(D121,'Spec_Single_H&amp;S'!$B$2:$G$42,4,FALSE)</f>
        <v>#N/A</v>
      </c>
      <c r="K121" s="22" t="e">
        <f>VLOOKUP(D121,'Spec_Single_H&amp;S'!$B$2:$G$42,5,FALSE)</f>
        <v>#N/A</v>
      </c>
      <c r="L121" s="18" t="e">
        <f t="shared" si="9"/>
        <v>#N/A</v>
      </c>
    </row>
    <row r="122" spans="5:12" x14ac:dyDescent="0.3">
      <c r="E122" s="7" t="str">
        <f t="shared" si="8"/>
        <v/>
      </c>
      <c r="H122" s="23" t="str">
        <f>IF(B122&lt;&gt;"Silicone","",IFERROR(XLOOKUP(D122,#REF!,#REF!),""))</f>
        <v/>
      </c>
      <c r="J122" s="22" t="e">
        <f>VLOOKUP(D122,'Spec_Single_H&amp;S'!$B$2:$G$42,4,FALSE)</f>
        <v>#N/A</v>
      </c>
      <c r="K122" s="22" t="e">
        <f>VLOOKUP(D122,'Spec_Single_H&amp;S'!$B$2:$G$42,5,FALSE)</f>
        <v>#N/A</v>
      </c>
      <c r="L122" s="18" t="e">
        <f t="shared" si="9"/>
        <v>#N/A</v>
      </c>
    </row>
    <row r="123" spans="5:12" x14ac:dyDescent="0.3">
      <c r="E123" s="7" t="str">
        <f t="shared" si="8"/>
        <v/>
      </c>
      <c r="H123" s="23" t="str">
        <f>IF(B123&lt;&gt;"Silicone","",IFERROR(XLOOKUP(D123,#REF!,#REF!),""))</f>
        <v/>
      </c>
      <c r="J123" s="22" t="e">
        <f>VLOOKUP(D123,'Spec_Single_H&amp;S'!$B$2:$G$42,4,FALSE)</f>
        <v>#N/A</v>
      </c>
      <c r="K123" s="22" t="e">
        <f>VLOOKUP(D123,'Spec_Single_H&amp;S'!$B$2:$G$42,5,FALSE)</f>
        <v>#N/A</v>
      </c>
      <c r="L123" s="18" t="e">
        <f t="shared" si="9"/>
        <v>#N/A</v>
      </c>
    </row>
    <row r="124" spans="5:12" x14ac:dyDescent="0.3">
      <c r="E124" s="7" t="str">
        <f t="shared" si="8"/>
        <v/>
      </c>
      <c r="H124" s="23" t="str">
        <f>IF(B124&lt;&gt;"Silicone","",IFERROR(XLOOKUP(D124,#REF!,#REF!),""))</f>
        <v/>
      </c>
      <c r="J124" s="22" t="e">
        <f>VLOOKUP(D124,'Spec_Single_H&amp;S'!$B$2:$G$42,4,FALSE)</f>
        <v>#N/A</v>
      </c>
      <c r="K124" s="22" t="e">
        <f>VLOOKUP(D124,'Spec_Single_H&amp;S'!$B$2:$G$42,5,FALSE)</f>
        <v>#N/A</v>
      </c>
      <c r="L124" s="18" t="e">
        <f t="shared" si="9"/>
        <v>#N/A</v>
      </c>
    </row>
    <row r="125" spans="5:12" x14ac:dyDescent="0.3">
      <c r="E125" s="7" t="str">
        <f t="shared" si="8"/>
        <v/>
      </c>
      <c r="H125" s="23" t="str">
        <f>IF(B125&lt;&gt;"Silicone","",IFERROR(XLOOKUP(D125,#REF!,#REF!),""))</f>
        <v/>
      </c>
      <c r="J125" s="22" t="e">
        <f>VLOOKUP(D125,'Spec_Single_H&amp;S'!$B$2:$G$42,4,FALSE)</f>
        <v>#N/A</v>
      </c>
      <c r="K125" s="22" t="e">
        <f>VLOOKUP(D125,'Spec_Single_H&amp;S'!$B$2:$G$42,5,FALSE)</f>
        <v>#N/A</v>
      </c>
      <c r="L125" s="18" t="e">
        <f t="shared" si="9"/>
        <v>#N/A</v>
      </c>
    </row>
    <row r="126" spans="5:12" x14ac:dyDescent="0.3">
      <c r="E126" s="7" t="str">
        <f t="shared" si="8"/>
        <v/>
      </c>
      <c r="H126" s="23" t="str">
        <f>IF(B126&lt;&gt;"Silicone","",IFERROR(XLOOKUP(D126,#REF!,#REF!),""))</f>
        <v/>
      </c>
      <c r="J126" s="22" t="e">
        <f>VLOOKUP(D126,'Spec_Single_H&amp;S'!$B$2:$G$42,4,FALSE)</f>
        <v>#N/A</v>
      </c>
      <c r="K126" s="22" t="e">
        <f>VLOOKUP(D126,'Spec_Single_H&amp;S'!$B$2:$G$42,5,FALSE)</f>
        <v>#N/A</v>
      </c>
      <c r="L126" s="18" t="e">
        <f t="shared" si="9"/>
        <v>#N/A</v>
      </c>
    </row>
    <row r="127" spans="5:12" x14ac:dyDescent="0.3">
      <c r="E127" s="7" t="str">
        <f t="shared" si="8"/>
        <v/>
      </c>
      <c r="H127" s="23" t="str">
        <f>IF(B127&lt;&gt;"Silicone","",IFERROR(XLOOKUP(D127,#REF!,#REF!),""))</f>
        <v/>
      </c>
      <c r="J127" s="22" t="e">
        <f>VLOOKUP(D127,'Spec_Single_H&amp;S'!$B$2:$G$42,4,FALSE)</f>
        <v>#N/A</v>
      </c>
      <c r="K127" s="22" t="e">
        <f>VLOOKUP(D127,'Spec_Single_H&amp;S'!$B$2:$G$42,5,FALSE)</f>
        <v>#N/A</v>
      </c>
      <c r="L127" s="18" t="e">
        <f t="shared" si="9"/>
        <v>#N/A</v>
      </c>
    </row>
    <row r="128" spans="5:12" x14ac:dyDescent="0.3">
      <c r="E128" s="7" t="str">
        <f t="shared" si="8"/>
        <v/>
      </c>
      <c r="H128" s="23" t="str">
        <f>IF(B128&lt;&gt;"Silicone","",IFERROR(XLOOKUP(D128,#REF!,#REF!),""))</f>
        <v/>
      </c>
      <c r="J128" s="22" t="e">
        <f>VLOOKUP(D128,'Spec_Single_H&amp;S'!$B$2:$G$42,4,FALSE)</f>
        <v>#N/A</v>
      </c>
      <c r="K128" s="22" t="e">
        <f>VLOOKUP(D128,'Spec_Single_H&amp;S'!$B$2:$G$42,5,FALSE)</f>
        <v>#N/A</v>
      </c>
      <c r="L128" s="18" t="e">
        <f t="shared" si="9"/>
        <v>#N/A</v>
      </c>
    </row>
    <row r="129" spans="5:12" x14ac:dyDescent="0.3">
      <c r="E129" s="7" t="str">
        <f t="shared" si="8"/>
        <v/>
      </c>
      <c r="H129" s="23" t="str">
        <f>IF(B129&lt;&gt;"Silicone","",IFERROR(XLOOKUP(D129,#REF!,#REF!),""))</f>
        <v/>
      </c>
      <c r="J129" s="22" t="e">
        <f>VLOOKUP(D129,'Spec_Single_H&amp;S'!$B$2:$G$42,4,FALSE)</f>
        <v>#N/A</v>
      </c>
      <c r="K129" s="22" t="e">
        <f>VLOOKUP(D129,'Spec_Single_H&amp;S'!$B$2:$G$42,5,FALSE)</f>
        <v>#N/A</v>
      </c>
      <c r="L129" s="18" t="e">
        <f t="shared" si="9"/>
        <v>#N/A</v>
      </c>
    </row>
    <row r="130" spans="5:12" x14ac:dyDescent="0.3">
      <c r="E130" s="7" t="str">
        <f t="shared" si="8"/>
        <v/>
      </c>
      <c r="H130" s="23" t="str">
        <f>IF(B130&lt;&gt;"Silicone","",IFERROR(XLOOKUP(D130,#REF!,#REF!),""))</f>
        <v/>
      </c>
      <c r="J130" s="22" t="e">
        <f>VLOOKUP(D130,'Spec_Single_H&amp;S'!$B$2:$G$42,4,FALSE)</f>
        <v>#N/A</v>
      </c>
      <c r="K130" s="22" t="e">
        <f>VLOOKUP(D130,'Spec_Single_H&amp;S'!$B$2:$G$42,5,FALSE)</f>
        <v>#N/A</v>
      </c>
      <c r="L130" s="18" t="e">
        <f t="shared" si="9"/>
        <v>#N/A</v>
      </c>
    </row>
    <row r="131" spans="5:12" x14ac:dyDescent="0.3">
      <c r="E131" s="7" t="str">
        <f t="shared" si="8"/>
        <v/>
      </c>
      <c r="H131" s="23" t="str">
        <f>IF(B131&lt;&gt;"Silicone","",IFERROR(XLOOKUP(D131,#REF!,#REF!),""))</f>
        <v/>
      </c>
      <c r="J131" s="22" t="e">
        <f>VLOOKUP(D131,'Spec_Single_H&amp;S'!$B$2:$G$42,4,FALSE)</f>
        <v>#N/A</v>
      </c>
      <c r="K131" s="22" t="e">
        <f>VLOOKUP(D131,'Spec_Single_H&amp;S'!$B$2:$G$42,5,FALSE)</f>
        <v>#N/A</v>
      </c>
      <c r="L131" s="18" t="e">
        <f t="shared" si="9"/>
        <v>#N/A</v>
      </c>
    </row>
    <row r="132" spans="5:12" x14ac:dyDescent="0.3">
      <c r="E132" s="7" t="str">
        <f t="shared" si="8"/>
        <v/>
      </c>
      <c r="H132" s="23" t="str">
        <f>IF(B132&lt;&gt;"Silicone","",IFERROR(XLOOKUP(D132,#REF!,#REF!),""))</f>
        <v/>
      </c>
      <c r="J132" s="22" t="e">
        <f>VLOOKUP(D132,'Spec_Single_H&amp;S'!$B$2:$G$42,4,FALSE)</f>
        <v>#N/A</v>
      </c>
      <c r="K132" s="22" t="e">
        <f>VLOOKUP(D132,'Spec_Single_H&amp;S'!$B$2:$G$42,5,FALSE)</f>
        <v>#N/A</v>
      </c>
      <c r="L132" s="18" t="e">
        <f t="shared" si="9"/>
        <v>#N/A</v>
      </c>
    </row>
    <row r="133" spans="5:12" x14ac:dyDescent="0.3">
      <c r="E133" s="7" t="str">
        <f t="shared" si="8"/>
        <v/>
      </c>
      <c r="H133" s="23" t="str">
        <f>IF(B133&lt;&gt;"Silicone","",IFERROR(XLOOKUP(D133,#REF!,#REF!),""))</f>
        <v/>
      </c>
      <c r="J133" s="22" t="e">
        <f>VLOOKUP(D133,'Spec_Single_H&amp;S'!$B$2:$G$42,4,FALSE)</f>
        <v>#N/A</v>
      </c>
      <c r="K133" s="22" t="e">
        <f>VLOOKUP(D133,'Spec_Single_H&amp;S'!$B$2:$G$42,5,FALSE)</f>
        <v>#N/A</v>
      </c>
      <c r="L133" s="18" t="e">
        <f t="shared" si="9"/>
        <v>#N/A</v>
      </c>
    </row>
    <row r="134" spans="5:12" x14ac:dyDescent="0.3">
      <c r="E134" s="7" t="str">
        <f t="shared" si="8"/>
        <v/>
      </c>
      <c r="H134" s="23" t="str">
        <f>IF(B134&lt;&gt;"Silicone","",IFERROR(XLOOKUP(D134,#REF!,#REF!),""))</f>
        <v/>
      </c>
      <c r="J134" s="22" t="e">
        <f>VLOOKUP(D134,'Spec_Single_H&amp;S'!$B$2:$G$42,4,FALSE)</f>
        <v>#N/A</v>
      </c>
      <c r="K134" s="22" t="e">
        <f>VLOOKUP(D134,'Spec_Single_H&amp;S'!$B$2:$G$42,5,FALSE)</f>
        <v>#N/A</v>
      </c>
      <c r="L134" s="18" t="e">
        <f t="shared" si="9"/>
        <v>#N/A</v>
      </c>
    </row>
    <row r="135" spans="5:12" x14ac:dyDescent="0.3">
      <c r="E135" s="7" t="str">
        <f t="shared" si="8"/>
        <v/>
      </c>
      <c r="H135" s="23" t="str">
        <f>IF(B135&lt;&gt;"Silicone","",IFERROR(XLOOKUP(D135,#REF!,#REF!),""))</f>
        <v/>
      </c>
      <c r="J135" s="22" t="e">
        <f>VLOOKUP(D135,'Spec_Single_H&amp;S'!$B$2:$G$42,4,FALSE)</f>
        <v>#N/A</v>
      </c>
      <c r="K135" s="22" t="e">
        <f>VLOOKUP(D135,'Spec_Single_H&amp;S'!$B$2:$G$42,5,FALSE)</f>
        <v>#N/A</v>
      </c>
      <c r="L135" s="18" t="e">
        <f t="shared" si="9"/>
        <v>#N/A</v>
      </c>
    </row>
    <row r="136" spans="5:12" x14ac:dyDescent="0.3">
      <c r="E136" s="7" t="str">
        <f t="shared" si="8"/>
        <v/>
      </c>
      <c r="H136" s="23" t="str">
        <f>IF(B136&lt;&gt;"Silicone","",IFERROR(XLOOKUP(D136,#REF!,#REF!),""))</f>
        <v/>
      </c>
      <c r="J136" s="22" t="e">
        <f>VLOOKUP(D136,'Spec_Single_H&amp;S'!$B$2:$G$42,4,FALSE)</f>
        <v>#N/A</v>
      </c>
      <c r="K136" s="22" t="e">
        <f>VLOOKUP(D136,'Spec_Single_H&amp;S'!$B$2:$G$42,5,FALSE)</f>
        <v>#N/A</v>
      </c>
      <c r="L136" s="18" t="e">
        <f t="shared" si="9"/>
        <v>#N/A</v>
      </c>
    </row>
    <row r="137" spans="5:12" x14ac:dyDescent="0.3">
      <c r="E137" s="7" t="str">
        <f t="shared" ref="E137:E200" si="10">IF(D137="","",IF(B137="Silicone", "SL" &amp; IF(C137="Black","B",IF(C137="White","W",IF(C137="Blue","U",IF(C137="Green","G",IF(C137="Yellow","Y",IF(C137="Red","R",IF(C137="Pink","P",""))))))) &amp; TEXT(A137,"yymmdd") &amp; "01",IF(LEFT(D137,3)="NPL","NPL","PL") &amp; IF(C137="Black","B",IF(C137="White","W",IF(C137="Blue","U",IF(C137="Green","G",IF(C137="Yellow","Y",IF(C137="Red","R",IF(C137="Pink","P",""))))))) &amp; TEXT(A137,"yymmdd") &amp; "01"))</f>
        <v/>
      </c>
      <c r="H137" s="23" t="str">
        <f>IF(B137&lt;&gt;"Silicone","",IFERROR(XLOOKUP(D137,#REF!,#REF!),""))</f>
        <v/>
      </c>
      <c r="J137" s="22" t="e">
        <f>VLOOKUP(D137,'Spec_Single_H&amp;S'!$B$2:$G$42,4,FALSE)</f>
        <v>#N/A</v>
      </c>
      <c r="K137" s="22" t="e">
        <f>VLOOKUP(D137,'Spec_Single_H&amp;S'!$B$2:$G$42,5,FALSE)</f>
        <v>#N/A</v>
      </c>
      <c r="L137" s="18" t="e">
        <f t="shared" ref="L137" si="11">IF(AND(NOT(ISBLANK(I137)),I137&gt;=J137,I137&lt;=K137),"적합",IF(ISBLANK(I137),"", "부적합"))</f>
        <v>#N/A</v>
      </c>
    </row>
    <row r="138" spans="5:12" x14ac:dyDescent="0.3">
      <c r="E138" s="7" t="str">
        <f t="shared" si="10"/>
        <v/>
      </c>
      <c r="H138" s="23" t="str">
        <f>IF(B138&lt;&gt;"Silicone","",IFERROR(XLOOKUP(D138,#REF!,#REF!),""))</f>
        <v/>
      </c>
      <c r="J138" s="22" t="e">
        <f>VLOOKUP(D138,'Spec_Single_H&amp;S'!$B$2:$G$42,4,FALSE)</f>
        <v>#N/A</v>
      </c>
      <c r="K138" s="22" t="e">
        <f>VLOOKUP(D138,'Spec_Single_H&amp;S'!$B$2:$G$42,5,FALSE)</f>
        <v>#N/A</v>
      </c>
      <c r="L138" s="7" t="e">
        <f t="shared" ref="L138:L199" si="12">IF(AND(NOT(ISBLANK(I138)),I138&gt;=J138,I138&lt;=K138),"적합",IF(ISBLANK(I138),"", "부적합"))</f>
        <v>#N/A</v>
      </c>
    </row>
    <row r="139" spans="5:12" x14ac:dyDescent="0.3">
      <c r="E139" s="7" t="str">
        <f t="shared" si="10"/>
        <v/>
      </c>
      <c r="H139" s="23" t="str">
        <f>IF(B139&lt;&gt;"Silicone","",IFERROR(XLOOKUP(D139,#REF!,#REF!),""))</f>
        <v/>
      </c>
      <c r="J139" s="22" t="e">
        <f>VLOOKUP(D139,'Spec_Single_H&amp;S'!$B$2:$G$42,4,FALSE)</f>
        <v>#N/A</v>
      </c>
      <c r="K139" s="22" t="e">
        <f>VLOOKUP(D139,'Spec_Single_H&amp;S'!$B$2:$G$42,5,FALSE)</f>
        <v>#N/A</v>
      </c>
      <c r="L139" s="7" t="e">
        <f t="shared" si="12"/>
        <v>#N/A</v>
      </c>
    </row>
    <row r="140" spans="5:12" x14ac:dyDescent="0.3">
      <c r="E140" s="7" t="str">
        <f t="shared" si="10"/>
        <v/>
      </c>
      <c r="H140" s="23" t="str">
        <f>IF(B140&lt;&gt;"Silicone","",IFERROR(XLOOKUP(D140,#REF!,#REF!),""))</f>
        <v/>
      </c>
      <c r="J140" s="22" t="e">
        <f>VLOOKUP(D140,'Spec_Single_H&amp;S'!$B$2:$G$42,4,FALSE)</f>
        <v>#N/A</v>
      </c>
      <c r="K140" s="22" t="e">
        <f>VLOOKUP(D140,'Spec_Single_H&amp;S'!$B$2:$G$42,5,FALSE)</f>
        <v>#N/A</v>
      </c>
      <c r="L140" s="7" t="e">
        <f t="shared" si="12"/>
        <v>#N/A</v>
      </c>
    </row>
    <row r="141" spans="5:12" x14ac:dyDescent="0.3">
      <c r="E141" s="7" t="str">
        <f t="shared" si="10"/>
        <v/>
      </c>
      <c r="H141" s="23" t="str">
        <f>IF(B141&lt;&gt;"Silicone","",IFERROR(XLOOKUP(D141,#REF!,#REF!),""))</f>
        <v/>
      </c>
      <c r="J141" s="22" t="e">
        <f>VLOOKUP(D141,'Spec_Single_H&amp;S'!$B$2:$G$42,4,FALSE)</f>
        <v>#N/A</v>
      </c>
      <c r="K141" s="22" t="e">
        <f>VLOOKUP(D141,'Spec_Single_H&amp;S'!$B$2:$G$42,5,FALSE)</f>
        <v>#N/A</v>
      </c>
      <c r="L141" s="7" t="e">
        <f t="shared" si="12"/>
        <v>#N/A</v>
      </c>
    </row>
    <row r="142" spans="5:12" x14ac:dyDescent="0.3">
      <c r="E142" s="7" t="str">
        <f t="shared" si="10"/>
        <v/>
      </c>
      <c r="H142" s="23" t="str">
        <f>IF(B142&lt;&gt;"Silicone","",IFERROR(XLOOKUP(D142,#REF!,#REF!),""))</f>
        <v/>
      </c>
      <c r="J142" s="22" t="e">
        <f>VLOOKUP(D142,'Spec_Single_H&amp;S'!$B$2:$G$42,4,FALSE)</f>
        <v>#N/A</v>
      </c>
      <c r="K142" s="22" t="e">
        <f>VLOOKUP(D142,'Spec_Single_H&amp;S'!$B$2:$G$42,5,FALSE)</f>
        <v>#N/A</v>
      </c>
      <c r="L142" s="7" t="e">
        <f t="shared" si="12"/>
        <v>#N/A</v>
      </c>
    </row>
    <row r="143" spans="5:12" x14ac:dyDescent="0.3">
      <c r="E143" s="7" t="str">
        <f t="shared" si="10"/>
        <v/>
      </c>
      <c r="H143" s="23" t="str">
        <f>IF(B143&lt;&gt;"Silicone","",IFERROR(XLOOKUP(D143,#REF!,#REF!),""))</f>
        <v/>
      </c>
      <c r="J143" s="22" t="e">
        <f>VLOOKUP(D143,'Spec_Single_H&amp;S'!$B$2:$G$42,4,FALSE)</f>
        <v>#N/A</v>
      </c>
      <c r="K143" s="22" t="e">
        <f>VLOOKUP(D143,'Spec_Single_H&amp;S'!$B$2:$G$42,5,FALSE)</f>
        <v>#N/A</v>
      </c>
      <c r="L143" s="7" t="e">
        <f t="shared" si="12"/>
        <v>#N/A</v>
      </c>
    </row>
    <row r="144" spans="5:12" x14ac:dyDescent="0.3">
      <c r="E144" s="7" t="str">
        <f t="shared" si="10"/>
        <v/>
      </c>
      <c r="H144" s="23" t="str">
        <f>IF(B144&lt;&gt;"Silicone","",IFERROR(XLOOKUP(D144,#REF!,#REF!),""))</f>
        <v/>
      </c>
      <c r="J144" s="22" t="e">
        <f>VLOOKUP(D144,'Spec_Single_H&amp;S'!$B$2:$G$42,4,FALSE)</f>
        <v>#N/A</v>
      </c>
      <c r="K144" s="22" t="e">
        <f>VLOOKUP(D144,'Spec_Single_H&amp;S'!$B$2:$G$42,5,FALSE)</f>
        <v>#N/A</v>
      </c>
      <c r="L144" s="7" t="e">
        <f t="shared" si="12"/>
        <v>#N/A</v>
      </c>
    </row>
    <row r="145" spans="5:12" x14ac:dyDescent="0.3">
      <c r="E145" s="7" t="str">
        <f t="shared" si="10"/>
        <v/>
      </c>
      <c r="H145" s="23" t="str">
        <f>IF(B145&lt;&gt;"Silicone","",IFERROR(XLOOKUP(D145,#REF!,#REF!),""))</f>
        <v/>
      </c>
      <c r="J145" s="22" t="e">
        <f>VLOOKUP(D145,'Spec_Single_H&amp;S'!$B$2:$G$42,4,FALSE)</f>
        <v>#N/A</v>
      </c>
      <c r="K145" s="22" t="e">
        <f>VLOOKUP(D145,'Spec_Single_H&amp;S'!$B$2:$G$42,5,FALSE)</f>
        <v>#N/A</v>
      </c>
      <c r="L145" s="7" t="e">
        <f t="shared" si="12"/>
        <v>#N/A</v>
      </c>
    </row>
    <row r="146" spans="5:12" x14ac:dyDescent="0.3">
      <c r="E146" s="7" t="str">
        <f t="shared" si="10"/>
        <v/>
      </c>
      <c r="H146" s="23" t="str">
        <f>IF(B146&lt;&gt;"Silicone","",IFERROR(XLOOKUP(D146,#REF!,#REF!),""))</f>
        <v/>
      </c>
      <c r="J146" s="22" t="e">
        <f>VLOOKUP(D146,'Spec_Single_H&amp;S'!$B$2:$G$42,4,FALSE)</f>
        <v>#N/A</v>
      </c>
      <c r="K146" s="22" t="e">
        <f>VLOOKUP(D146,'Spec_Single_H&amp;S'!$B$2:$G$42,5,FALSE)</f>
        <v>#N/A</v>
      </c>
      <c r="L146" s="7" t="e">
        <f t="shared" si="12"/>
        <v>#N/A</v>
      </c>
    </row>
    <row r="147" spans="5:12" x14ac:dyDescent="0.3">
      <c r="E147" s="7" t="str">
        <f t="shared" si="10"/>
        <v/>
      </c>
      <c r="H147" s="23" t="str">
        <f>IF(B147&lt;&gt;"Silicone","",IFERROR(XLOOKUP(D147,#REF!,#REF!),""))</f>
        <v/>
      </c>
      <c r="J147" s="22" t="e">
        <f>VLOOKUP(D147,'Spec_Single_H&amp;S'!$B$2:$G$42,4,FALSE)</f>
        <v>#N/A</v>
      </c>
      <c r="K147" s="22" t="e">
        <f>VLOOKUP(D147,'Spec_Single_H&amp;S'!$B$2:$G$42,5,FALSE)</f>
        <v>#N/A</v>
      </c>
      <c r="L147" s="7" t="e">
        <f t="shared" si="12"/>
        <v>#N/A</v>
      </c>
    </row>
    <row r="148" spans="5:12" x14ac:dyDescent="0.3">
      <c r="E148" s="7" t="str">
        <f t="shared" si="10"/>
        <v/>
      </c>
      <c r="H148" s="23" t="str">
        <f>IF(B148&lt;&gt;"Silicone","",IFERROR(XLOOKUP(D148,#REF!,#REF!),""))</f>
        <v/>
      </c>
      <c r="J148" s="22" t="e">
        <f>VLOOKUP(D148,'Spec_Single_H&amp;S'!$B$2:$G$42,4,FALSE)</f>
        <v>#N/A</v>
      </c>
      <c r="K148" s="22" t="e">
        <f>VLOOKUP(D148,'Spec_Single_H&amp;S'!$B$2:$G$42,5,FALSE)</f>
        <v>#N/A</v>
      </c>
      <c r="L148" s="7" t="e">
        <f t="shared" si="12"/>
        <v>#N/A</v>
      </c>
    </row>
    <row r="149" spans="5:12" x14ac:dyDescent="0.3">
      <c r="E149" s="7" t="str">
        <f t="shared" si="10"/>
        <v/>
      </c>
      <c r="H149" s="23" t="str">
        <f>IF(B149&lt;&gt;"Silicone","",IFERROR(XLOOKUP(D149,#REF!,#REF!),""))</f>
        <v/>
      </c>
      <c r="J149" s="22" t="e">
        <f>VLOOKUP(D149,'Spec_Single_H&amp;S'!$B$2:$G$42,4,FALSE)</f>
        <v>#N/A</v>
      </c>
      <c r="K149" s="22" t="e">
        <f>VLOOKUP(D149,'Spec_Single_H&amp;S'!$B$2:$G$42,5,FALSE)</f>
        <v>#N/A</v>
      </c>
      <c r="L149" s="7" t="e">
        <f t="shared" si="12"/>
        <v>#N/A</v>
      </c>
    </row>
    <row r="150" spans="5:12" x14ac:dyDescent="0.3">
      <c r="E150" s="7" t="str">
        <f t="shared" si="10"/>
        <v/>
      </c>
      <c r="H150" s="23" t="str">
        <f>IF(B150&lt;&gt;"Silicone","",IFERROR(XLOOKUP(D150,#REF!,#REF!),""))</f>
        <v/>
      </c>
      <c r="J150" s="22" t="e">
        <f>VLOOKUP(D150,'Spec_Single_H&amp;S'!$B$2:$G$42,4,FALSE)</f>
        <v>#N/A</v>
      </c>
      <c r="K150" s="22" t="e">
        <f>VLOOKUP(D150,'Spec_Single_H&amp;S'!$B$2:$G$42,5,FALSE)</f>
        <v>#N/A</v>
      </c>
      <c r="L150" s="7" t="e">
        <f t="shared" si="12"/>
        <v>#N/A</v>
      </c>
    </row>
    <row r="151" spans="5:12" x14ac:dyDescent="0.3">
      <c r="E151" s="7" t="str">
        <f t="shared" si="10"/>
        <v/>
      </c>
      <c r="H151" s="23" t="str">
        <f>IF(B151&lt;&gt;"Silicone","",IFERROR(XLOOKUP(D151,#REF!,#REF!),""))</f>
        <v/>
      </c>
      <c r="J151" s="22" t="e">
        <f>VLOOKUP(D151,'Spec_Single_H&amp;S'!$B$2:$G$42,4,FALSE)</f>
        <v>#N/A</v>
      </c>
      <c r="K151" s="22" t="e">
        <f>VLOOKUP(D151,'Spec_Single_H&amp;S'!$B$2:$G$42,5,FALSE)</f>
        <v>#N/A</v>
      </c>
      <c r="L151" s="7" t="e">
        <f t="shared" si="12"/>
        <v>#N/A</v>
      </c>
    </row>
    <row r="152" spans="5:12" x14ac:dyDescent="0.3">
      <c r="E152" s="7" t="str">
        <f t="shared" si="10"/>
        <v/>
      </c>
      <c r="H152" s="7" t="str">
        <f>IF(B152&lt;&gt;"Silicone","",IFERROR(XLOOKUP(D152,#REF!,#REF!),""))</f>
        <v/>
      </c>
      <c r="J152" s="22" t="e">
        <f>VLOOKUP(D152,'Spec_Single_H&amp;S'!$B$2:$G$42,4,FALSE)</f>
        <v>#N/A</v>
      </c>
      <c r="K152" s="22" t="e">
        <f>VLOOKUP(D152,'Spec_Single_H&amp;S'!$B$2:$G$42,5,FALSE)</f>
        <v>#N/A</v>
      </c>
      <c r="L152" s="7" t="e">
        <f t="shared" si="12"/>
        <v>#N/A</v>
      </c>
    </row>
    <row r="153" spans="5:12" x14ac:dyDescent="0.3">
      <c r="E153" s="7" t="str">
        <f t="shared" si="10"/>
        <v/>
      </c>
      <c r="H153" s="7" t="str">
        <f>IF(B153&lt;&gt;"Silicone","",IFERROR(XLOOKUP(D153,#REF!,#REF!),""))</f>
        <v/>
      </c>
      <c r="J153" s="22" t="e">
        <f>VLOOKUP(D153,'Spec_Single_H&amp;S'!$B$2:$G$42,4,FALSE)</f>
        <v>#N/A</v>
      </c>
      <c r="K153" s="22" t="e">
        <f>VLOOKUP(D153,'Spec_Single_H&amp;S'!$B$2:$G$42,5,FALSE)</f>
        <v>#N/A</v>
      </c>
      <c r="L153" s="7" t="e">
        <f t="shared" si="12"/>
        <v>#N/A</v>
      </c>
    </row>
    <row r="154" spans="5:12" x14ac:dyDescent="0.3">
      <c r="E154" s="7" t="str">
        <f t="shared" si="10"/>
        <v/>
      </c>
      <c r="H154" s="7" t="str">
        <f>IF(B154&lt;&gt;"Silicone","",IFERROR(XLOOKUP(D154,#REF!,#REF!),""))</f>
        <v/>
      </c>
      <c r="J154" s="22" t="e">
        <f>VLOOKUP(D154,'Spec_Single_H&amp;S'!$B$2:$G$42,4,FALSE)</f>
        <v>#N/A</v>
      </c>
      <c r="K154" s="22" t="e">
        <f>VLOOKUP(D154,'Spec_Single_H&amp;S'!$B$2:$G$42,5,FALSE)</f>
        <v>#N/A</v>
      </c>
      <c r="L154" s="7" t="e">
        <f t="shared" si="12"/>
        <v>#N/A</v>
      </c>
    </row>
    <row r="155" spans="5:12" x14ac:dyDescent="0.3">
      <c r="E155" s="7" t="str">
        <f t="shared" si="10"/>
        <v/>
      </c>
      <c r="H155" s="7" t="str">
        <f>IF(B155&lt;&gt;"Silicone","",IFERROR(XLOOKUP(D155,#REF!,#REF!),""))</f>
        <v/>
      </c>
      <c r="J155" s="22" t="e">
        <f>VLOOKUP(D155,'Spec_Single_H&amp;S'!$B$2:$G$42,4,FALSE)</f>
        <v>#N/A</v>
      </c>
      <c r="K155" s="22" t="e">
        <f>VLOOKUP(D155,'Spec_Single_H&amp;S'!$B$2:$G$42,5,FALSE)</f>
        <v>#N/A</v>
      </c>
      <c r="L155" s="7" t="e">
        <f t="shared" si="12"/>
        <v>#N/A</v>
      </c>
    </row>
    <row r="156" spans="5:12" x14ac:dyDescent="0.3">
      <c r="E156" s="7" t="str">
        <f t="shared" si="10"/>
        <v/>
      </c>
      <c r="H156" s="7" t="str">
        <f>IF(B156&lt;&gt;"Silicone","",IFERROR(XLOOKUP(D156,#REF!,#REF!),""))</f>
        <v/>
      </c>
      <c r="J156" s="22" t="e">
        <f>VLOOKUP(D156,'Spec_Single_H&amp;S'!$B$2:$G$42,4,FALSE)</f>
        <v>#N/A</v>
      </c>
      <c r="K156" s="22" t="e">
        <f>VLOOKUP(D156,'Spec_Single_H&amp;S'!$B$2:$G$42,5,FALSE)</f>
        <v>#N/A</v>
      </c>
      <c r="L156" s="7" t="e">
        <f t="shared" si="12"/>
        <v>#N/A</v>
      </c>
    </row>
    <row r="157" spans="5:12" x14ac:dyDescent="0.3">
      <c r="E157" s="7" t="str">
        <f t="shared" si="10"/>
        <v/>
      </c>
      <c r="H157" s="7" t="str">
        <f>IF(B157&lt;&gt;"Silicone","",IFERROR(XLOOKUP(D157,#REF!,#REF!),""))</f>
        <v/>
      </c>
      <c r="J157" s="22" t="e">
        <f>VLOOKUP(D157,'Spec_Single_H&amp;S'!$B$2:$G$42,4,FALSE)</f>
        <v>#N/A</v>
      </c>
      <c r="K157" s="22" t="e">
        <f>VLOOKUP(D157,'Spec_Single_H&amp;S'!$B$2:$G$42,5,FALSE)</f>
        <v>#N/A</v>
      </c>
      <c r="L157" s="7" t="e">
        <f t="shared" si="12"/>
        <v>#N/A</v>
      </c>
    </row>
    <row r="158" spans="5:12" x14ac:dyDescent="0.3">
      <c r="E158" s="7" t="str">
        <f t="shared" si="10"/>
        <v/>
      </c>
      <c r="H158" s="7" t="str">
        <f>IF(B158&lt;&gt;"Silicone","",IFERROR(XLOOKUP(D158,#REF!,#REF!),""))</f>
        <v/>
      </c>
      <c r="J158" s="22" t="e">
        <f>VLOOKUP(D158,'Spec_Single_H&amp;S'!$B$2:$G$42,4,FALSE)</f>
        <v>#N/A</v>
      </c>
      <c r="K158" s="22" t="e">
        <f>VLOOKUP(D158,'Spec_Single_H&amp;S'!$B$2:$G$42,5,FALSE)</f>
        <v>#N/A</v>
      </c>
      <c r="L158" s="7" t="e">
        <f t="shared" si="12"/>
        <v>#N/A</v>
      </c>
    </row>
    <row r="159" spans="5:12" x14ac:dyDescent="0.3">
      <c r="E159" s="7" t="str">
        <f t="shared" si="10"/>
        <v/>
      </c>
      <c r="H159" s="7" t="str">
        <f>IF(B159&lt;&gt;"Silicone","",IFERROR(XLOOKUP(D159,#REF!,#REF!),""))</f>
        <v/>
      </c>
      <c r="J159" s="22" t="e">
        <f>VLOOKUP(D159,'Spec_Single_H&amp;S'!$B$2:$G$42,4,FALSE)</f>
        <v>#N/A</v>
      </c>
      <c r="K159" s="22" t="e">
        <f>VLOOKUP(D159,'Spec_Single_H&amp;S'!$B$2:$G$42,5,FALSE)</f>
        <v>#N/A</v>
      </c>
      <c r="L159" s="7" t="e">
        <f t="shared" si="12"/>
        <v>#N/A</v>
      </c>
    </row>
    <row r="160" spans="5:12" x14ac:dyDescent="0.3">
      <c r="E160" s="7" t="str">
        <f t="shared" si="10"/>
        <v/>
      </c>
      <c r="H160" s="7" t="str">
        <f>IF(B160&lt;&gt;"Silicone","",IFERROR(XLOOKUP(D160,#REF!,#REF!),""))</f>
        <v/>
      </c>
      <c r="J160" s="22" t="e">
        <f>VLOOKUP(D160,'Spec_Single_H&amp;S'!$B$2:$G$42,4,FALSE)</f>
        <v>#N/A</v>
      </c>
      <c r="K160" s="22" t="e">
        <f>VLOOKUP(D160,'Spec_Single_H&amp;S'!$B$2:$G$42,5,FALSE)</f>
        <v>#N/A</v>
      </c>
      <c r="L160" s="7" t="e">
        <f t="shared" si="12"/>
        <v>#N/A</v>
      </c>
    </row>
    <row r="161" spans="5:12" x14ac:dyDescent="0.3">
      <c r="E161" s="7" t="str">
        <f t="shared" si="10"/>
        <v/>
      </c>
      <c r="H161" s="7" t="str">
        <f>IF(B161&lt;&gt;"Silicone","",IFERROR(XLOOKUP(D161,#REF!,#REF!),""))</f>
        <v/>
      </c>
      <c r="J161" s="22" t="e">
        <f>VLOOKUP(D161,'Spec_Single_H&amp;S'!$B$2:$G$42,4,FALSE)</f>
        <v>#N/A</v>
      </c>
      <c r="K161" s="22" t="e">
        <f>VLOOKUP(D161,'Spec_Single_H&amp;S'!$B$2:$G$42,5,FALSE)</f>
        <v>#N/A</v>
      </c>
      <c r="L161" s="7" t="e">
        <f t="shared" si="12"/>
        <v>#N/A</v>
      </c>
    </row>
    <row r="162" spans="5:12" x14ac:dyDescent="0.3">
      <c r="E162" s="7" t="str">
        <f t="shared" si="10"/>
        <v/>
      </c>
      <c r="H162" s="7" t="str">
        <f>IF(B162&lt;&gt;"Silicone","",IFERROR(XLOOKUP(D162,#REF!,#REF!),""))</f>
        <v/>
      </c>
      <c r="J162" s="22" t="e">
        <f>VLOOKUP(D162,'Spec_Single_H&amp;S'!$B$2:$G$42,4,FALSE)</f>
        <v>#N/A</v>
      </c>
      <c r="K162" s="22" t="e">
        <f>VLOOKUP(D162,'Spec_Single_H&amp;S'!$B$2:$G$42,5,FALSE)</f>
        <v>#N/A</v>
      </c>
      <c r="L162" s="7" t="e">
        <f t="shared" si="12"/>
        <v>#N/A</v>
      </c>
    </row>
    <row r="163" spans="5:12" x14ac:dyDescent="0.3">
      <c r="E163" s="7" t="str">
        <f t="shared" si="10"/>
        <v/>
      </c>
      <c r="H163" s="7" t="str">
        <f>IF(B163&lt;&gt;"Silicone","",IFERROR(XLOOKUP(D163,#REF!,#REF!),""))</f>
        <v/>
      </c>
      <c r="J163" s="22" t="e">
        <f>VLOOKUP(D163,'Spec_Single_H&amp;S'!$B$2:$G$42,4,FALSE)</f>
        <v>#N/A</v>
      </c>
      <c r="K163" s="22" t="e">
        <f>VLOOKUP(D163,'Spec_Single_H&amp;S'!$B$2:$G$42,5,FALSE)</f>
        <v>#N/A</v>
      </c>
      <c r="L163" s="7" t="e">
        <f t="shared" si="12"/>
        <v>#N/A</v>
      </c>
    </row>
    <row r="164" spans="5:12" x14ac:dyDescent="0.3">
      <c r="E164" s="7" t="str">
        <f t="shared" si="10"/>
        <v/>
      </c>
      <c r="H164" s="7" t="str">
        <f>IF(B164&lt;&gt;"Silicone","",IFERROR(XLOOKUP(D164,#REF!,#REF!),""))</f>
        <v/>
      </c>
      <c r="J164" s="22" t="e">
        <f>VLOOKUP(D164,'Spec_Single_H&amp;S'!$B$2:$G$42,4,FALSE)</f>
        <v>#N/A</v>
      </c>
      <c r="K164" s="22" t="e">
        <f>VLOOKUP(D164,'Spec_Single_H&amp;S'!$B$2:$G$42,5,FALSE)</f>
        <v>#N/A</v>
      </c>
      <c r="L164" s="7" t="e">
        <f t="shared" si="12"/>
        <v>#N/A</v>
      </c>
    </row>
    <row r="165" spans="5:12" x14ac:dyDescent="0.3">
      <c r="E165" s="7" t="str">
        <f t="shared" si="10"/>
        <v/>
      </c>
      <c r="H165" s="7" t="str">
        <f>IF(B165&lt;&gt;"Silicone","",IFERROR(XLOOKUP(D165,#REF!,#REF!),""))</f>
        <v/>
      </c>
      <c r="J165" s="22" t="e">
        <f>VLOOKUP(D165,'Spec_Single_H&amp;S'!$B$2:$G$42,4,FALSE)</f>
        <v>#N/A</v>
      </c>
      <c r="K165" s="22" t="e">
        <f>VLOOKUP(D165,'Spec_Single_H&amp;S'!$B$2:$G$42,5,FALSE)</f>
        <v>#N/A</v>
      </c>
      <c r="L165" s="7" t="e">
        <f t="shared" si="12"/>
        <v>#N/A</v>
      </c>
    </row>
    <row r="166" spans="5:12" x14ac:dyDescent="0.3">
      <c r="E166" s="7" t="str">
        <f t="shared" si="10"/>
        <v/>
      </c>
      <c r="H166" s="7" t="str">
        <f>IF(B166&lt;&gt;"Silicone","",IFERROR(XLOOKUP(D166,#REF!,#REF!),""))</f>
        <v/>
      </c>
      <c r="J166" s="22" t="e">
        <f>VLOOKUP(D166,'Spec_Single_H&amp;S'!$B$2:$G$42,4,FALSE)</f>
        <v>#N/A</v>
      </c>
      <c r="K166" s="22" t="e">
        <f>VLOOKUP(D166,'Spec_Single_H&amp;S'!$B$2:$G$42,5,FALSE)</f>
        <v>#N/A</v>
      </c>
      <c r="L166" s="7" t="e">
        <f t="shared" si="12"/>
        <v>#N/A</v>
      </c>
    </row>
    <row r="167" spans="5:12" x14ac:dyDescent="0.3">
      <c r="E167" s="7" t="str">
        <f t="shared" si="10"/>
        <v/>
      </c>
      <c r="H167" s="7" t="str">
        <f>IF(B167&lt;&gt;"Silicone","",IFERROR(XLOOKUP(D167,#REF!,#REF!),""))</f>
        <v/>
      </c>
      <c r="J167" s="22" t="e">
        <f>VLOOKUP(D167,'Spec_Single_H&amp;S'!$B$2:$G$42,4,FALSE)</f>
        <v>#N/A</v>
      </c>
      <c r="K167" s="22" t="e">
        <f>VLOOKUP(D167,'Spec_Single_H&amp;S'!$B$2:$G$42,5,FALSE)</f>
        <v>#N/A</v>
      </c>
      <c r="L167" s="7" t="e">
        <f t="shared" si="12"/>
        <v>#N/A</v>
      </c>
    </row>
    <row r="168" spans="5:12" x14ac:dyDescent="0.3">
      <c r="E168" s="7" t="str">
        <f t="shared" si="10"/>
        <v/>
      </c>
      <c r="H168" s="7" t="str">
        <f>IF(B168&lt;&gt;"Silicone","",IFERROR(XLOOKUP(D168,#REF!,#REF!),""))</f>
        <v/>
      </c>
      <c r="J168" s="22" t="e">
        <f>VLOOKUP(D168,'Spec_Single_H&amp;S'!$B$2:$G$42,4,FALSE)</f>
        <v>#N/A</v>
      </c>
      <c r="K168" s="22" t="e">
        <f>VLOOKUP(D168,'Spec_Single_H&amp;S'!$B$2:$G$42,5,FALSE)</f>
        <v>#N/A</v>
      </c>
      <c r="L168" s="7" t="e">
        <f t="shared" si="12"/>
        <v>#N/A</v>
      </c>
    </row>
    <row r="169" spans="5:12" x14ac:dyDescent="0.3">
      <c r="E169" s="7" t="str">
        <f t="shared" si="10"/>
        <v/>
      </c>
      <c r="H169" s="7" t="str">
        <f>IF(B169&lt;&gt;"Silicone","",IFERROR(XLOOKUP(D169,#REF!,#REF!),""))</f>
        <v/>
      </c>
      <c r="J169" s="22" t="e">
        <f>VLOOKUP(D169,'Spec_Single_H&amp;S'!$B$2:$G$42,4,FALSE)</f>
        <v>#N/A</v>
      </c>
      <c r="K169" s="22" t="e">
        <f>VLOOKUP(D169,'Spec_Single_H&amp;S'!$B$2:$G$42,5,FALSE)</f>
        <v>#N/A</v>
      </c>
      <c r="L169" s="7" t="e">
        <f t="shared" si="12"/>
        <v>#N/A</v>
      </c>
    </row>
    <row r="170" spans="5:12" x14ac:dyDescent="0.3">
      <c r="E170" s="7" t="str">
        <f t="shared" si="10"/>
        <v/>
      </c>
      <c r="H170" s="7" t="str">
        <f>IF(B170&lt;&gt;"Silicone","",IFERROR(XLOOKUP(D170,#REF!,#REF!),""))</f>
        <v/>
      </c>
      <c r="J170" s="22" t="e">
        <f>VLOOKUP(D170,'Spec_Single_H&amp;S'!$B$2:$G$42,4,FALSE)</f>
        <v>#N/A</v>
      </c>
      <c r="K170" s="22" t="e">
        <f>VLOOKUP(D170,'Spec_Single_H&amp;S'!$B$2:$G$42,5,FALSE)</f>
        <v>#N/A</v>
      </c>
      <c r="L170" s="7" t="e">
        <f t="shared" si="12"/>
        <v>#N/A</v>
      </c>
    </row>
    <row r="171" spans="5:12" x14ac:dyDescent="0.3">
      <c r="E171" s="7" t="str">
        <f t="shared" si="10"/>
        <v/>
      </c>
      <c r="H171" s="7" t="str">
        <f>IF(B171&lt;&gt;"Silicone","",IFERROR(XLOOKUP(D171,#REF!,#REF!),""))</f>
        <v/>
      </c>
      <c r="J171" s="22" t="e">
        <f>VLOOKUP(D171,'Spec_Single_H&amp;S'!$B$2:$G$42,4,FALSE)</f>
        <v>#N/A</v>
      </c>
      <c r="K171" s="22" t="e">
        <f>VLOOKUP(D171,'Spec_Single_H&amp;S'!$B$2:$G$42,5,FALSE)</f>
        <v>#N/A</v>
      </c>
      <c r="L171" s="7" t="e">
        <f t="shared" si="12"/>
        <v>#N/A</v>
      </c>
    </row>
    <row r="172" spans="5:12" x14ac:dyDescent="0.3">
      <c r="E172" s="7" t="str">
        <f t="shared" si="10"/>
        <v/>
      </c>
      <c r="H172" s="7" t="str">
        <f>IF(B172&lt;&gt;"Silicone","",IFERROR(XLOOKUP(D172,#REF!,#REF!),""))</f>
        <v/>
      </c>
      <c r="J172" s="22" t="e">
        <f>VLOOKUP(D172,'Spec_Single_H&amp;S'!$B$2:$G$42,4,FALSE)</f>
        <v>#N/A</v>
      </c>
      <c r="K172" s="22" t="e">
        <f>VLOOKUP(D172,'Spec_Single_H&amp;S'!$B$2:$G$42,5,FALSE)</f>
        <v>#N/A</v>
      </c>
      <c r="L172" s="7" t="e">
        <f t="shared" si="12"/>
        <v>#N/A</v>
      </c>
    </row>
    <row r="173" spans="5:12" x14ac:dyDescent="0.3">
      <c r="E173" s="7" t="str">
        <f t="shared" si="10"/>
        <v/>
      </c>
      <c r="H173" s="7" t="str">
        <f>IF(B173&lt;&gt;"Silicone","",IFERROR(XLOOKUP(D173,#REF!,#REF!),""))</f>
        <v/>
      </c>
      <c r="J173" s="22" t="e">
        <f>VLOOKUP(D173,'Spec_Single_H&amp;S'!$B$2:$G$42,4,FALSE)</f>
        <v>#N/A</v>
      </c>
      <c r="K173" s="22" t="e">
        <f>VLOOKUP(D173,'Spec_Single_H&amp;S'!$B$2:$G$42,5,FALSE)</f>
        <v>#N/A</v>
      </c>
      <c r="L173" s="7" t="e">
        <f t="shared" si="12"/>
        <v>#N/A</v>
      </c>
    </row>
    <row r="174" spans="5:12" x14ac:dyDescent="0.3">
      <c r="E174" s="7" t="str">
        <f t="shared" si="10"/>
        <v/>
      </c>
      <c r="H174" s="7" t="str">
        <f>IF(B174&lt;&gt;"Silicone","",IFERROR(XLOOKUP(D174,#REF!,#REF!),""))</f>
        <v/>
      </c>
      <c r="J174" s="22" t="e">
        <f>VLOOKUP(D174,'Spec_Single_H&amp;S'!$B$2:$G$42,4,FALSE)</f>
        <v>#N/A</v>
      </c>
      <c r="K174" s="22" t="e">
        <f>VLOOKUP(D174,'Spec_Single_H&amp;S'!$B$2:$G$42,5,FALSE)</f>
        <v>#N/A</v>
      </c>
      <c r="L174" s="7" t="e">
        <f t="shared" si="12"/>
        <v>#N/A</v>
      </c>
    </row>
    <row r="175" spans="5:12" x14ac:dyDescent="0.3">
      <c r="E175" s="7" t="str">
        <f t="shared" si="10"/>
        <v/>
      </c>
      <c r="H175" s="7" t="str">
        <f>IF(B175&lt;&gt;"Silicone","",IFERROR(XLOOKUP(D175,#REF!,#REF!),""))</f>
        <v/>
      </c>
      <c r="J175" s="22" t="e">
        <f>VLOOKUP(D175,'Spec_Single_H&amp;S'!$B$2:$G$42,4,FALSE)</f>
        <v>#N/A</v>
      </c>
      <c r="K175" s="22" t="e">
        <f>VLOOKUP(D175,'Spec_Single_H&amp;S'!$B$2:$G$42,5,FALSE)</f>
        <v>#N/A</v>
      </c>
      <c r="L175" s="7" t="e">
        <f t="shared" si="12"/>
        <v>#N/A</v>
      </c>
    </row>
    <row r="176" spans="5:12" x14ac:dyDescent="0.3">
      <c r="E176" s="7" t="str">
        <f t="shared" si="10"/>
        <v/>
      </c>
      <c r="H176" s="7" t="str">
        <f>IF(B176&lt;&gt;"Silicone","",IFERROR(XLOOKUP(D176,#REF!,#REF!),""))</f>
        <v/>
      </c>
      <c r="J176" s="22" t="e">
        <f>VLOOKUP(D176,'Spec_Single_H&amp;S'!$B$2:$G$42,4,FALSE)</f>
        <v>#N/A</v>
      </c>
      <c r="K176" s="22" t="e">
        <f>VLOOKUP(D176,'Spec_Single_H&amp;S'!$B$2:$G$42,5,FALSE)</f>
        <v>#N/A</v>
      </c>
      <c r="L176" s="7" t="e">
        <f t="shared" si="12"/>
        <v>#N/A</v>
      </c>
    </row>
    <row r="177" spans="5:12" x14ac:dyDescent="0.3">
      <c r="E177" s="7" t="str">
        <f t="shared" si="10"/>
        <v/>
      </c>
      <c r="H177" s="7" t="str">
        <f>IF(B177&lt;&gt;"Silicone","",IFERROR(XLOOKUP(D177,#REF!,#REF!),""))</f>
        <v/>
      </c>
      <c r="J177" s="22" t="e">
        <f>VLOOKUP(D177,'Spec_Single_H&amp;S'!$B$2:$G$42,4,FALSE)</f>
        <v>#N/A</v>
      </c>
      <c r="K177" s="22" t="e">
        <f>VLOOKUP(D177,'Spec_Single_H&amp;S'!$B$2:$G$42,5,FALSE)</f>
        <v>#N/A</v>
      </c>
      <c r="L177" s="7" t="e">
        <f t="shared" si="12"/>
        <v>#N/A</v>
      </c>
    </row>
    <row r="178" spans="5:12" x14ac:dyDescent="0.3">
      <c r="E178" s="7" t="str">
        <f t="shared" si="10"/>
        <v/>
      </c>
      <c r="H178" s="7" t="str">
        <f>IF(B178&lt;&gt;"Silicone","",IFERROR(XLOOKUP(D178,#REF!,#REF!),""))</f>
        <v/>
      </c>
      <c r="J178" s="22" t="e">
        <f>VLOOKUP(D178,'Spec_Single_H&amp;S'!$B$2:$G$42,4,FALSE)</f>
        <v>#N/A</v>
      </c>
      <c r="K178" s="22" t="e">
        <f>VLOOKUP(D178,'Spec_Single_H&amp;S'!$B$2:$G$42,5,FALSE)</f>
        <v>#N/A</v>
      </c>
      <c r="L178" s="7" t="e">
        <f t="shared" si="12"/>
        <v>#N/A</v>
      </c>
    </row>
    <row r="179" spans="5:12" x14ac:dyDescent="0.3">
      <c r="E179" s="7" t="str">
        <f t="shared" si="10"/>
        <v/>
      </c>
      <c r="H179" s="7" t="str">
        <f>IF(B179&lt;&gt;"Silicone","",IFERROR(XLOOKUP(D179,#REF!,#REF!),""))</f>
        <v/>
      </c>
      <c r="J179" s="22" t="e">
        <f>VLOOKUP(D179,'Spec_Single_H&amp;S'!$B$2:$G$42,4,FALSE)</f>
        <v>#N/A</v>
      </c>
      <c r="K179" s="22" t="e">
        <f>VLOOKUP(D179,'Spec_Single_H&amp;S'!$B$2:$G$42,5,FALSE)</f>
        <v>#N/A</v>
      </c>
      <c r="L179" s="7" t="e">
        <f t="shared" si="12"/>
        <v>#N/A</v>
      </c>
    </row>
    <row r="180" spans="5:12" x14ac:dyDescent="0.3">
      <c r="E180" s="7" t="str">
        <f t="shared" si="10"/>
        <v/>
      </c>
      <c r="H180" s="7" t="str">
        <f>IF(B180&lt;&gt;"Silicone","",IFERROR(XLOOKUP(D180,#REF!,#REF!),""))</f>
        <v/>
      </c>
      <c r="J180" s="22" t="e">
        <f>VLOOKUP(D180,'Spec_Single_H&amp;S'!$B$2:$G$42,4,FALSE)</f>
        <v>#N/A</v>
      </c>
      <c r="K180" s="22" t="e">
        <f>VLOOKUP(D180,'Spec_Single_H&amp;S'!$B$2:$G$42,5,FALSE)</f>
        <v>#N/A</v>
      </c>
      <c r="L180" s="7" t="e">
        <f t="shared" si="12"/>
        <v>#N/A</v>
      </c>
    </row>
    <row r="181" spans="5:12" x14ac:dyDescent="0.3">
      <c r="E181" s="7" t="str">
        <f t="shared" si="10"/>
        <v/>
      </c>
      <c r="H181" s="7" t="str">
        <f>IF(B181&lt;&gt;"Silicone","",IFERROR(XLOOKUP(D181,#REF!,#REF!),""))</f>
        <v/>
      </c>
      <c r="J181" s="22" t="e">
        <f>VLOOKUP(D181,'Spec_Single_H&amp;S'!$B$2:$G$42,4,FALSE)</f>
        <v>#N/A</v>
      </c>
      <c r="K181" s="22" t="e">
        <f>VLOOKUP(D181,'Spec_Single_H&amp;S'!$B$2:$G$42,5,FALSE)</f>
        <v>#N/A</v>
      </c>
      <c r="L181" s="7" t="e">
        <f t="shared" si="12"/>
        <v>#N/A</v>
      </c>
    </row>
    <row r="182" spans="5:12" x14ac:dyDescent="0.3">
      <c r="E182" s="7" t="str">
        <f t="shared" si="10"/>
        <v/>
      </c>
      <c r="H182" s="7" t="str">
        <f>IF(B182&lt;&gt;"Silicone","",IFERROR(XLOOKUP(D182,#REF!,#REF!),""))</f>
        <v/>
      </c>
      <c r="J182" s="22" t="e">
        <f>VLOOKUP(D182,'Spec_Single_H&amp;S'!$B$2:$G$42,4,FALSE)</f>
        <v>#N/A</v>
      </c>
      <c r="K182" s="22" t="e">
        <f>VLOOKUP(D182,'Spec_Single_H&amp;S'!$B$2:$G$42,5,FALSE)</f>
        <v>#N/A</v>
      </c>
      <c r="L182" s="7" t="e">
        <f t="shared" si="12"/>
        <v>#N/A</v>
      </c>
    </row>
    <row r="183" spans="5:12" x14ac:dyDescent="0.3">
      <c r="E183" s="7" t="str">
        <f t="shared" si="10"/>
        <v/>
      </c>
      <c r="H183" s="7" t="str">
        <f>IF(B183&lt;&gt;"Silicone","",IFERROR(XLOOKUP(D183,#REF!,#REF!),""))</f>
        <v/>
      </c>
      <c r="J183" s="22" t="e">
        <f>VLOOKUP(D183,'Spec_Single_H&amp;S'!$B$2:$G$42,4,FALSE)</f>
        <v>#N/A</v>
      </c>
      <c r="K183" s="22" t="e">
        <f>VLOOKUP(D183,'Spec_Single_H&amp;S'!$B$2:$G$42,5,FALSE)</f>
        <v>#N/A</v>
      </c>
      <c r="L183" s="7" t="e">
        <f t="shared" si="12"/>
        <v>#N/A</v>
      </c>
    </row>
    <row r="184" spans="5:12" x14ac:dyDescent="0.3">
      <c r="E184" s="7" t="str">
        <f t="shared" si="10"/>
        <v/>
      </c>
      <c r="H184" s="7" t="str">
        <f>IF(B184&lt;&gt;"Silicone","",IFERROR(XLOOKUP(D184,#REF!,#REF!),""))</f>
        <v/>
      </c>
      <c r="J184" s="22" t="e">
        <f>VLOOKUP(D184,'Spec_Single_H&amp;S'!$B$2:$G$42,4,FALSE)</f>
        <v>#N/A</v>
      </c>
      <c r="K184" s="22" t="e">
        <f>VLOOKUP(D184,'Spec_Single_H&amp;S'!$B$2:$G$42,5,FALSE)</f>
        <v>#N/A</v>
      </c>
      <c r="L184" s="7" t="e">
        <f t="shared" si="12"/>
        <v>#N/A</v>
      </c>
    </row>
    <row r="185" spans="5:12" x14ac:dyDescent="0.3">
      <c r="E185" s="7" t="str">
        <f t="shared" si="10"/>
        <v/>
      </c>
      <c r="H185" s="7" t="str">
        <f>IF(B185&lt;&gt;"Silicone","",IFERROR(XLOOKUP(D185,#REF!,#REF!),""))</f>
        <v/>
      </c>
      <c r="J185" s="22" t="e">
        <f>VLOOKUP(D185,'Spec_Single_H&amp;S'!$B$2:$G$42,4,FALSE)</f>
        <v>#N/A</v>
      </c>
      <c r="K185" s="22" t="e">
        <f>VLOOKUP(D185,'Spec_Single_H&amp;S'!$B$2:$G$42,5,FALSE)</f>
        <v>#N/A</v>
      </c>
      <c r="L185" s="7" t="e">
        <f t="shared" si="12"/>
        <v>#N/A</v>
      </c>
    </row>
    <row r="186" spans="5:12" x14ac:dyDescent="0.3">
      <c r="E186" s="7" t="str">
        <f t="shared" si="10"/>
        <v/>
      </c>
      <c r="H186" s="7" t="str">
        <f>IF(B186&lt;&gt;"Silicone","",IFERROR(XLOOKUP(D186,#REF!,#REF!),""))</f>
        <v/>
      </c>
      <c r="J186" s="22" t="e">
        <f>VLOOKUP(D186,'Spec_Single_H&amp;S'!$B$2:$G$42,4,FALSE)</f>
        <v>#N/A</v>
      </c>
      <c r="K186" s="22" t="e">
        <f>VLOOKUP(D186,'Spec_Single_H&amp;S'!$B$2:$G$42,5,FALSE)</f>
        <v>#N/A</v>
      </c>
      <c r="L186" s="7" t="e">
        <f t="shared" si="12"/>
        <v>#N/A</v>
      </c>
    </row>
    <row r="187" spans="5:12" x14ac:dyDescent="0.3">
      <c r="E187" s="7" t="str">
        <f t="shared" si="10"/>
        <v/>
      </c>
      <c r="H187" s="7" t="str">
        <f>IF(B187&lt;&gt;"Silicone","",IFERROR(XLOOKUP(D187,#REF!,#REF!),""))</f>
        <v/>
      </c>
      <c r="J187" s="22" t="e">
        <f>VLOOKUP(D187,'Spec_Single_H&amp;S'!$B$2:$G$42,4,FALSE)</f>
        <v>#N/A</v>
      </c>
      <c r="K187" s="22" t="e">
        <f>VLOOKUP(D187,'Spec_Single_H&amp;S'!$B$2:$G$42,5,FALSE)</f>
        <v>#N/A</v>
      </c>
      <c r="L187" s="7" t="e">
        <f t="shared" si="12"/>
        <v>#N/A</v>
      </c>
    </row>
    <row r="188" spans="5:12" x14ac:dyDescent="0.3">
      <c r="E188" s="7" t="str">
        <f t="shared" si="10"/>
        <v/>
      </c>
      <c r="H188" s="7" t="str">
        <f>IF(B188&lt;&gt;"Silicone","",IFERROR(XLOOKUP(D188,#REF!,#REF!),""))</f>
        <v/>
      </c>
      <c r="J188" s="22" t="e">
        <f>VLOOKUP(D188,'Spec_Single_H&amp;S'!$B$2:$G$42,4,FALSE)</f>
        <v>#N/A</v>
      </c>
      <c r="K188" s="22" t="e">
        <f>VLOOKUP(D188,'Spec_Single_H&amp;S'!$B$2:$G$42,5,FALSE)</f>
        <v>#N/A</v>
      </c>
      <c r="L188" s="7" t="e">
        <f t="shared" si="12"/>
        <v>#N/A</v>
      </c>
    </row>
    <row r="189" spans="5:12" x14ac:dyDescent="0.3">
      <c r="E189" s="7" t="str">
        <f t="shared" si="10"/>
        <v/>
      </c>
      <c r="H189" s="7" t="str">
        <f>IF(B189&lt;&gt;"Silicone","",IFERROR(XLOOKUP(D189,#REF!,#REF!),""))</f>
        <v/>
      </c>
      <c r="J189" s="22" t="e">
        <f>VLOOKUP(D189,'Spec_Single_H&amp;S'!$B$2:$G$42,4,FALSE)</f>
        <v>#N/A</v>
      </c>
      <c r="K189" s="22" t="e">
        <f>VLOOKUP(D189,'Spec_Single_H&amp;S'!$B$2:$G$42,5,FALSE)</f>
        <v>#N/A</v>
      </c>
      <c r="L189" s="7" t="e">
        <f t="shared" si="12"/>
        <v>#N/A</v>
      </c>
    </row>
    <row r="190" spans="5:12" x14ac:dyDescent="0.3">
      <c r="E190" s="7" t="str">
        <f t="shared" si="10"/>
        <v/>
      </c>
      <c r="H190" s="7" t="str">
        <f>IF(B190&lt;&gt;"Silicone","",IFERROR(XLOOKUP(D190,#REF!,#REF!),""))</f>
        <v/>
      </c>
      <c r="J190" s="22" t="e">
        <f>VLOOKUP(D190,'Spec_Single_H&amp;S'!$B$2:$G$42,4,FALSE)</f>
        <v>#N/A</v>
      </c>
      <c r="K190" s="22" t="e">
        <f>VLOOKUP(D190,'Spec_Single_H&amp;S'!$B$2:$G$42,5,FALSE)</f>
        <v>#N/A</v>
      </c>
      <c r="L190" s="7" t="e">
        <f t="shared" si="12"/>
        <v>#N/A</v>
      </c>
    </row>
    <row r="191" spans="5:12" x14ac:dyDescent="0.3">
      <c r="E191" s="7" t="str">
        <f t="shared" si="10"/>
        <v/>
      </c>
      <c r="H191" s="7" t="str">
        <f>IF(B191&lt;&gt;"Silicone","",IFERROR(XLOOKUP(D191,#REF!,#REF!),""))</f>
        <v/>
      </c>
      <c r="J191" s="22" t="e">
        <f>VLOOKUP(D191,'Spec_Single_H&amp;S'!$B$2:$G$42,4,FALSE)</f>
        <v>#N/A</v>
      </c>
      <c r="K191" s="22" t="e">
        <f>VLOOKUP(D191,'Spec_Single_H&amp;S'!$B$2:$G$42,5,FALSE)</f>
        <v>#N/A</v>
      </c>
      <c r="L191" s="7" t="e">
        <f t="shared" si="12"/>
        <v>#N/A</v>
      </c>
    </row>
    <row r="192" spans="5:12" x14ac:dyDescent="0.3">
      <c r="E192" s="7" t="str">
        <f t="shared" si="10"/>
        <v/>
      </c>
      <c r="H192" s="7" t="str">
        <f>IF(B192&lt;&gt;"Silicone","",IFERROR(XLOOKUP(D192,#REF!,#REF!),""))</f>
        <v/>
      </c>
      <c r="J192" s="22" t="e">
        <f>VLOOKUP(D192,'Spec_Single_H&amp;S'!$B$2:$G$42,4,FALSE)</f>
        <v>#N/A</v>
      </c>
      <c r="K192" s="22" t="e">
        <f>VLOOKUP(D192,'Spec_Single_H&amp;S'!$B$2:$G$42,5,FALSE)</f>
        <v>#N/A</v>
      </c>
      <c r="L192" s="7" t="e">
        <f t="shared" si="12"/>
        <v>#N/A</v>
      </c>
    </row>
    <row r="193" spans="5:12" x14ac:dyDescent="0.3">
      <c r="E193" s="7" t="str">
        <f t="shared" si="10"/>
        <v/>
      </c>
      <c r="H193" s="7" t="str">
        <f>IF(B193&lt;&gt;"Silicone","",IFERROR(XLOOKUP(D193,#REF!,#REF!),""))</f>
        <v/>
      </c>
      <c r="J193" s="22" t="e">
        <f>VLOOKUP(D193,'Spec_Single_H&amp;S'!$B$2:$G$42,4,FALSE)</f>
        <v>#N/A</v>
      </c>
      <c r="K193" s="22" t="e">
        <f>VLOOKUP(D193,'Spec_Single_H&amp;S'!$B$2:$G$42,5,FALSE)</f>
        <v>#N/A</v>
      </c>
      <c r="L193" s="7" t="e">
        <f t="shared" si="12"/>
        <v>#N/A</v>
      </c>
    </row>
    <row r="194" spans="5:12" x14ac:dyDescent="0.3">
      <c r="E194" s="7" t="str">
        <f t="shared" si="10"/>
        <v/>
      </c>
      <c r="H194" s="7" t="str">
        <f>IF(B194&lt;&gt;"Silicone","",IFERROR(XLOOKUP(D194,#REF!,#REF!),""))</f>
        <v/>
      </c>
      <c r="J194" s="22" t="e">
        <f>VLOOKUP(D194,'Spec_Single_H&amp;S'!$B$2:$G$42,4,FALSE)</f>
        <v>#N/A</v>
      </c>
      <c r="K194" s="22" t="e">
        <f>VLOOKUP(D194,'Spec_Single_H&amp;S'!$B$2:$G$42,5,FALSE)</f>
        <v>#N/A</v>
      </c>
      <c r="L194" s="7" t="e">
        <f t="shared" si="12"/>
        <v>#N/A</v>
      </c>
    </row>
    <row r="195" spans="5:12" x14ac:dyDescent="0.3">
      <c r="E195" s="7" t="str">
        <f t="shared" si="10"/>
        <v/>
      </c>
      <c r="H195" s="7" t="str">
        <f>IF(B195&lt;&gt;"Silicone","",IFERROR(XLOOKUP(D195,#REF!,#REF!),""))</f>
        <v/>
      </c>
      <c r="J195" s="22" t="e">
        <f>VLOOKUP(D195,'Spec_Single_H&amp;S'!$B$2:$G$42,4,FALSE)</f>
        <v>#N/A</v>
      </c>
      <c r="K195" s="22" t="e">
        <f>VLOOKUP(D195,'Spec_Single_H&amp;S'!$B$2:$G$42,5,FALSE)</f>
        <v>#N/A</v>
      </c>
      <c r="L195" s="7" t="e">
        <f t="shared" si="12"/>
        <v>#N/A</v>
      </c>
    </row>
    <row r="196" spans="5:12" x14ac:dyDescent="0.3">
      <c r="E196" s="7" t="str">
        <f t="shared" si="10"/>
        <v/>
      </c>
      <c r="H196" s="7" t="str">
        <f>IF(B196&lt;&gt;"Silicone","",IFERROR(XLOOKUP(D196,#REF!,#REF!),""))</f>
        <v/>
      </c>
      <c r="J196" s="22" t="e">
        <f>VLOOKUP(D196,'Spec_Single_H&amp;S'!$B$2:$G$42,4,FALSE)</f>
        <v>#N/A</v>
      </c>
      <c r="K196" s="22" t="e">
        <f>VLOOKUP(D196,'Spec_Single_H&amp;S'!$B$2:$G$42,5,FALSE)</f>
        <v>#N/A</v>
      </c>
      <c r="L196" s="7" t="e">
        <f t="shared" si="12"/>
        <v>#N/A</v>
      </c>
    </row>
    <row r="197" spans="5:12" x14ac:dyDescent="0.3">
      <c r="E197" s="7" t="str">
        <f t="shared" si="10"/>
        <v/>
      </c>
      <c r="H197" s="7" t="str">
        <f>IF(B197&lt;&gt;"Silicone","",IFERROR(XLOOKUP(D197,#REF!,#REF!),""))</f>
        <v/>
      </c>
      <c r="J197" s="22" t="e">
        <f>VLOOKUP(D197,'Spec_Single_H&amp;S'!$B$2:$G$42,4,FALSE)</f>
        <v>#N/A</v>
      </c>
      <c r="K197" s="22" t="e">
        <f>VLOOKUP(D197,'Spec_Single_H&amp;S'!$B$2:$G$42,5,FALSE)</f>
        <v>#N/A</v>
      </c>
      <c r="L197" s="7" t="e">
        <f t="shared" si="12"/>
        <v>#N/A</v>
      </c>
    </row>
    <row r="198" spans="5:12" x14ac:dyDescent="0.3">
      <c r="E198" s="7" t="str">
        <f t="shared" si="10"/>
        <v/>
      </c>
      <c r="H198" s="7" t="str">
        <f>IF(B198&lt;&gt;"Silicone","",IFERROR(XLOOKUP(D198,#REF!,#REF!),""))</f>
        <v/>
      </c>
      <c r="J198" s="22" t="e">
        <f>VLOOKUP(D198,'Spec_Single_H&amp;S'!$B$2:$G$42,4,FALSE)</f>
        <v>#N/A</v>
      </c>
      <c r="K198" s="22" t="e">
        <f>VLOOKUP(D198,'Spec_Single_H&amp;S'!$B$2:$G$42,5,FALSE)</f>
        <v>#N/A</v>
      </c>
      <c r="L198" s="7" t="e">
        <f t="shared" si="12"/>
        <v>#N/A</v>
      </c>
    </row>
    <row r="199" spans="5:12" x14ac:dyDescent="0.3">
      <c r="E199" s="7" t="str">
        <f t="shared" si="10"/>
        <v/>
      </c>
      <c r="H199" s="7" t="str">
        <f>IF(B199&lt;&gt;"Silicone","",IFERROR(XLOOKUP(D199,#REF!,#REF!),""))</f>
        <v/>
      </c>
      <c r="J199" s="22" t="e">
        <f>VLOOKUP(D199,'Spec_Single_H&amp;S'!$B$2:$G$42,4,FALSE)</f>
        <v>#N/A</v>
      </c>
      <c r="K199" s="22" t="e">
        <f>VLOOKUP(D199,'Spec_Single_H&amp;S'!$B$2:$G$42,5,FALSE)</f>
        <v>#N/A</v>
      </c>
      <c r="L199" s="7" t="e">
        <f t="shared" si="12"/>
        <v>#N/A</v>
      </c>
    </row>
    <row r="200" spans="5:12" x14ac:dyDescent="0.3">
      <c r="E200" s="7" t="str">
        <f t="shared" si="10"/>
        <v/>
      </c>
      <c r="H200" s="7" t="str">
        <f>IF(B200&lt;&gt;"Silicone","",IFERROR(XLOOKUP(D200,#REF!,#REF!),""))</f>
        <v/>
      </c>
      <c r="J200" s="22" t="e">
        <f>VLOOKUP(D200,'Spec_Single_H&amp;S'!$B$2:$G$42,4,FALSE)</f>
        <v>#N/A</v>
      </c>
      <c r="K200" s="22" t="e">
        <f>VLOOKUP(D200,'Spec_Single_H&amp;S'!$B$2:$G$42,5,FALSE)</f>
        <v>#N/A</v>
      </c>
      <c r="L200" s="7" t="e">
        <f t="shared" ref="L200:L263" si="13">IF(AND(NOT(ISBLANK(I200)),I200&gt;=J200,I200&lt;=K200),"적합",IF(ISBLANK(I200),"", "부적합"))</f>
        <v>#N/A</v>
      </c>
    </row>
    <row r="201" spans="5:12" x14ac:dyDescent="0.3">
      <c r="E201" s="7" t="str">
        <f t="shared" ref="E201:E264" si="14">IF(D201="","",IF(B201="Silicone", "SL" &amp; IF(C201="Black","B",IF(C201="White","W",IF(C201="Blue","U",IF(C201="Green","G",IF(C201="Yellow","Y",IF(C201="Red","R",IF(C201="Pink","P",""))))))) &amp; TEXT(A201,"yymmdd") &amp; "01",IF(LEFT(D201,3)="NPL","NPL","PL") &amp; IF(C201="Black","B",IF(C201="White","W",IF(C201="Blue","U",IF(C201="Green","G",IF(C201="Yellow","Y",IF(C201="Red","R",IF(C201="Pink","P",""))))))) &amp; TEXT(A201,"yymmdd") &amp; "01"))</f>
        <v/>
      </c>
      <c r="H201" s="7" t="str">
        <f>IF(B201&lt;&gt;"Silicone","",IFERROR(XLOOKUP(D201,#REF!,#REF!),""))</f>
        <v/>
      </c>
      <c r="J201" s="22" t="e">
        <f>VLOOKUP(D201,'Spec_Single_H&amp;S'!$B$2:$G$42,4,FALSE)</f>
        <v>#N/A</v>
      </c>
      <c r="K201" s="22" t="e">
        <f>VLOOKUP(D201,'Spec_Single_H&amp;S'!$B$2:$G$42,5,FALSE)</f>
        <v>#N/A</v>
      </c>
      <c r="L201" s="7" t="e">
        <f t="shared" si="13"/>
        <v>#N/A</v>
      </c>
    </row>
    <row r="202" spans="5:12" x14ac:dyDescent="0.3">
      <c r="E202" s="7" t="str">
        <f t="shared" si="14"/>
        <v/>
      </c>
      <c r="H202" s="7" t="str">
        <f>IF(B202&lt;&gt;"Silicone","",IFERROR(XLOOKUP(D202,#REF!,#REF!),""))</f>
        <v/>
      </c>
      <c r="J202" s="22" t="e">
        <f>VLOOKUP(D202,'Spec_Single_H&amp;S'!$B$2:$G$42,4,FALSE)</f>
        <v>#N/A</v>
      </c>
      <c r="K202" s="22" t="e">
        <f>VLOOKUP(D202,'Spec_Single_H&amp;S'!$B$2:$G$42,5,FALSE)</f>
        <v>#N/A</v>
      </c>
      <c r="L202" s="7" t="e">
        <f t="shared" si="13"/>
        <v>#N/A</v>
      </c>
    </row>
    <row r="203" spans="5:12" x14ac:dyDescent="0.3">
      <c r="E203" s="7" t="str">
        <f t="shared" si="14"/>
        <v/>
      </c>
      <c r="H203" s="7" t="str">
        <f>IF(B203&lt;&gt;"Silicone","",IFERROR(XLOOKUP(D203,#REF!,#REF!),""))</f>
        <v/>
      </c>
      <c r="J203" s="22" t="e">
        <f>VLOOKUP(D203,'Spec_Single_H&amp;S'!$B$2:$G$42,4,FALSE)</f>
        <v>#N/A</v>
      </c>
      <c r="K203" s="22" t="e">
        <f>VLOOKUP(D203,'Spec_Single_H&amp;S'!$B$2:$G$42,5,FALSE)</f>
        <v>#N/A</v>
      </c>
      <c r="L203" s="7" t="e">
        <f t="shared" si="13"/>
        <v>#N/A</v>
      </c>
    </row>
    <row r="204" spans="5:12" x14ac:dyDescent="0.3">
      <c r="E204" s="7" t="str">
        <f t="shared" si="14"/>
        <v/>
      </c>
      <c r="H204" s="7" t="str">
        <f>IF(B204&lt;&gt;"Silicone","",IFERROR(XLOOKUP(D204,#REF!,#REF!),""))</f>
        <v/>
      </c>
      <c r="J204" s="22" t="e">
        <f>VLOOKUP(D204,'Spec_Single_H&amp;S'!$B$2:$G$42,4,FALSE)</f>
        <v>#N/A</v>
      </c>
      <c r="K204" s="22" t="e">
        <f>VLOOKUP(D204,'Spec_Single_H&amp;S'!$B$2:$G$42,5,FALSE)</f>
        <v>#N/A</v>
      </c>
      <c r="L204" s="7" t="e">
        <f t="shared" si="13"/>
        <v>#N/A</v>
      </c>
    </row>
    <row r="205" spans="5:12" x14ac:dyDescent="0.3">
      <c r="E205" s="7" t="str">
        <f t="shared" si="14"/>
        <v/>
      </c>
      <c r="H205" s="7" t="str">
        <f>IF(B205&lt;&gt;"Silicone","",IFERROR(XLOOKUP(D205,#REF!,#REF!),""))</f>
        <v/>
      </c>
      <c r="J205" s="22" t="e">
        <f>VLOOKUP(D205,'Spec_Single_H&amp;S'!$B$2:$G$42,4,FALSE)</f>
        <v>#N/A</v>
      </c>
      <c r="K205" s="22" t="e">
        <f>VLOOKUP(D205,'Spec_Single_H&amp;S'!$B$2:$G$42,5,FALSE)</f>
        <v>#N/A</v>
      </c>
      <c r="L205" s="7" t="e">
        <f t="shared" si="13"/>
        <v>#N/A</v>
      </c>
    </row>
    <row r="206" spans="5:12" x14ac:dyDescent="0.3">
      <c r="E206" s="7" t="str">
        <f t="shared" si="14"/>
        <v/>
      </c>
      <c r="H206" s="7" t="str">
        <f>IF(B206&lt;&gt;"Silicone","",IFERROR(XLOOKUP(D206,#REF!,#REF!),""))</f>
        <v/>
      </c>
      <c r="J206" s="22" t="e">
        <f>VLOOKUP(D206,'Spec_Single_H&amp;S'!$B$2:$G$42,4,FALSE)</f>
        <v>#N/A</v>
      </c>
      <c r="K206" s="22" t="e">
        <f>VLOOKUP(D206,'Spec_Single_H&amp;S'!$B$2:$G$42,5,FALSE)</f>
        <v>#N/A</v>
      </c>
      <c r="L206" s="7" t="e">
        <f t="shared" si="13"/>
        <v>#N/A</v>
      </c>
    </row>
    <row r="207" spans="5:12" x14ac:dyDescent="0.3">
      <c r="E207" s="7" t="str">
        <f t="shared" si="14"/>
        <v/>
      </c>
      <c r="H207" s="7" t="str">
        <f>IF(B207&lt;&gt;"Silicone","",IFERROR(XLOOKUP(D207,#REF!,#REF!),""))</f>
        <v/>
      </c>
      <c r="J207" s="22" t="e">
        <f>VLOOKUP(D207,'Spec_Single_H&amp;S'!$B$2:$G$42,4,FALSE)</f>
        <v>#N/A</v>
      </c>
      <c r="K207" s="22" t="e">
        <f>VLOOKUP(D207,'Spec_Single_H&amp;S'!$B$2:$G$42,5,FALSE)</f>
        <v>#N/A</v>
      </c>
      <c r="L207" s="7" t="e">
        <f t="shared" si="13"/>
        <v>#N/A</v>
      </c>
    </row>
    <row r="208" spans="5:12" x14ac:dyDescent="0.3">
      <c r="E208" s="7" t="str">
        <f t="shared" si="14"/>
        <v/>
      </c>
      <c r="H208" s="7" t="str">
        <f>IF(B208&lt;&gt;"Silicone","",IFERROR(XLOOKUP(D208,#REF!,#REF!),""))</f>
        <v/>
      </c>
      <c r="J208" s="22" t="e">
        <f>VLOOKUP(D208,'Spec_Single_H&amp;S'!$B$2:$G$42,4,FALSE)</f>
        <v>#N/A</v>
      </c>
      <c r="K208" s="22" t="e">
        <f>VLOOKUP(D208,'Spec_Single_H&amp;S'!$B$2:$G$42,5,FALSE)</f>
        <v>#N/A</v>
      </c>
      <c r="L208" s="7" t="e">
        <f t="shared" si="13"/>
        <v>#N/A</v>
      </c>
    </row>
    <row r="209" spans="5:12" x14ac:dyDescent="0.3">
      <c r="E209" s="7" t="str">
        <f t="shared" si="14"/>
        <v/>
      </c>
      <c r="H209" s="7" t="str">
        <f>IF(B209&lt;&gt;"Silicone","",IFERROR(XLOOKUP(D209,#REF!,#REF!),""))</f>
        <v/>
      </c>
      <c r="J209" s="22" t="e">
        <f>VLOOKUP(D209,'Spec_Single_H&amp;S'!$B$2:$G$42,4,FALSE)</f>
        <v>#N/A</v>
      </c>
      <c r="K209" s="22" t="e">
        <f>VLOOKUP(D209,'Spec_Single_H&amp;S'!$B$2:$G$42,5,FALSE)</f>
        <v>#N/A</v>
      </c>
      <c r="L209" s="7" t="e">
        <f t="shared" si="13"/>
        <v>#N/A</v>
      </c>
    </row>
    <row r="210" spans="5:12" x14ac:dyDescent="0.3">
      <c r="E210" s="7" t="str">
        <f t="shared" si="14"/>
        <v/>
      </c>
      <c r="H210" s="7" t="str">
        <f>IF(B210&lt;&gt;"Silicone","",IFERROR(XLOOKUP(D210,#REF!,#REF!),""))</f>
        <v/>
      </c>
      <c r="J210" s="22" t="e">
        <f>VLOOKUP(D210,'Spec_Single_H&amp;S'!$B$2:$G$42,4,FALSE)</f>
        <v>#N/A</v>
      </c>
      <c r="K210" s="22" t="e">
        <f>VLOOKUP(D210,'Spec_Single_H&amp;S'!$B$2:$G$42,5,FALSE)</f>
        <v>#N/A</v>
      </c>
      <c r="L210" s="7" t="e">
        <f t="shared" si="13"/>
        <v>#N/A</v>
      </c>
    </row>
    <row r="211" spans="5:12" x14ac:dyDescent="0.3">
      <c r="E211" s="7" t="str">
        <f t="shared" si="14"/>
        <v/>
      </c>
      <c r="H211" s="7" t="str">
        <f>IF(B211&lt;&gt;"Silicone","",IFERROR(XLOOKUP(D211,#REF!,#REF!),""))</f>
        <v/>
      </c>
      <c r="J211" s="22" t="e">
        <f>VLOOKUP(D211,'Spec_Single_H&amp;S'!$B$2:$G$42,4,FALSE)</f>
        <v>#N/A</v>
      </c>
      <c r="K211" s="22" t="e">
        <f>VLOOKUP(D211,'Spec_Single_H&amp;S'!$B$2:$G$42,5,FALSE)</f>
        <v>#N/A</v>
      </c>
      <c r="L211" s="7" t="e">
        <f t="shared" si="13"/>
        <v>#N/A</v>
      </c>
    </row>
    <row r="212" spans="5:12" x14ac:dyDescent="0.3">
      <c r="E212" s="7" t="str">
        <f t="shared" si="14"/>
        <v/>
      </c>
      <c r="H212" s="7" t="str">
        <f>IF(B212&lt;&gt;"Silicone","",IFERROR(XLOOKUP(D212,#REF!,#REF!),""))</f>
        <v/>
      </c>
      <c r="J212" s="22" t="e">
        <f>VLOOKUP(D212,'Spec_Single_H&amp;S'!$B$2:$G$42,4,FALSE)</f>
        <v>#N/A</v>
      </c>
      <c r="K212" s="22" t="e">
        <f>VLOOKUP(D212,'Spec_Single_H&amp;S'!$B$2:$G$42,5,FALSE)</f>
        <v>#N/A</v>
      </c>
      <c r="L212" s="7" t="e">
        <f t="shared" si="13"/>
        <v>#N/A</v>
      </c>
    </row>
    <row r="213" spans="5:12" x14ac:dyDescent="0.3">
      <c r="E213" s="7" t="str">
        <f t="shared" si="14"/>
        <v/>
      </c>
      <c r="H213" s="7" t="str">
        <f>IF(B213&lt;&gt;"Silicone","",IFERROR(XLOOKUP(D213,#REF!,#REF!),""))</f>
        <v/>
      </c>
      <c r="J213" s="22" t="e">
        <f>VLOOKUP(D213,'Spec_Single_H&amp;S'!$B$2:$G$42,4,FALSE)</f>
        <v>#N/A</v>
      </c>
      <c r="K213" s="22" t="e">
        <f>VLOOKUP(D213,'Spec_Single_H&amp;S'!$B$2:$G$42,5,FALSE)</f>
        <v>#N/A</v>
      </c>
      <c r="L213" s="7" t="e">
        <f t="shared" si="13"/>
        <v>#N/A</v>
      </c>
    </row>
    <row r="214" spans="5:12" x14ac:dyDescent="0.3">
      <c r="E214" s="7" t="str">
        <f t="shared" si="14"/>
        <v/>
      </c>
      <c r="H214" s="7" t="str">
        <f>IF(B214&lt;&gt;"Silicone","",IFERROR(XLOOKUP(D214,#REF!,#REF!),""))</f>
        <v/>
      </c>
      <c r="J214" s="22" t="e">
        <f>VLOOKUP(D214,'Spec_Single_H&amp;S'!$B$2:$G$42,4,FALSE)</f>
        <v>#N/A</v>
      </c>
      <c r="K214" s="22" t="e">
        <f>VLOOKUP(D214,'Spec_Single_H&amp;S'!$B$2:$G$42,5,FALSE)</f>
        <v>#N/A</v>
      </c>
      <c r="L214" s="7" t="e">
        <f t="shared" si="13"/>
        <v>#N/A</v>
      </c>
    </row>
    <row r="215" spans="5:12" x14ac:dyDescent="0.3">
      <c r="E215" s="7" t="str">
        <f t="shared" si="14"/>
        <v/>
      </c>
      <c r="H215" s="7" t="str">
        <f>IF(B215&lt;&gt;"Silicone","",IFERROR(XLOOKUP(D215,#REF!,#REF!),""))</f>
        <v/>
      </c>
      <c r="J215" s="22" t="e">
        <f>VLOOKUP(D215,'Spec_Single_H&amp;S'!$B$2:$G$42,4,FALSE)</f>
        <v>#N/A</v>
      </c>
      <c r="K215" s="22" t="e">
        <f>VLOOKUP(D215,'Spec_Single_H&amp;S'!$B$2:$G$42,5,FALSE)</f>
        <v>#N/A</v>
      </c>
      <c r="L215" s="7" t="e">
        <f t="shared" si="13"/>
        <v>#N/A</v>
      </c>
    </row>
    <row r="216" spans="5:12" x14ac:dyDescent="0.3">
      <c r="E216" s="7" t="str">
        <f t="shared" si="14"/>
        <v/>
      </c>
      <c r="H216" s="7" t="str">
        <f>IF(B216&lt;&gt;"Silicone","",IFERROR(XLOOKUP(D216,#REF!,#REF!),""))</f>
        <v/>
      </c>
      <c r="J216" s="22" t="e">
        <f>VLOOKUP(D216,'Spec_Single_H&amp;S'!$B$2:$G$42,4,FALSE)</f>
        <v>#N/A</v>
      </c>
      <c r="K216" s="22" t="e">
        <f>VLOOKUP(D216,'Spec_Single_H&amp;S'!$B$2:$G$42,5,FALSE)</f>
        <v>#N/A</v>
      </c>
      <c r="L216" s="7" t="e">
        <f t="shared" si="13"/>
        <v>#N/A</v>
      </c>
    </row>
    <row r="217" spans="5:12" x14ac:dyDescent="0.3">
      <c r="E217" s="7" t="str">
        <f t="shared" si="14"/>
        <v/>
      </c>
      <c r="H217" s="7" t="str">
        <f>IF(B217&lt;&gt;"Silicone","",IFERROR(XLOOKUP(D217,#REF!,#REF!),""))</f>
        <v/>
      </c>
      <c r="J217" s="22" t="e">
        <f>VLOOKUP(D217,'Spec_Single_H&amp;S'!$B$2:$G$42,4,FALSE)</f>
        <v>#N/A</v>
      </c>
      <c r="K217" s="22" t="e">
        <f>VLOOKUP(D217,'Spec_Single_H&amp;S'!$B$2:$G$42,5,FALSE)</f>
        <v>#N/A</v>
      </c>
      <c r="L217" s="7" t="e">
        <f t="shared" si="13"/>
        <v>#N/A</v>
      </c>
    </row>
    <row r="218" spans="5:12" x14ac:dyDescent="0.3">
      <c r="E218" s="7" t="str">
        <f t="shared" si="14"/>
        <v/>
      </c>
      <c r="H218" s="7" t="str">
        <f>IF(B218&lt;&gt;"Silicone","",IFERROR(XLOOKUP(D218,#REF!,#REF!),""))</f>
        <v/>
      </c>
      <c r="J218" s="22" t="e">
        <f>VLOOKUP(D218,'Spec_Single_H&amp;S'!$B$2:$G$42,4,FALSE)</f>
        <v>#N/A</v>
      </c>
      <c r="K218" s="22" t="e">
        <f>VLOOKUP(D218,'Spec_Single_H&amp;S'!$B$2:$G$42,5,FALSE)</f>
        <v>#N/A</v>
      </c>
      <c r="L218" s="7" t="e">
        <f t="shared" si="13"/>
        <v>#N/A</v>
      </c>
    </row>
    <row r="219" spans="5:12" x14ac:dyDescent="0.3">
      <c r="E219" s="7" t="str">
        <f t="shared" si="14"/>
        <v/>
      </c>
      <c r="H219" s="7" t="str">
        <f>IF(B219&lt;&gt;"Silicone","",IFERROR(XLOOKUP(D219,#REF!,#REF!),""))</f>
        <v/>
      </c>
      <c r="J219" s="22" t="e">
        <f>VLOOKUP(D219,'Spec_Single_H&amp;S'!$B$2:$G$42,4,FALSE)</f>
        <v>#N/A</v>
      </c>
      <c r="K219" s="22" t="e">
        <f>VLOOKUP(D219,'Spec_Single_H&amp;S'!$B$2:$G$42,5,FALSE)</f>
        <v>#N/A</v>
      </c>
      <c r="L219" s="7" t="e">
        <f t="shared" si="13"/>
        <v>#N/A</v>
      </c>
    </row>
    <row r="220" spans="5:12" x14ac:dyDescent="0.3">
      <c r="E220" s="7" t="str">
        <f t="shared" si="14"/>
        <v/>
      </c>
      <c r="H220" s="7" t="str">
        <f>IF(B220&lt;&gt;"Silicone","",IFERROR(XLOOKUP(D220,#REF!,#REF!),""))</f>
        <v/>
      </c>
      <c r="J220" s="22" t="e">
        <f>VLOOKUP(D220,'Spec_Single_H&amp;S'!$B$2:$G$42,4,FALSE)</f>
        <v>#N/A</v>
      </c>
      <c r="K220" s="22" t="e">
        <f>VLOOKUP(D220,'Spec_Single_H&amp;S'!$B$2:$G$42,5,FALSE)</f>
        <v>#N/A</v>
      </c>
      <c r="L220" s="7" t="e">
        <f t="shared" si="13"/>
        <v>#N/A</v>
      </c>
    </row>
    <row r="221" spans="5:12" x14ac:dyDescent="0.3">
      <c r="E221" s="7" t="str">
        <f t="shared" si="14"/>
        <v/>
      </c>
      <c r="H221" s="7" t="str">
        <f>IF(B221&lt;&gt;"Silicone","",IFERROR(XLOOKUP(D221,#REF!,#REF!),""))</f>
        <v/>
      </c>
      <c r="J221" s="22" t="e">
        <f>VLOOKUP(D221,'Spec_Single_H&amp;S'!$B$2:$G$42,4,FALSE)</f>
        <v>#N/A</v>
      </c>
      <c r="K221" s="22" t="e">
        <f>VLOOKUP(D221,'Spec_Single_H&amp;S'!$B$2:$G$42,5,FALSE)</f>
        <v>#N/A</v>
      </c>
      <c r="L221" s="7" t="e">
        <f t="shared" si="13"/>
        <v>#N/A</v>
      </c>
    </row>
    <row r="222" spans="5:12" x14ac:dyDescent="0.3">
      <c r="E222" s="7" t="str">
        <f t="shared" si="14"/>
        <v/>
      </c>
      <c r="H222" s="7" t="str">
        <f>IF(B222&lt;&gt;"Silicone","",IFERROR(XLOOKUP(D222,#REF!,#REF!),""))</f>
        <v/>
      </c>
      <c r="J222" s="22" t="e">
        <f>VLOOKUP(D222,'Spec_Single_H&amp;S'!$B$2:$G$42,4,FALSE)</f>
        <v>#N/A</v>
      </c>
      <c r="K222" s="22" t="e">
        <f>VLOOKUP(D222,'Spec_Single_H&amp;S'!$B$2:$G$42,5,FALSE)</f>
        <v>#N/A</v>
      </c>
      <c r="L222" s="7" t="e">
        <f t="shared" si="13"/>
        <v>#N/A</v>
      </c>
    </row>
    <row r="223" spans="5:12" x14ac:dyDescent="0.3">
      <c r="E223" s="7" t="str">
        <f t="shared" si="14"/>
        <v/>
      </c>
      <c r="H223" s="7" t="str">
        <f>IF(B223&lt;&gt;"Silicone","",IFERROR(XLOOKUP(D223,#REF!,#REF!),""))</f>
        <v/>
      </c>
      <c r="J223" s="22" t="e">
        <f>VLOOKUP(D223,'Spec_Single_H&amp;S'!$B$2:$G$42,4,FALSE)</f>
        <v>#N/A</v>
      </c>
      <c r="K223" s="22" t="e">
        <f>VLOOKUP(D223,'Spec_Single_H&amp;S'!$B$2:$G$42,5,FALSE)</f>
        <v>#N/A</v>
      </c>
      <c r="L223" s="7" t="e">
        <f t="shared" si="13"/>
        <v>#N/A</v>
      </c>
    </row>
    <row r="224" spans="5:12" x14ac:dyDescent="0.3">
      <c r="E224" s="7" t="str">
        <f t="shared" si="14"/>
        <v/>
      </c>
      <c r="H224" s="7" t="str">
        <f>IF(B224&lt;&gt;"Silicone","",IFERROR(XLOOKUP(D224,#REF!,#REF!),""))</f>
        <v/>
      </c>
      <c r="J224" s="22" t="e">
        <f>VLOOKUP(D224,'Spec_Single_H&amp;S'!$B$2:$G$42,4,FALSE)</f>
        <v>#N/A</v>
      </c>
      <c r="K224" s="22" t="e">
        <f>VLOOKUP(D224,'Spec_Single_H&amp;S'!$B$2:$G$42,5,FALSE)</f>
        <v>#N/A</v>
      </c>
      <c r="L224" s="7" t="e">
        <f t="shared" si="13"/>
        <v>#N/A</v>
      </c>
    </row>
    <row r="225" spans="5:12" x14ac:dyDescent="0.3">
      <c r="E225" s="7" t="str">
        <f t="shared" si="14"/>
        <v/>
      </c>
      <c r="H225" s="7" t="str">
        <f>IF(B225&lt;&gt;"Silicone","",IFERROR(XLOOKUP(D225,#REF!,#REF!),""))</f>
        <v/>
      </c>
      <c r="J225" s="22" t="e">
        <f>VLOOKUP(D225,'Spec_Single_H&amp;S'!$B$2:$G$42,4,FALSE)</f>
        <v>#N/A</v>
      </c>
      <c r="K225" s="22" t="e">
        <f>VLOOKUP(D225,'Spec_Single_H&amp;S'!$B$2:$G$42,5,FALSE)</f>
        <v>#N/A</v>
      </c>
      <c r="L225" s="7" t="e">
        <f t="shared" si="13"/>
        <v>#N/A</v>
      </c>
    </row>
    <row r="226" spans="5:12" x14ac:dyDescent="0.3">
      <c r="E226" s="7" t="str">
        <f t="shared" si="14"/>
        <v/>
      </c>
      <c r="H226" s="7" t="str">
        <f>IF(B226&lt;&gt;"Silicone","",IFERROR(XLOOKUP(D226,#REF!,#REF!),""))</f>
        <v/>
      </c>
      <c r="J226" s="22" t="e">
        <f>VLOOKUP(D226,'Spec_Single_H&amp;S'!$B$2:$G$42,4,FALSE)</f>
        <v>#N/A</v>
      </c>
      <c r="K226" s="22" t="e">
        <f>VLOOKUP(D226,'Spec_Single_H&amp;S'!$B$2:$G$42,5,FALSE)</f>
        <v>#N/A</v>
      </c>
      <c r="L226" s="7" t="e">
        <f t="shared" si="13"/>
        <v>#N/A</v>
      </c>
    </row>
    <row r="227" spans="5:12" x14ac:dyDescent="0.3">
      <c r="E227" s="7" t="str">
        <f t="shared" si="14"/>
        <v/>
      </c>
      <c r="H227" s="7" t="str">
        <f>IF(B227&lt;&gt;"Silicone","",IFERROR(XLOOKUP(D227,#REF!,#REF!),""))</f>
        <v/>
      </c>
      <c r="J227" s="22" t="e">
        <f>VLOOKUP(D227,'Spec_Single_H&amp;S'!$B$2:$G$42,4,FALSE)</f>
        <v>#N/A</v>
      </c>
      <c r="K227" s="22" t="e">
        <f>VLOOKUP(D227,'Spec_Single_H&amp;S'!$B$2:$G$42,5,FALSE)</f>
        <v>#N/A</v>
      </c>
      <c r="L227" s="7" t="e">
        <f t="shared" si="13"/>
        <v>#N/A</v>
      </c>
    </row>
    <row r="228" spans="5:12" x14ac:dyDescent="0.3">
      <c r="E228" s="7" t="str">
        <f t="shared" si="14"/>
        <v/>
      </c>
      <c r="H228" s="7" t="str">
        <f>IF(B228&lt;&gt;"Silicone","",IFERROR(XLOOKUP(D228,#REF!,#REF!),""))</f>
        <v/>
      </c>
      <c r="J228" s="22" t="e">
        <f>VLOOKUP(D228,'Spec_Single_H&amp;S'!$B$2:$G$42,4,FALSE)</f>
        <v>#N/A</v>
      </c>
      <c r="K228" s="22" t="e">
        <f>VLOOKUP(D228,'Spec_Single_H&amp;S'!$B$2:$G$42,5,FALSE)</f>
        <v>#N/A</v>
      </c>
      <c r="L228" s="7" t="e">
        <f t="shared" si="13"/>
        <v>#N/A</v>
      </c>
    </row>
    <row r="229" spans="5:12" x14ac:dyDescent="0.3">
      <c r="E229" s="7" t="str">
        <f t="shared" si="14"/>
        <v/>
      </c>
      <c r="H229" s="7" t="str">
        <f>IF(B229&lt;&gt;"Silicone","",IFERROR(XLOOKUP(D229,#REF!,#REF!),""))</f>
        <v/>
      </c>
      <c r="J229" s="22" t="e">
        <f>VLOOKUP(D229,'Spec_Single_H&amp;S'!$B$2:$G$42,4,FALSE)</f>
        <v>#N/A</v>
      </c>
      <c r="K229" s="22" t="e">
        <f>VLOOKUP(D229,'Spec_Single_H&amp;S'!$B$2:$G$42,5,FALSE)</f>
        <v>#N/A</v>
      </c>
      <c r="L229" s="7" t="e">
        <f t="shared" si="13"/>
        <v>#N/A</v>
      </c>
    </row>
    <row r="230" spans="5:12" x14ac:dyDescent="0.3">
      <c r="E230" s="7" t="str">
        <f t="shared" si="14"/>
        <v/>
      </c>
      <c r="H230" s="7" t="str">
        <f>IF(B230&lt;&gt;"Silicone","",IFERROR(XLOOKUP(D230,#REF!,#REF!),""))</f>
        <v/>
      </c>
      <c r="J230" s="22" t="e">
        <f>VLOOKUP(D230,'Spec_Single_H&amp;S'!$B$2:$G$42,4,FALSE)</f>
        <v>#N/A</v>
      </c>
      <c r="K230" s="22" t="e">
        <f>VLOOKUP(D230,'Spec_Single_H&amp;S'!$B$2:$G$42,5,FALSE)</f>
        <v>#N/A</v>
      </c>
      <c r="L230" s="7" t="e">
        <f t="shared" si="13"/>
        <v>#N/A</v>
      </c>
    </row>
    <row r="231" spans="5:12" x14ac:dyDescent="0.3">
      <c r="E231" s="7" t="str">
        <f t="shared" si="14"/>
        <v/>
      </c>
      <c r="H231" s="7" t="str">
        <f>IF(B231&lt;&gt;"Silicone","",IFERROR(XLOOKUP(D231,#REF!,#REF!),""))</f>
        <v/>
      </c>
      <c r="J231" s="22" t="e">
        <f>VLOOKUP(D231,'Spec_Single_H&amp;S'!$B$2:$G$42,4,FALSE)</f>
        <v>#N/A</v>
      </c>
      <c r="K231" s="22" t="e">
        <f>VLOOKUP(D231,'Spec_Single_H&amp;S'!$B$2:$G$42,5,FALSE)</f>
        <v>#N/A</v>
      </c>
      <c r="L231" s="7" t="e">
        <f t="shared" si="13"/>
        <v>#N/A</v>
      </c>
    </row>
    <row r="232" spans="5:12" x14ac:dyDescent="0.3">
      <c r="E232" s="7" t="str">
        <f t="shared" si="14"/>
        <v/>
      </c>
      <c r="H232" s="7" t="str">
        <f>IF(B232&lt;&gt;"Silicone","",IFERROR(XLOOKUP(D232,#REF!,#REF!),""))</f>
        <v/>
      </c>
      <c r="J232" s="22" t="e">
        <f>VLOOKUP(D232,'Spec_Single_H&amp;S'!$B$2:$G$42,4,FALSE)</f>
        <v>#N/A</v>
      </c>
      <c r="K232" s="22" t="e">
        <f>VLOOKUP(D232,'Spec_Single_H&amp;S'!$B$2:$G$42,5,FALSE)</f>
        <v>#N/A</v>
      </c>
      <c r="L232" s="7" t="e">
        <f t="shared" si="13"/>
        <v>#N/A</v>
      </c>
    </row>
    <row r="233" spans="5:12" x14ac:dyDescent="0.3">
      <c r="E233" s="7" t="str">
        <f t="shared" si="14"/>
        <v/>
      </c>
      <c r="H233" s="7" t="str">
        <f>IF(B233&lt;&gt;"Silicone","",IFERROR(XLOOKUP(D233,#REF!,#REF!),""))</f>
        <v/>
      </c>
      <c r="J233" s="22" t="e">
        <f>VLOOKUP(D233,'Spec_Single_H&amp;S'!$B$2:$G$42,4,FALSE)</f>
        <v>#N/A</v>
      </c>
      <c r="K233" s="22" t="e">
        <f>VLOOKUP(D233,'Spec_Single_H&amp;S'!$B$2:$G$42,5,FALSE)</f>
        <v>#N/A</v>
      </c>
      <c r="L233" s="7" t="e">
        <f t="shared" si="13"/>
        <v>#N/A</v>
      </c>
    </row>
    <row r="234" spans="5:12" x14ac:dyDescent="0.3">
      <c r="E234" s="7" t="str">
        <f t="shared" si="14"/>
        <v/>
      </c>
      <c r="H234" s="7" t="str">
        <f>IF(B234&lt;&gt;"Silicone","",IFERROR(XLOOKUP(D234,#REF!,#REF!),""))</f>
        <v/>
      </c>
      <c r="J234" s="22" t="e">
        <f>VLOOKUP(D234,'Spec_Single_H&amp;S'!$B$2:$G$42,4,FALSE)</f>
        <v>#N/A</v>
      </c>
      <c r="K234" s="22" t="e">
        <f>VLOOKUP(D234,'Spec_Single_H&amp;S'!$B$2:$G$42,5,FALSE)</f>
        <v>#N/A</v>
      </c>
      <c r="L234" s="7" t="e">
        <f t="shared" si="13"/>
        <v>#N/A</v>
      </c>
    </row>
    <row r="235" spans="5:12" x14ac:dyDescent="0.3">
      <c r="E235" s="7" t="str">
        <f t="shared" si="14"/>
        <v/>
      </c>
      <c r="H235" s="7" t="str">
        <f>IF(B235&lt;&gt;"Silicone","",IFERROR(XLOOKUP(D235,#REF!,#REF!),""))</f>
        <v/>
      </c>
      <c r="J235" s="22" t="e">
        <f>VLOOKUP(D235,'Spec_Single_H&amp;S'!$B$2:$G$42,4,FALSE)</f>
        <v>#N/A</v>
      </c>
      <c r="K235" s="22" t="e">
        <f>VLOOKUP(D235,'Spec_Single_H&amp;S'!$B$2:$G$42,5,FALSE)</f>
        <v>#N/A</v>
      </c>
      <c r="L235" s="7" t="e">
        <f t="shared" si="13"/>
        <v>#N/A</v>
      </c>
    </row>
    <row r="236" spans="5:12" x14ac:dyDescent="0.3">
      <c r="E236" s="7" t="str">
        <f t="shared" si="14"/>
        <v/>
      </c>
      <c r="H236" s="7" t="str">
        <f>IF(B236&lt;&gt;"Silicone","",IFERROR(XLOOKUP(D236,#REF!,#REF!),""))</f>
        <v/>
      </c>
      <c r="J236" s="22" t="e">
        <f>VLOOKUP(D236,'Spec_Single_H&amp;S'!$B$2:$G$42,4,FALSE)</f>
        <v>#N/A</v>
      </c>
      <c r="K236" s="22" t="e">
        <f>VLOOKUP(D236,'Spec_Single_H&amp;S'!$B$2:$G$42,5,FALSE)</f>
        <v>#N/A</v>
      </c>
      <c r="L236" s="7" t="e">
        <f t="shared" si="13"/>
        <v>#N/A</v>
      </c>
    </row>
    <row r="237" spans="5:12" x14ac:dyDescent="0.3">
      <c r="E237" s="7" t="str">
        <f t="shared" si="14"/>
        <v/>
      </c>
      <c r="H237" s="7" t="str">
        <f>IF(B237&lt;&gt;"Silicone","",IFERROR(XLOOKUP(D237,#REF!,#REF!),""))</f>
        <v/>
      </c>
      <c r="J237" s="22" t="e">
        <f>VLOOKUP(D237,'Spec_Single_H&amp;S'!$B$2:$G$42,4,FALSE)</f>
        <v>#N/A</v>
      </c>
      <c r="K237" s="22" t="e">
        <f>VLOOKUP(D237,'Spec_Single_H&amp;S'!$B$2:$G$42,5,FALSE)</f>
        <v>#N/A</v>
      </c>
      <c r="L237" s="7" t="e">
        <f t="shared" si="13"/>
        <v>#N/A</v>
      </c>
    </row>
    <row r="238" spans="5:12" x14ac:dyDescent="0.3">
      <c r="E238" s="7" t="str">
        <f t="shared" si="14"/>
        <v/>
      </c>
      <c r="H238" s="7" t="str">
        <f>IF(B238&lt;&gt;"Silicone","",IFERROR(XLOOKUP(D238,#REF!,#REF!),""))</f>
        <v/>
      </c>
      <c r="J238" s="22" t="e">
        <f>VLOOKUP(D238,'Spec_Single_H&amp;S'!$B$2:$G$42,4,FALSE)</f>
        <v>#N/A</v>
      </c>
      <c r="K238" s="22" t="e">
        <f>VLOOKUP(D238,'Spec_Single_H&amp;S'!$B$2:$G$42,5,FALSE)</f>
        <v>#N/A</v>
      </c>
      <c r="L238" s="7" t="e">
        <f t="shared" si="13"/>
        <v>#N/A</v>
      </c>
    </row>
    <row r="239" spans="5:12" x14ac:dyDescent="0.3">
      <c r="E239" s="7" t="str">
        <f t="shared" si="14"/>
        <v/>
      </c>
      <c r="H239" s="7" t="str">
        <f>IF(B239&lt;&gt;"Silicone","",IFERROR(XLOOKUP(D239,#REF!,#REF!),""))</f>
        <v/>
      </c>
      <c r="J239" s="22" t="e">
        <f>VLOOKUP(D239,'Spec_Single_H&amp;S'!$B$2:$G$42,4,FALSE)</f>
        <v>#N/A</v>
      </c>
      <c r="K239" s="22" t="e">
        <f>VLOOKUP(D239,'Spec_Single_H&amp;S'!$B$2:$G$42,5,FALSE)</f>
        <v>#N/A</v>
      </c>
      <c r="L239" s="7" t="e">
        <f t="shared" si="13"/>
        <v>#N/A</v>
      </c>
    </row>
    <row r="240" spans="5:12" x14ac:dyDescent="0.3">
      <c r="E240" s="7" t="str">
        <f t="shared" si="14"/>
        <v/>
      </c>
      <c r="H240" s="7" t="str">
        <f>IF(B240&lt;&gt;"Silicone","",IFERROR(XLOOKUP(D240,#REF!,#REF!),""))</f>
        <v/>
      </c>
      <c r="J240" s="22" t="e">
        <f>VLOOKUP(D240,'Spec_Single_H&amp;S'!$B$2:$G$42,4,FALSE)</f>
        <v>#N/A</v>
      </c>
      <c r="K240" s="22" t="e">
        <f>VLOOKUP(D240,'Spec_Single_H&amp;S'!$B$2:$G$42,5,FALSE)</f>
        <v>#N/A</v>
      </c>
      <c r="L240" s="7" t="e">
        <f t="shared" si="13"/>
        <v>#N/A</v>
      </c>
    </row>
    <row r="241" spans="5:12" x14ac:dyDescent="0.3">
      <c r="E241" s="7" t="str">
        <f t="shared" si="14"/>
        <v/>
      </c>
      <c r="H241" s="7" t="str">
        <f>IF(B241&lt;&gt;"Silicone","",IFERROR(XLOOKUP(D241,#REF!,#REF!),""))</f>
        <v/>
      </c>
      <c r="J241" s="22" t="e">
        <f>VLOOKUP(D241,'Spec_Single_H&amp;S'!$B$2:$G$42,4,FALSE)</f>
        <v>#N/A</v>
      </c>
      <c r="K241" s="22" t="e">
        <f>VLOOKUP(D241,'Spec_Single_H&amp;S'!$B$2:$G$42,5,FALSE)</f>
        <v>#N/A</v>
      </c>
      <c r="L241" s="7" t="e">
        <f t="shared" si="13"/>
        <v>#N/A</v>
      </c>
    </row>
    <row r="242" spans="5:12" x14ac:dyDescent="0.3">
      <c r="E242" s="7" t="str">
        <f t="shared" si="14"/>
        <v/>
      </c>
      <c r="H242" s="7" t="str">
        <f>IF(B242&lt;&gt;"Silicone","",IFERROR(XLOOKUP(D242,#REF!,#REF!),""))</f>
        <v/>
      </c>
      <c r="J242" s="22" t="e">
        <f>VLOOKUP(D242,'Spec_Single_H&amp;S'!$B$2:$G$42,4,FALSE)</f>
        <v>#N/A</v>
      </c>
      <c r="K242" s="22" t="e">
        <f>VLOOKUP(D242,'Spec_Single_H&amp;S'!$B$2:$G$42,5,FALSE)</f>
        <v>#N/A</v>
      </c>
      <c r="L242" s="7" t="e">
        <f t="shared" si="13"/>
        <v>#N/A</v>
      </c>
    </row>
    <row r="243" spans="5:12" x14ac:dyDescent="0.3">
      <c r="E243" s="7" t="str">
        <f t="shared" si="14"/>
        <v/>
      </c>
      <c r="H243" s="7" t="str">
        <f>IF(B243&lt;&gt;"Silicone","",IFERROR(XLOOKUP(D243,#REF!,#REF!),""))</f>
        <v/>
      </c>
      <c r="J243" s="22" t="e">
        <f>VLOOKUP(D243,'Spec_Single_H&amp;S'!$B$2:$G$42,4,FALSE)</f>
        <v>#N/A</v>
      </c>
      <c r="K243" s="22" t="e">
        <f>VLOOKUP(D243,'Spec_Single_H&amp;S'!$B$2:$G$42,5,FALSE)</f>
        <v>#N/A</v>
      </c>
      <c r="L243" s="7" t="e">
        <f t="shared" si="13"/>
        <v>#N/A</v>
      </c>
    </row>
    <row r="244" spans="5:12" x14ac:dyDescent="0.3">
      <c r="E244" s="7" t="str">
        <f t="shared" si="14"/>
        <v/>
      </c>
      <c r="H244" s="7" t="str">
        <f>IF(B244&lt;&gt;"Silicone","",IFERROR(XLOOKUP(D244,#REF!,#REF!),""))</f>
        <v/>
      </c>
      <c r="J244" s="22" t="e">
        <f>VLOOKUP(D244,'Spec_Single_H&amp;S'!$B$2:$G$42,4,FALSE)</f>
        <v>#N/A</v>
      </c>
      <c r="K244" s="22" t="e">
        <f>VLOOKUP(D244,'Spec_Single_H&amp;S'!$B$2:$G$42,5,FALSE)</f>
        <v>#N/A</v>
      </c>
      <c r="L244" s="7" t="e">
        <f t="shared" si="13"/>
        <v>#N/A</v>
      </c>
    </row>
    <row r="245" spans="5:12" x14ac:dyDescent="0.3">
      <c r="E245" s="7" t="str">
        <f t="shared" si="14"/>
        <v/>
      </c>
      <c r="H245" s="7" t="str">
        <f>IF(B245&lt;&gt;"Silicone","",IFERROR(XLOOKUP(D245,#REF!,#REF!),""))</f>
        <v/>
      </c>
      <c r="J245" s="22" t="e">
        <f>VLOOKUP(D245,'Spec_Single_H&amp;S'!$B$2:$G$42,4,FALSE)</f>
        <v>#N/A</v>
      </c>
      <c r="K245" s="22" t="e">
        <f>VLOOKUP(D245,'Spec_Single_H&amp;S'!$B$2:$G$42,5,FALSE)</f>
        <v>#N/A</v>
      </c>
      <c r="L245" s="7" t="e">
        <f t="shared" si="13"/>
        <v>#N/A</v>
      </c>
    </row>
    <row r="246" spans="5:12" x14ac:dyDescent="0.3">
      <c r="E246" s="7" t="str">
        <f t="shared" si="14"/>
        <v/>
      </c>
      <c r="H246" s="7" t="str">
        <f>IF(B246&lt;&gt;"Silicone","",IFERROR(XLOOKUP(D246,#REF!,#REF!),""))</f>
        <v/>
      </c>
      <c r="J246" s="22" t="e">
        <f>VLOOKUP(D246,'Spec_Single_H&amp;S'!$B$2:$G$42,4,FALSE)</f>
        <v>#N/A</v>
      </c>
      <c r="K246" s="22" t="e">
        <f>VLOOKUP(D246,'Spec_Single_H&amp;S'!$B$2:$G$42,5,FALSE)</f>
        <v>#N/A</v>
      </c>
      <c r="L246" s="7" t="e">
        <f t="shared" si="13"/>
        <v>#N/A</v>
      </c>
    </row>
    <row r="247" spans="5:12" x14ac:dyDescent="0.3">
      <c r="E247" s="7" t="str">
        <f t="shared" si="14"/>
        <v/>
      </c>
      <c r="H247" s="7" t="str">
        <f>IF(B247&lt;&gt;"Silicone","",IFERROR(XLOOKUP(D247,#REF!,#REF!),""))</f>
        <v/>
      </c>
      <c r="J247" s="22" t="e">
        <f>VLOOKUP(D247,'Spec_Single_H&amp;S'!$B$2:$G$42,4,FALSE)</f>
        <v>#N/A</v>
      </c>
      <c r="K247" s="22" t="e">
        <f>VLOOKUP(D247,'Spec_Single_H&amp;S'!$B$2:$G$42,5,FALSE)</f>
        <v>#N/A</v>
      </c>
      <c r="L247" s="7" t="e">
        <f t="shared" si="13"/>
        <v>#N/A</v>
      </c>
    </row>
    <row r="248" spans="5:12" x14ac:dyDescent="0.3">
      <c r="E248" s="7" t="str">
        <f t="shared" si="14"/>
        <v/>
      </c>
      <c r="H248" s="7" t="str">
        <f>IF(B248&lt;&gt;"Silicone","",IFERROR(XLOOKUP(D248,#REF!,#REF!),""))</f>
        <v/>
      </c>
      <c r="J248" s="22" t="e">
        <f>VLOOKUP(D248,'Spec_Single_H&amp;S'!$B$2:$G$42,4,FALSE)</f>
        <v>#N/A</v>
      </c>
      <c r="K248" s="22" t="e">
        <f>VLOOKUP(D248,'Spec_Single_H&amp;S'!$B$2:$G$42,5,FALSE)</f>
        <v>#N/A</v>
      </c>
      <c r="L248" s="7" t="e">
        <f t="shared" si="13"/>
        <v>#N/A</v>
      </c>
    </row>
    <row r="249" spans="5:12" x14ac:dyDescent="0.3">
      <c r="E249" s="7" t="str">
        <f t="shared" si="14"/>
        <v/>
      </c>
      <c r="H249" s="7" t="str">
        <f>IF(B249&lt;&gt;"Silicone","",IFERROR(XLOOKUP(D249,#REF!,#REF!),""))</f>
        <v/>
      </c>
      <c r="J249" s="22" t="e">
        <f>VLOOKUP(D249,'Spec_Single_H&amp;S'!$B$2:$G$42,4,FALSE)</f>
        <v>#N/A</v>
      </c>
      <c r="K249" s="22" t="e">
        <f>VLOOKUP(D249,'Spec_Single_H&amp;S'!$B$2:$G$42,5,FALSE)</f>
        <v>#N/A</v>
      </c>
      <c r="L249" s="7" t="e">
        <f t="shared" si="13"/>
        <v>#N/A</v>
      </c>
    </row>
    <row r="250" spans="5:12" x14ac:dyDescent="0.3">
      <c r="E250" s="7" t="str">
        <f t="shared" si="14"/>
        <v/>
      </c>
      <c r="H250" s="7" t="str">
        <f>IF(B250&lt;&gt;"Silicone","",IFERROR(XLOOKUP(D250,#REF!,#REF!),""))</f>
        <v/>
      </c>
      <c r="J250" s="22" t="e">
        <f>VLOOKUP(D250,'Spec_Single_H&amp;S'!$B$2:$G$42,4,FALSE)</f>
        <v>#N/A</v>
      </c>
      <c r="K250" s="22" t="e">
        <f>VLOOKUP(D250,'Spec_Single_H&amp;S'!$B$2:$G$42,5,FALSE)</f>
        <v>#N/A</v>
      </c>
      <c r="L250" s="7" t="e">
        <f t="shared" si="13"/>
        <v>#N/A</v>
      </c>
    </row>
    <row r="251" spans="5:12" x14ac:dyDescent="0.3">
      <c r="E251" s="7" t="str">
        <f t="shared" si="14"/>
        <v/>
      </c>
      <c r="H251" s="7" t="str">
        <f>IF(B251&lt;&gt;"Silicone","",IFERROR(XLOOKUP(D251,#REF!,#REF!),""))</f>
        <v/>
      </c>
      <c r="J251" s="7" t="str">
        <f ca="1">IFERROR(XLOOKUP(D251,'Spec_Single_H&amp;S'!B:B,'Spec_Single_H&amp;S'!E:E),
IFERROR(XLOOKUP(D251,#REF!,#REF!),""))</f>
        <v/>
      </c>
      <c r="K251" s="7" t="str">
        <f ca="1">IFERROR(XLOOKUP(D251,'Spec_Single_H&amp;S'!B:B,'Spec_Single_H&amp;S'!F:F),
IFERROR(XLOOKUP(D251,#REF!,#REF!),""))</f>
        <v/>
      </c>
      <c r="L251" s="7" t="str">
        <f t="shared" ca="1" si="13"/>
        <v/>
      </c>
    </row>
    <row r="252" spans="5:12" x14ac:dyDescent="0.3">
      <c r="E252" s="7" t="str">
        <f t="shared" si="14"/>
        <v/>
      </c>
      <c r="H252" s="7" t="str">
        <f>IF(B252&lt;&gt;"Silicone","",IFERROR(XLOOKUP(D252,#REF!,#REF!),""))</f>
        <v/>
      </c>
      <c r="J252" s="7" t="str">
        <f ca="1">IFERROR(XLOOKUP(D252,'Spec_Single_H&amp;S'!B:B,'Spec_Single_H&amp;S'!E:E),
IFERROR(XLOOKUP(D252,#REF!,#REF!),""))</f>
        <v/>
      </c>
      <c r="K252" s="7" t="str">
        <f ca="1">IFERROR(XLOOKUP(D252,'Spec_Single_H&amp;S'!B:B,'Spec_Single_H&amp;S'!F:F),
IFERROR(XLOOKUP(D252,#REF!,#REF!),""))</f>
        <v/>
      </c>
      <c r="L252" s="7" t="str">
        <f t="shared" ca="1" si="13"/>
        <v/>
      </c>
    </row>
    <row r="253" spans="5:12" x14ac:dyDescent="0.3">
      <c r="E253" s="7" t="str">
        <f t="shared" si="14"/>
        <v/>
      </c>
      <c r="H253" s="7" t="str">
        <f>IF(B253&lt;&gt;"Silicone","",IFERROR(XLOOKUP(D253,#REF!,#REF!),""))</f>
        <v/>
      </c>
      <c r="J253" s="7" t="str">
        <f ca="1">IFERROR(XLOOKUP(D253,'Spec_Single_H&amp;S'!B:B,'Spec_Single_H&amp;S'!E:E),
IFERROR(XLOOKUP(D253,#REF!,#REF!),""))</f>
        <v/>
      </c>
      <c r="K253" s="7" t="str">
        <f ca="1">IFERROR(XLOOKUP(D253,'Spec_Single_H&amp;S'!B:B,'Spec_Single_H&amp;S'!F:F),
IFERROR(XLOOKUP(D253,#REF!,#REF!),""))</f>
        <v/>
      </c>
      <c r="L253" s="7" t="str">
        <f t="shared" ca="1" si="13"/>
        <v/>
      </c>
    </row>
    <row r="254" spans="5:12" x14ac:dyDescent="0.3">
      <c r="E254" s="7" t="str">
        <f t="shared" si="14"/>
        <v/>
      </c>
      <c r="H254" s="7" t="str">
        <f>IF(B254&lt;&gt;"Silicone","",IFERROR(XLOOKUP(D254,#REF!,#REF!),""))</f>
        <v/>
      </c>
      <c r="J254" s="7" t="str">
        <f ca="1">IFERROR(XLOOKUP(D254,'Spec_Single_H&amp;S'!B:B,'Spec_Single_H&amp;S'!E:E),
IFERROR(XLOOKUP(D254,#REF!,#REF!),""))</f>
        <v/>
      </c>
      <c r="K254" s="7" t="str">
        <f ca="1">IFERROR(XLOOKUP(D254,'Spec_Single_H&amp;S'!B:B,'Spec_Single_H&amp;S'!F:F),
IFERROR(XLOOKUP(D254,#REF!,#REF!),""))</f>
        <v/>
      </c>
      <c r="L254" s="7" t="str">
        <f t="shared" ca="1" si="13"/>
        <v/>
      </c>
    </row>
    <row r="255" spans="5:12" x14ac:dyDescent="0.3">
      <c r="E255" s="7" t="str">
        <f t="shared" si="14"/>
        <v/>
      </c>
      <c r="H255" s="7" t="str">
        <f>IF(B255&lt;&gt;"Silicone","",IFERROR(XLOOKUP(D255,#REF!,#REF!),""))</f>
        <v/>
      </c>
      <c r="J255" s="7" t="str">
        <f ca="1">IFERROR(XLOOKUP(D255,'Spec_Single_H&amp;S'!B:B,'Spec_Single_H&amp;S'!E:E),
IFERROR(XLOOKUP(D255,#REF!,#REF!),""))</f>
        <v/>
      </c>
      <c r="K255" s="7" t="str">
        <f ca="1">IFERROR(XLOOKUP(D255,'Spec_Single_H&amp;S'!B:B,'Spec_Single_H&amp;S'!F:F),
IFERROR(XLOOKUP(D255,#REF!,#REF!),""))</f>
        <v/>
      </c>
      <c r="L255" s="7" t="str">
        <f t="shared" ca="1" si="13"/>
        <v/>
      </c>
    </row>
    <row r="256" spans="5:12" x14ac:dyDescent="0.3">
      <c r="E256" s="7" t="str">
        <f t="shared" si="14"/>
        <v/>
      </c>
      <c r="H256" s="7" t="str">
        <f>IF(B256&lt;&gt;"Silicone","",IFERROR(XLOOKUP(D256,#REF!,#REF!),""))</f>
        <v/>
      </c>
      <c r="J256" s="7" t="str">
        <f ca="1">IFERROR(XLOOKUP(D256,'Spec_Single_H&amp;S'!B:B,'Spec_Single_H&amp;S'!E:E),
IFERROR(XLOOKUP(D256,#REF!,#REF!),""))</f>
        <v/>
      </c>
      <c r="K256" s="7" t="str">
        <f ca="1">IFERROR(XLOOKUP(D256,'Spec_Single_H&amp;S'!B:B,'Spec_Single_H&amp;S'!F:F),
IFERROR(XLOOKUP(D256,#REF!,#REF!),""))</f>
        <v/>
      </c>
      <c r="L256" s="7" t="str">
        <f t="shared" ca="1" si="13"/>
        <v/>
      </c>
    </row>
    <row r="257" spans="5:12" x14ac:dyDescent="0.3">
      <c r="E257" s="7" t="str">
        <f t="shared" si="14"/>
        <v/>
      </c>
      <c r="H257" s="7" t="str">
        <f>IF(B257&lt;&gt;"Silicone","",IFERROR(XLOOKUP(D257,#REF!,#REF!),""))</f>
        <v/>
      </c>
      <c r="J257" s="7" t="str">
        <f ca="1">IFERROR(XLOOKUP(D257,'Spec_Single_H&amp;S'!B:B,'Spec_Single_H&amp;S'!E:E),
IFERROR(XLOOKUP(D257,#REF!,#REF!),""))</f>
        <v/>
      </c>
      <c r="K257" s="7" t="str">
        <f ca="1">IFERROR(XLOOKUP(D257,'Spec_Single_H&amp;S'!B:B,'Spec_Single_H&amp;S'!F:F),
IFERROR(XLOOKUP(D257,#REF!,#REF!),""))</f>
        <v/>
      </c>
      <c r="L257" s="7" t="str">
        <f t="shared" ca="1" si="13"/>
        <v/>
      </c>
    </row>
    <row r="258" spans="5:12" x14ac:dyDescent="0.3">
      <c r="E258" s="7" t="str">
        <f t="shared" si="14"/>
        <v/>
      </c>
      <c r="H258" s="7" t="str">
        <f>IF(B258&lt;&gt;"Silicone","",IFERROR(XLOOKUP(D258,#REF!,#REF!),""))</f>
        <v/>
      </c>
      <c r="J258" s="7" t="str">
        <f ca="1">IFERROR(XLOOKUP(D258,'Spec_Single_H&amp;S'!B:B,'Spec_Single_H&amp;S'!E:E),
IFERROR(XLOOKUP(D258,#REF!,#REF!),""))</f>
        <v/>
      </c>
      <c r="K258" s="7" t="str">
        <f ca="1">IFERROR(XLOOKUP(D258,'Spec_Single_H&amp;S'!B:B,'Spec_Single_H&amp;S'!F:F),
IFERROR(XLOOKUP(D258,#REF!,#REF!),""))</f>
        <v/>
      </c>
      <c r="L258" s="7" t="str">
        <f t="shared" ca="1" si="13"/>
        <v/>
      </c>
    </row>
    <row r="259" spans="5:12" x14ac:dyDescent="0.3">
      <c r="E259" s="7" t="str">
        <f t="shared" si="14"/>
        <v/>
      </c>
      <c r="H259" s="7" t="str">
        <f>IF(B259&lt;&gt;"Silicone","",IFERROR(XLOOKUP(D259,#REF!,#REF!),""))</f>
        <v/>
      </c>
      <c r="J259" s="7" t="str">
        <f ca="1">IFERROR(XLOOKUP(D259,'Spec_Single_H&amp;S'!B:B,'Spec_Single_H&amp;S'!E:E),
IFERROR(XLOOKUP(D259,#REF!,#REF!),""))</f>
        <v/>
      </c>
      <c r="K259" s="7" t="str">
        <f ca="1">IFERROR(XLOOKUP(D259,'Spec_Single_H&amp;S'!B:B,'Spec_Single_H&amp;S'!F:F),
IFERROR(XLOOKUP(D259,#REF!,#REF!),""))</f>
        <v/>
      </c>
      <c r="L259" s="7" t="str">
        <f t="shared" ca="1" si="13"/>
        <v/>
      </c>
    </row>
    <row r="260" spans="5:12" x14ac:dyDescent="0.3">
      <c r="E260" s="7" t="str">
        <f t="shared" si="14"/>
        <v/>
      </c>
      <c r="H260" s="7" t="str">
        <f>IF(B260&lt;&gt;"Silicone","",IFERROR(XLOOKUP(D260,#REF!,#REF!),""))</f>
        <v/>
      </c>
      <c r="J260" s="7" t="str">
        <f ca="1">IFERROR(XLOOKUP(D260,'Spec_Single_H&amp;S'!B:B,'Spec_Single_H&amp;S'!E:E),
IFERROR(XLOOKUP(D260,#REF!,#REF!),""))</f>
        <v/>
      </c>
      <c r="K260" s="7" t="str">
        <f ca="1">IFERROR(XLOOKUP(D260,'Spec_Single_H&amp;S'!B:B,'Spec_Single_H&amp;S'!F:F),
IFERROR(XLOOKUP(D260,#REF!,#REF!),""))</f>
        <v/>
      </c>
      <c r="L260" s="7" t="str">
        <f t="shared" ca="1" si="13"/>
        <v/>
      </c>
    </row>
    <row r="261" spans="5:12" x14ac:dyDescent="0.3">
      <c r="E261" s="7" t="str">
        <f t="shared" si="14"/>
        <v/>
      </c>
      <c r="H261" s="7" t="str">
        <f>IF(B261&lt;&gt;"Silicone","",IFERROR(XLOOKUP(D261,#REF!,#REF!),""))</f>
        <v/>
      </c>
      <c r="J261" s="7" t="str">
        <f ca="1">IFERROR(XLOOKUP(D261,'Spec_Single_H&amp;S'!B:B,'Spec_Single_H&amp;S'!E:E),
IFERROR(XLOOKUP(D261,#REF!,#REF!),""))</f>
        <v/>
      </c>
      <c r="K261" s="7" t="str">
        <f ca="1">IFERROR(XLOOKUP(D261,'Spec_Single_H&amp;S'!B:B,'Spec_Single_H&amp;S'!F:F),
IFERROR(XLOOKUP(D261,#REF!,#REF!),""))</f>
        <v/>
      </c>
      <c r="L261" s="7" t="str">
        <f t="shared" ca="1" si="13"/>
        <v/>
      </c>
    </row>
    <row r="262" spans="5:12" x14ac:dyDescent="0.3">
      <c r="E262" s="7" t="str">
        <f t="shared" si="14"/>
        <v/>
      </c>
      <c r="H262" s="7" t="str">
        <f>IF(B262&lt;&gt;"Silicone","",IFERROR(XLOOKUP(D262,#REF!,#REF!),""))</f>
        <v/>
      </c>
      <c r="J262" s="7" t="str">
        <f ca="1">IFERROR(XLOOKUP(D262,'Spec_Single_H&amp;S'!B:B,'Spec_Single_H&amp;S'!E:E),
IFERROR(XLOOKUP(D262,#REF!,#REF!),""))</f>
        <v/>
      </c>
      <c r="K262" s="7" t="str">
        <f ca="1">IFERROR(XLOOKUP(D262,'Spec_Single_H&amp;S'!B:B,'Spec_Single_H&amp;S'!F:F),
IFERROR(XLOOKUP(D262,#REF!,#REF!),""))</f>
        <v/>
      </c>
      <c r="L262" s="7" t="str">
        <f t="shared" ca="1" si="13"/>
        <v/>
      </c>
    </row>
    <row r="263" spans="5:12" x14ac:dyDescent="0.3">
      <c r="E263" s="7" t="str">
        <f t="shared" si="14"/>
        <v/>
      </c>
      <c r="H263" s="7" t="str">
        <f>IF(B263&lt;&gt;"Silicone","",IFERROR(XLOOKUP(D263,#REF!,#REF!),""))</f>
        <v/>
      </c>
      <c r="J263" s="7" t="str">
        <f ca="1">IFERROR(XLOOKUP(D263,'Spec_Single_H&amp;S'!B:B,'Spec_Single_H&amp;S'!E:E),
IFERROR(XLOOKUP(D263,#REF!,#REF!),""))</f>
        <v/>
      </c>
      <c r="K263" s="7" t="str">
        <f ca="1">IFERROR(XLOOKUP(D263,'Spec_Single_H&amp;S'!B:B,'Spec_Single_H&amp;S'!F:F),
IFERROR(XLOOKUP(D263,#REF!,#REF!),""))</f>
        <v/>
      </c>
      <c r="L263" s="7" t="str">
        <f t="shared" ca="1" si="13"/>
        <v/>
      </c>
    </row>
    <row r="264" spans="5:12" x14ac:dyDescent="0.3">
      <c r="E264" s="7" t="str">
        <f t="shared" si="14"/>
        <v/>
      </c>
      <c r="H264" s="7" t="str">
        <f>IF(B264&lt;&gt;"Silicone","",IFERROR(XLOOKUP(D264,#REF!,#REF!),""))</f>
        <v/>
      </c>
      <c r="J264" s="7" t="str">
        <f ca="1">IFERROR(XLOOKUP(D264,'Spec_Single_H&amp;S'!B:B,'Spec_Single_H&amp;S'!E:E),
IFERROR(XLOOKUP(D264,#REF!,#REF!),""))</f>
        <v/>
      </c>
      <c r="K264" s="7" t="str">
        <f ca="1">IFERROR(XLOOKUP(D264,'Spec_Single_H&amp;S'!B:B,'Spec_Single_H&amp;S'!F:F),
IFERROR(XLOOKUP(D264,#REF!,#REF!),""))</f>
        <v/>
      </c>
      <c r="L264" s="7" t="str">
        <f t="shared" ref="L264:L327" ca="1" si="15">IF(AND(NOT(ISBLANK(I264)),I264&gt;=J264,I264&lt;=K264),"적합",IF(ISBLANK(I264),"", "부적합"))</f>
        <v/>
      </c>
    </row>
    <row r="265" spans="5:12" x14ac:dyDescent="0.3">
      <c r="E265" s="7" t="str">
        <f t="shared" ref="E265:E328" si="16">IF(D265="","",IF(B265="Silicone", "SL" &amp; IF(C265="Black","B",IF(C265="White","W",IF(C265="Blue","U",IF(C265="Green","G",IF(C265="Yellow","Y",IF(C265="Red","R",IF(C265="Pink","P",""))))))) &amp; TEXT(A265,"yymmdd") &amp; "01",IF(LEFT(D265,3)="NPL","NPL","PL") &amp; IF(C265="Black","B",IF(C265="White","W",IF(C265="Blue","U",IF(C265="Green","G",IF(C265="Yellow","Y",IF(C265="Red","R",IF(C265="Pink","P",""))))))) &amp; TEXT(A265,"yymmdd") &amp; "01"))</f>
        <v/>
      </c>
      <c r="H265" s="7" t="str">
        <f>IF(B265&lt;&gt;"Silicone","",IFERROR(XLOOKUP(D265,#REF!,#REF!),""))</f>
        <v/>
      </c>
      <c r="J265" s="7" t="str">
        <f ca="1">IFERROR(XLOOKUP(D265,'Spec_Single_H&amp;S'!B:B,'Spec_Single_H&amp;S'!E:E),
IFERROR(XLOOKUP(D265,#REF!,#REF!),""))</f>
        <v/>
      </c>
      <c r="K265" s="7" t="str">
        <f ca="1">IFERROR(XLOOKUP(D265,'Spec_Single_H&amp;S'!B:B,'Spec_Single_H&amp;S'!F:F),
IFERROR(XLOOKUP(D265,#REF!,#REF!),""))</f>
        <v/>
      </c>
      <c r="L265" s="7" t="str">
        <f t="shared" ca="1" si="15"/>
        <v/>
      </c>
    </row>
    <row r="266" spans="5:12" x14ac:dyDescent="0.3">
      <c r="E266" s="7" t="str">
        <f t="shared" si="16"/>
        <v/>
      </c>
      <c r="H266" s="7" t="str">
        <f>IF(B266&lt;&gt;"Silicone","",IFERROR(XLOOKUP(D266,#REF!,#REF!),""))</f>
        <v/>
      </c>
      <c r="J266" s="7" t="str">
        <f ca="1">IFERROR(XLOOKUP(D266,'Spec_Single_H&amp;S'!B:B,'Spec_Single_H&amp;S'!E:E),
IFERROR(XLOOKUP(D266,#REF!,#REF!),""))</f>
        <v/>
      </c>
      <c r="K266" s="7" t="str">
        <f ca="1">IFERROR(XLOOKUP(D266,'Spec_Single_H&amp;S'!B:B,'Spec_Single_H&amp;S'!F:F),
IFERROR(XLOOKUP(D266,#REF!,#REF!),""))</f>
        <v/>
      </c>
      <c r="L266" s="7" t="str">
        <f t="shared" ca="1" si="15"/>
        <v/>
      </c>
    </row>
    <row r="267" spans="5:12" x14ac:dyDescent="0.3">
      <c r="E267" s="7" t="str">
        <f t="shared" si="16"/>
        <v/>
      </c>
      <c r="H267" s="7" t="str">
        <f>IF(B267&lt;&gt;"Silicone","",IFERROR(XLOOKUP(D267,#REF!,#REF!),""))</f>
        <v/>
      </c>
      <c r="J267" s="7" t="str">
        <f ca="1">IFERROR(XLOOKUP(D267,'Spec_Single_H&amp;S'!B:B,'Spec_Single_H&amp;S'!E:E),
IFERROR(XLOOKUP(D267,#REF!,#REF!),""))</f>
        <v/>
      </c>
      <c r="K267" s="7" t="str">
        <f ca="1">IFERROR(XLOOKUP(D267,'Spec_Single_H&amp;S'!B:B,'Spec_Single_H&amp;S'!F:F),
IFERROR(XLOOKUP(D267,#REF!,#REF!),""))</f>
        <v/>
      </c>
      <c r="L267" s="7" t="str">
        <f t="shared" ca="1" si="15"/>
        <v/>
      </c>
    </row>
    <row r="268" spans="5:12" x14ac:dyDescent="0.3">
      <c r="E268" s="7" t="str">
        <f t="shared" si="16"/>
        <v/>
      </c>
      <c r="H268" s="7" t="str">
        <f>IF(B268&lt;&gt;"Silicone","",IFERROR(XLOOKUP(D268,#REF!,#REF!),""))</f>
        <v/>
      </c>
      <c r="J268" s="7" t="str">
        <f ca="1">IFERROR(XLOOKUP(D268,'Spec_Single_H&amp;S'!B:B,'Spec_Single_H&amp;S'!E:E),
IFERROR(XLOOKUP(D268,#REF!,#REF!),""))</f>
        <v/>
      </c>
      <c r="K268" s="7" t="str">
        <f ca="1">IFERROR(XLOOKUP(D268,'Spec_Single_H&amp;S'!B:B,'Spec_Single_H&amp;S'!F:F),
IFERROR(XLOOKUP(D268,#REF!,#REF!),""))</f>
        <v/>
      </c>
      <c r="L268" s="7" t="str">
        <f t="shared" ca="1" si="15"/>
        <v/>
      </c>
    </row>
    <row r="269" spans="5:12" x14ac:dyDescent="0.3">
      <c r="E269" s="7" t="str">
        <f t="shared" si="16"/>
        <v/>
      </c>
      <c r="H269" s="7" t="str">
        <f>IF(B269&lt;&gt;"Silicone","",IFERROR(XLOOKUP(D269,#REF!,#REF!),""))</f>
        <v/>
      </c>
      <c r="J269" s="7" t="str">
        <f ca="1">IFERROR(XLOOKUP(D269,'Spec_Single_H&amp;S'!B:B,'Spec_Single_H&amp;S'!E:E),
IFERROR(XLOOKUP(D269,#REF!,#REF!),""))</f>
        <v/>
      </c>
      <c r="K269" s="7" t="str">
        <f ca="1">IFERROR(XLOOKUP(D269,'Spec_Single_H&amp;S'!B:B,'Spec_Single_H&amp;S'!F:F),
IFERROR(XLOOKUP(D269,#REF!,#REF!),""))</f>
        <v/>
      </c>
      <c r="L269" s="7" t="str">
        <f t="shared" ca="1" si="15"/>
        <v/>
      </c>
    </row>
    <row r="270" spans="5:12" x14ac:dyDescent="0.3">
      <c r="E270" s="7" t="str">
        <f t="shared" si="16"/>
        <v/>
      </c>
      <c r="H270" s="7" t="str">
        <f>IF(B270&lt;&gt;"Silicone","",IFERROR(XLOOKUP(D270,#REF!,#REF!),""))</f>
        <v/>
      </c>
      <c r="J270" s="7" t="str">
        <f ca="1">IFERROR(XLOOKUP(D270,'Spec_Single_H&amp;S'!B:B,'Spec_Single_H&amp;S'!E:E),
IFERROR(XLOOKUP(D270,#REF!,#REF!),""))</f>
        <v/>
      </c>
      <c r="K270" s="7" t="str">
        <f ca="1">IFERROR(XLOOKUP(D270,'Spec_Single_H&amp;S'!B:B,'Spec_Single_H&amp;S'!F:F),
IFERROR(XLOOKUP(D270,#REF!,#REF!),""))</f>
        <v/>
      </c>
      <c r="L270" s="7" t="str">
        <f t="shared" ca="1" si="15"/>
        <v/>
      </c>
    </row>
    <row r="271" spans="5:12" x14ac:dyDescent="0.3">
      <c r="E271" s="7" t="str">
        <f t="shared" si="16"/>
        <v/>
      </c>
      <c r="H271" s="7" t="str">
        <f>IF(B271&lt;&gt;"Silicone","",IFERROR(XLOOKUP(D271,#REF!,#REF!),""))</f>
        <v/>
      </c>
      <c r="J271" s="7" t="str">
        <f ca="1">IFERROR(XLOOKUP(D271,'Spec_Single_H&amp;S'!B:B,'Spec_Single_H&amp;S'!E:E),
IFERROR(XLOOKUP(D271,#REF!,#REF!),""))</f>
        <v/>
      </c>
      <c r="K271" s="7" t="str">
        <f ca="1">IFERROR(XLOOKUP(D271,'Spec_Single_H&amp;S'!B:B,'Spec_Single_H&amp;S'!F:F),
IFERROR(XLOOKUP(D271,#REF!,#REF!),""))</f>
        <v/>
      </c>
      <c r="L271" s="7" t="str">
        <f t="shared" ca="1" si="15"/>
        <v/>
      </c>
    </row>
    <row r="272" spans="5:12" x14ac:dyDescent="0.3">
      <c r="E272" s="7" t="str">
        <f t="shared" si="16"/>
        <v/>
      </c>
      <c r="H272" s="7" t="str">
        <f>IF(B272&lt;&gt;"Silicone","",IFERROR(XLOOKUP(D272,#REF!,#REF!),""))</f>
        <v/>
      </c>
      <c r="J272" s="7" t="str">
        <f ca="1">IFERROR(XLOOKUP(D272,'Spec_Single_H&amp;S'!B:B,'Spec_Single_H&amp;S'!E:E),
IFERROR(XLOOKUP(D272,#REF!,#REF!),""))</f>
        <v/>
      </c>
      <c r="K272" s="7" t="str">
        <f ca="1">IFERROR(XLOOKUP(D272,'Spec_Single_H&amp;S'!B:B,'Spec_Single_H&amp;S'!F:F),
IFERROR(XLOOKUP(D272,#REF!,#REF!),""))</f>
        <v/>
      </c>
      <c r="L272" s="7" t="str">
        <f t="shared" ca="1" si="15"/>
        <v/>
      </c>
    </row>
    <row r="273" spans="5:12" x14ac:dyDescent="0.3">
      <c r="E273" s="7" t="str">
        <f t="shared" si="16"/>
        <v/>
      </c>
      <c r="H273" s="7" t="str">
        <f>IF(B273&lt;&gt;"Silicone","",IFERROR(XLOOKUP(D273,#REF!,#REF!),""))</f>
        <v/>
      </c>
      <c r="J273" s="7" t="str">
        <f ca="1">IFERROR(XLOOKUP(D273,'Spec_Single_H&amp;S'!B:B,'Spec_Single_H&amp;S'!E:E),
IFERROR(XLOOKUP(D273,#REF!,#REF!),""))</f>
        <v/>
      </c>
      <c r="K273" s="7" t="str">
        <f ca="1">IFERROR(XLOOKUP(D273,'Spec_Single_H&amp;S'!B:B,'Spec_Single_H&amp;S'!F:F),
IFERROR(XLOOKUP(D273,#REF!,#REF!),""))</f>
        <v/>
      </c>
      <c r="L273" s="7" t="str">
        <f t="shared" ca="1" si="15"/>
        <v/>
      </c>
    </row>
    <row r="274" spans="5:12" x14ac:dyDescent="0.3">
      <c r="E274" s="7" t="str">
        <f t="shared" si="16"/>
        <v/>
      </c>
      <c r="H274" s="7" t="str">
        <f>IF(B274&lt;&gt;"Silicone","",IFERROR(XLOOKUP(D274,#REF!,#REF!),""))</f>
        <v/>
      </c>
      <c r="J274" s="7" t="str">
        <f ca="1">IFERROR(XLOOKUP(D274,'Spec_Single_H&amp;S'!B:B,'Spec_Single_H&amp;S'!E:E),
IFERROR(XLOOKUP(D274,#REF!,#REF!),""))</f>
        <v/>
      </c>
      <c r="K274" s="7" t="str">
        <f ca="1">IFERROR(XLOOKUP(D274,'Spec_Single_H&amp;S'!B:B,'Spec_Single_H&amp;S'!F:F),
IFERROR(XLOOKUP(D274,#REF!,#REF!),""))</f>
        <v/>
      </c>
      <c r="L274" s="7" t="str">
        <f t="shared" ca="1" si="15"/>
        <v/>
      </c>
    </row>
    <row r="275" spans="5:12" x14ac:dyDescent="0.3">
      <c r="E275" s="7" t="str">
        <f t="shared" si="16"/>
        <v/>
      </c>
      <c r="H275" s="7" t="str">
        <f>IF(B275&lt;&gt;"Silicone","",IFERROR(XLOOKUP(D275,#REF!,#REF!),""))</f>
        <v/>
      </c>
      <c r="J275" s="7" t="str">
        <f ca="1">IFERROR(XLOOKUP(D275,'Spec_Single_H&amp;S'!B:B,'Spec_Single_H&amp;S'!E:E),
IFERROR(XLOOKUP(D275,#REF!,#REF!),""))</f>
        <v/>
      </c>
      <c r="K275" s="7" t="str">
        <f ca="1">IFERROR(XLOOKUP(D275,'Spec_Single_H&amp;S'!B:B,'Spec_Single_H&amp;S'!F:F),
IFERROR(XLOOKUP(D275,#REF!,#REF!),""))</f>
        <v/>
      </c>
      <c r="L275" s="7" t="str">
        <f t="shared" ca="1" si="15"/>
        <v/>
      </c>
    </row>
    <row r="276" spans="5:12" x14ac:dyDescent="0.3">
      <c r="E276" s="7" t="str">
        <f t="shared" si="16"/>
        <v/>
      </c>
      <c r="H276" s="7" t="str">
        <f>IF(B276&lt;&gt;"Silicone","",IFERROR(XLOOKUP(D276,#REF!,#REF!),""))</f>
        <v/>
      </c>
      <c r="J276" s="7" t="str">
        <f ca="1">IFERROR(XLOOKUP(D276,'Spec_Single_H&amp;S'!B:B,'Spec_Single_H&amp;S'!E:E),
IFERROR(XLOOKUP(D276,#REF!,#REF!),""))</f>
        <v/>
      </c>
      <c r="K276" s="7" t="str">
        <f ca="1">IFERROR(XLOOKUP(D276,'Spec_Single_H&amp;S'!B:B,'Spec_Single_H&amp;S'!F:F),
IFERROR(XLOOKUP(D276,#REF!,#REF!),""))</f>
        <v/>
      </c>
      <c r="L276" s="7" t="str">
        <f t="shared" ca="1" si="15"/>
        <v/>
      </c>
    </row>
    <row r="277" spans="5:12" x14ac:dyDescent="0.3">
      <c r="E277" s="7" t="str">
        <f t="shared" si="16"/>
        <v/>
      </c>
      <c r="H277" s="7" t="str">
        <f>IF(B277&lt;&gt;"Silicone","",IFERROR(XLOOKUP(D277,#REF!,#REF!),""))</f>
        <v/>
      </c>
      <c r="J277" s="7" t="str">
        <f ca="1">IFERROR(XLOOKUP(D277,'Spec_Single_H&amp;S'!B:B,'Spec_Single_H&amp;S'!E:E),
IFERROR(XLOOKUP(D277,#REF!,#REF!),""))</f>
        <v/>
      </c>
      <c r="K277" s="7" t="str">
        <f ca="1">IFERROR(XLOOKUP(D277,'Spec_Single_H&amp;S'!B:B,'Spec_Single_H&amp;S'!F:F),
IFERROR(XLOOKUP(D277,#REF!,#REF!),""))</f>
        <v/>
      </c>
      <c r="L277" s="7" t="str">
        <f t="shared" ca="1" si="15"/>
        <v/>
      </c>
    </row>
    <row r="278" spans="5:12" x14ac:dyDescent="0.3">
      <c r="E278" s="7" t="str">
        <f t="shared" si="16"/>
        <v/>
      </c>
      <c r="H278" s="7" t="str">
        <f>IF(B278&lt;&gt;"Silicone","",IFERROR(XLOOKUP(D278,#REF!,#REF!),""))</f>
        <v/>
      </c>
      <c r="J278" s="7" t="str">
        <f ca="1">IFERROR(XLOOKUP(D278,'Spec_Single_H&amp;S'!B:B,'Spec_Single_H&amp;S'!E:E),
IFERROR(XLOOKUP(D278,#REF!,#REF!),""))</f>
        <v/>
      </c>
      <c r="K278" s="7" t="str">
        <f ca="1">IFERROR(XLOOKUP(D278,'Spec_Single_H&amp;S'!B:B,'Spec_Single_H&amp;S'!F:F),
IFERROR(XLOOKUP(D278,#REF!,#REF!),""))</f>
        <v/>
      </c>
      <c r="L278" s="7" t="str">
        <f t="shared" ca="1" si="15"/>
        <v/>
      </c>
    </row>
    <row r="279" spans="5:12" x14ac:dyDescent="0.3">
      <c r="E279" s="7" t="str">
        <f t="shared" si="16"/>
        <v/>
      </c>
      <c r="H279" s="7" t="str">
        <f>IF(B279&lt;&gt;"Silicone","",IFERROR(XLOOKUP(D279,#REF!,#REF!),""))</f>
        <v/>
      </c>
      <c r="J279" s="7" t="str">
        <f ca="1">IFERROR(XLOOKUP(D279,'Spec_Single_H&amp;S'!B:B,'Spec_Single_H&amp;S'!E:E),
IFERROR(XLOOKUP(D279,#REF!,#REF!),""))</f>
        <v/>
      </c>
      <c r="K279" s="7" t="str">
        <f ca="1">IFERROR(XLOOKUP(D279,'Spec_Single_H&amp;S'!B:B,'Spec_Single_H&amp;S'!F:F),
IFERROR(XLOOKUP(D279,#REF!,#REF!),""))</f>
        <v/>
      </c>
      <c r="L279" s="7" t="str">
        <f t="shared" ca="1" si="15"/>
        <v/>
      </c>
    </row>
    <row r="280" spans="5:12" x14ac:dyDescent="0.3">
      <c r="E280" s="7" t="str">
        <f t="shared" si="16"/>
        <v/>
      </c>
      <c r="H280" s="7" t="str">
        <f>IF(B280&lt;&gt;"Silicone","",IFERROR(XLOOKUP(D280,#REF!,#REF!),""))</f>
        <v/>
      </c>
      <c r="J280" s="7" t="str">
        <f ca="1">IFERROR(XLOOKUP(D280,'Spec_Single_H&amp;S'!B:B,'Spec_Single_H&amp;S'!E:E),
IFERROR(XLOOKUP(D280,#REF!,#REF!),""))</f>
        <v/>
      </c>
      <c r="K280" s="7" t="str">
        <f ca="1">IFERROR(XLOOKUP(D280,'Spec_Single_H&amp;S'!B:B,'Spec_Single_H&amp;S'!F:F),
IFERROR(XLOOKUP(D280,#REF!,#REF!),""))</f>
        <v/>
      </c>
      <c r="L280" s="7" t="str">
        <f t="shared" ca="1" si="15"/>
        <v/>
      </c>
    </row>
    <row r="281" spans="5:12" x14ac:dyDescent="0.3">
      <c r="E281" s="7" t="str">
        <f t="shared" si="16"/>
        <v/>
      </c>
      <c r="H281" s="7" t="str">
        <f>IF(B281&lt;&gt;"Silicone","",IFERROR(XLOOKUP(D281,#REF!,#REF!),""))</f>
        <v/>
      </c>
      <c r="J281" s="7" t="str">
        <f ca="1">IFERROR(XLOOKUP(D281,'Spec_Single_H&amp;S'!B:B,'Spec_Single_H&amp;S'!E:E),
IFERROR(XLOOKUP(D281,#REF!,#REF!),""))</f>
        <v/>
      </c>
      <c r="K281" s="7" t="str">
        <f ca="1">IFERROR(XLOOKUP(D281,'Spec_Single_H&amp;S'!B:B,'Spec_Single_H&amp;S'!F:F),
IFERROR(XLOOKUP(D281,#REF!,#REF!),""))</f>
        <v/>
      </c>
      <c r="L281" s="7" t="str">
        <f t="shared" ca="1" si="15"/>
        <v/>
      </c>
    </row>
    <row r="282" spans="5:12" x14ac:dyDescent="0.3">
      <c r="E282" s="7" t="str">
        <f t="shared" si="16"/>
        <v/>
      </c>
      <c r="H282" s="7" t="str">
        <f>IF(B282&lt;&gt;"Silicone","",IFERROR(XLOOKUP(D282,#REF!,#REF!),""))</f>
        <v/>
      </c>
      <c r="J282" s="7" t="str">
        <f ca="1">IFERROR(XLOOKUP(D282,'Spec_Single_H&amp;S'!B:B,'Spec_Single_H&amp;S'!E:E),
IFERROR(XLOOKUP(D282,#REF!,#REF!),""))</f>
        <v/>
      </c>
      <c r="K282" s="7" t="str">
        <f ca="1">IFERROR(XLOOKUP(D282,'Spec_Single_H&amp;S'!B:B,'Spec_Single_H&amp;S'!F:F),
IFERROR(XLOOKUP(D282,#REF!,#REF!),""))</f>
        <v/>
      </c>
      <c r="L282" s="7" t="str">
        <f t="shared" ca="1" si="15"/>
        <v/>
      </c>
    </row>
    <row r="283" spans="5:12" x14ac:dyDescent="0.3">
      <c r="E283" s="7" t="str">
        <f t="shared" si="16"/>
        <v/>
      </c>
      <c r="H283" s="7" t="str">
        <f>IF(B283&lt;&gt;"Silicone","",IFERROR(XLOOKUP(D283,#REF!,#REF!),""))</f>
        <v/>
      </c>
      <c r="J283" s="7" t="str">
        <f ca="1">IFERROR(XLOOKUP(D283,'Spec_Single_H&amp;S'!B:B,'Spec_Single_H&amp;S'!E:E),
IFERROR(XLOOKUP(D283,#REF!,#REF!),""))</f>
        <v/>
      </c>
      <c r="K283" s="7" t="str">
        <f ca="1">IFERROR(XLOOKUP(D283,'Spec_Single_H&amp;S'!B:B,'Spec_Single_H&amp;S'!F:F),
IFERROR(XLOOKUP(D283,#REF!,#REF!),""))</f>
        <v/>
      </c>
      <c r="L283" s="7" t="str">
        <f t="shared" ca="1" si="15"/>
        <v/>
      </c>
    </row>
    <row r="284" spans="5:12" x14ac:dyDescent="0.3">
      <c r="E284" s="7" t="str">
        <f t="shared" si="16"/>
        <v/>
      </c>
      <c r="H284" s="7" t="str">
        <f>IF(B284&lt;&gt;"Silicone","",IFERROR(XLOOKUP(D284,#REF!,#REF!),""))</f>
        <v/>
      </c>
      <c r="J284" s="7" t="str">
        <f ca="1">IFERROR(XLOOKUP(D284,'Spec_Single_H&amp;S'!B:B,'Spec_Single_H&amp;S'!E:E),
IFERROR(XLOOKUP(D284,#REF!,#REF!),""))</f>
        <v/>
      </c>
      <c r="K284" s="7" t="str">
        <f ca="1">IFERROR(XLOOKUP(D284,'Spec_Single_H&amp;S'!B:B,'Spec_Single_H&amp;S'!F:F),
IFERROR(XLOOKUP(D284,#REF!,#REF!),""))</f>
        <v/>
      </c>
      <c r="L284" s="7" t="str">
        <f t="shared" ca="1" si="15"/>
        <v/>
      </c>
    </row>
    <row r="285" spans="5:12" x14ac:dyDescent="0.3">
      <c r="E285" s="7" t="str">
        <f t="shared" si="16"/>
        <v/>
      </c>
      <c r="H285" s="7" t="str">
        <f>IF(B285&lt;&gt;"Silicone","",IFERROR(XLOOKUP(D285,#REF!,#REF!),""))</f>
        <v/>
      </c>
      <c r="J285" s="7" t="str">
        <f ca="1">IFERROR(XLOOKUP(D285,'Spec_Single_H&amp;S'!B:B,'Spec_Single_H&amp;S'!E:E),
IFERROR(XLOOKUP(D285,#REF!,#REF!),""))</f>
        <v/>
      </c>
      <c r="K285" s="7" t="str">
        <f ca="1">IFERROR(XLOOKUP(D285,'Spec_Single_H&amp;S'!B:B,'Spec_Single_H&amp;S'!F:F),
IFERROR(XLOOKUP(D285,#REF!,#REF!),""))</f>
        <v/>
      </c>
      <c r="L285" s="7" t="str">
        <f t="shared" ca="1" si="15"/>
        <v/>
      </c>
    </row>
    <row r="286" spans="5:12" x14ac:dyDescent="0.3">
      <c r="E286" s="7" t="str">
        <f t="shared" si="16"/>
        <v/>
      </c>
      <c r="H286" s="7" t="str">
        <f>IF(B286&lt;&gt;"Silicone","",IFERROR(XLOOKUP(D286,#REF!,#REF!),""))</f>
        <v/>
      </c>
      <c r="J286" s="7" t="str">
        <f ca="1">IFERROR(XLOOKUP(D286,'Spec_Single_H&amp;S'!B:B,'Spec_Single_H&amp;S'!E:E),
IFERROR(XLOOKUP(D286,#REF!,#REF!),""))</f>
        <v/>
      </c>
      <c r="K286" s="7" t="str">
        <f ca="1">IFERROR(XLOOKUP(D286,'Spec_Single_H&amp;S'!B:B,'Spec_Single_H&amp;S'!F:F),
IFERROR(XLOOKUP(D286,#REF!,#REF!),""))</f>
        <v/>
      </c>
      <c r="L286" s="7" t="str">
        <f t="shared" ca="1" si="15"/>
        <v/>
      </c>
    </row>
    <row r="287" spans="5:12" x14ac:dyDescent="0.3">
      <c r="E287" s="7" t="str">
        <f t="shared" si="16"/>
        <v/>
      </c>
      <c r="H287" s="7" t="str">
        <f>IF(B287&lt;&gt;"Silicone","",IFERROR(XLOOKUP(D287,#REF!,#REF!),""))</f>
        <v/>
      </c>
      <c r="J287" s="7" t="str">
        <f ca="1">IFERROR(XLOOKUP(D287,'Spec_Single_H&amp;S'!B:B,'Spec_Single_H&amp;S'!E:E),
IFERROR(XLOOKUP(D287,#REF!,#REF!),""))</f>
        <v/>
      </c>
      <c r="K287" s="7" t="str">
        <f ca="1">IFERROR(XLOOKUP(D287,'Spec_Single_H&amp;S'!B:B,'Spec_Single_H&amp;S'!F:F),
IFERROR(XLOOKUP(D287,#REF!,#REF!),""))</f>
        <v/>
      </c>
      <c r="L287" s="7" t="str">
        <f t="shared" ca="1" si="15"/>
        <v/>
      </c>
    </row>
    <row r="288" spans="5:12" x14ac:dyDescent="0.3">
      <c r="E288" s="7" t="str">
        <f t="shared" si="16"/>
        <v/>
      </c>
      <c r="H288" s="7" t="str">
        <f>IF(B288&lt;&gt;"Silicone","",IFERROR(XLOOKUP(D288,#REF!,#REF!),""))</f>
        <v/>
      </c>
      <c r="J288" s="7" t="str">
        <f ca="1">IFERROR(XLOOKUP(D288,'Spec_Single_H&amp;S'!B:B,'Spec_Single_H&amp;S'!E:E),
IFERROR(XLOOKUP(D288,#REF!,#REF!),""))</f>
        <v/>
      </c>
      <c r="K288" s="7" t="str">
        <f ca="1">IFERROR(XLOOKUP(D288,'Spec_Single_H&amp;S'!B:B,'Spec_Single_H&amp;S'!F:F),
IFERROR(XLOOKUP(D288,#REF!,#REF!),""))</f>
        <v/>
      </c>
      <c r="L288" s="7" t="str">
        <f t="shared" ca="1" si="15"/>
        <v/>
      </c>
    </row>
    <row r="289" spans="5:12" x14ac:dyDescent="0.3">
      <c r="E289" s="7" t="str">
        <f t="shared" si="16"/>
        <v/>
      </c>
      <c r="H289" s="7" t="str">
        <f>IF(B289&lt;&gt;"Silicone","",IFERROR(XLOOKUP(D289,#REF!,#REF!),""))</f>
        <v/>
      </c>
      <c r="J289" s="7" t="str">
        <f ca="1">IFERROR(XLOOKUP(D289,'Spec_Single_H&amp;S'!B:B,'Spec_Single_H&amp;S'!E:E),
IFERROR(XLOOKUP(D289,#REF!,#REF!),""))</f>
        <v/>
      </c>
      <c r="K289" s="7" t="str">
        <f ca="1">IFERROR(XLOOKUP(D289,'Spec_Single_H&amp;S'!B:B,'Spec_Single_H&amp;S'!F:F),
IFERROR(XLOOKUP(D289,#REF!,#REF!),""))</f>
        <v/>
      </c>
      <c r="L289" s="7" t="str">
        <f t="shared" ca="1" si="15"/>
        <v/>
      </c>
    </row>
    <row r="290" spans="5:12" x14ac:dyDescent="0.3">
      <c r="E290" s="7" t="str">
        <f t="shared" si="16"/>
        <v/>
      </c>
      <c r="H290" s="7" t="str">
        <f>IF(B290&lt;&gt;"Silicone","",IFERROR(XLOOKUP(D290,#REF!,#REF!),""))</f>
        <v/>
      </c>
      <c r="J290" s="7" t="str">
        <f ca="1">IFERROR(XLOOKUP(D290,'Spec_Single_H&amp;S'!B:B,'Spec_Single_H&amp;S'!E:E),
IFERROR(XLOOKUP(D290,#REF!,#REF!),""))</f>
        <v/>
      </c>
      <c r="K290" s="7" t="str">
        <f ca="1">IFERROR(XLOOKUP(D290,'Spec_Single_H&amp;S'!B:B,'Spec_Single_H&amp;S'!F:F),
IFERROR(XLOOKUP(D290,#REF!,#REF!),""))</f>
        <v/>
      </c>
      <c r="L290" s="7" t="str">
        <f t="shared" ca="1" si="15"/>
        <v/>
      </c>
    </row>
    <row r="291" spans="5:12" x14ac:dyDescent="0.3">
      <c r="E291" s="7" t="str">
        <f t="shared" si="16"/>
        <v/>
      </c>
      <c r="H291" s="7" t="str">
        <f>IF(B291&lt;&gt;"Silicone","",IFERROR(XLOOKUP(D291,#REF!,#REF!),""))</f>
        <v/>
      </c>
      <c r="J291" s="7" t="str">
        <f ca="1">IFERROR(XLOOKUP(D291,'Spec_Single_H&amp;S'!B:B,'Spec_Single_H&amp;S'!E:E),
IFERROR(XLOOKUP(D291,#REF!,#REF!),""))</f>
        <v/>
      </c>
      <c r="K291" s="7" t="str">
        <f ca="1">IFERROR(XLOOKUP(D291,'Spec_Single_H&amp;S'!B:B,'Spec_Single_H&amp;S'!F:F),
IFERROR(XLOOKUP(D291,#REF!,#REF!),""))</f>
        <v/>
      </c>
      <c r="L291" s="7" t="str">
        <f t="shared" ca="1" si="15"/>
        <v/>
      </c>
    </row>
    <row r="292" spans="5:12" x14ac:dyDescent="0.3">
      <c r="E292" s="7" t="str">
        <f t="shared" si="16"/>
        <v/>
      </c>
      <c r="H292" s="7" t="str">
        <f>IF(B292&lt;&gt;"Silicone","",IFERROR(XLOOKUP(D292,#REF!,#REF!),""))</f>
        <v/>
      </c>
      <c r="J292" s="7" t="str">
        <f ca="1">IFERROR(XLOOKUP(D292,'Spec_Single_H&amp;S'!B:B,'Spec_Single_H&amp;S'!E:E),
IFERROR(XLOOKUP(D292,#REF!,#REF!),""))</f>
        <v/>
      </c>
      <c r="K292" s="7" t="str">
        <f ca="1">IFERROR(XLOOKUP(D292,'Spec_Single_H&amp;S'!B:B,'Spec_Single_H&amp;S'!F:F),
IFERROR(XLOOKUP(D292,#REF!,#REF!),""))</f>
        <v/>
      </c>
      <c r="L292" s="7" t="str">
        <f t="shared" ca="1" si="15"/>
        <v/>
      </c>
    </row>
    <row r="293" spans="5:12" x14ac:dyDescent="0.3">
      <c r="E293" s="7" t="str">
        <f t="shared" si="16"/>
        <v/>
      </c>
      <c r="H293" s="7" t="str">
        <f>IF(B293&lt;&gt;"Silicone","",IFERROR(XLOOKUP(D293,#REF!,#REF!),""))</f>
        <v/>
      </c>
      <c r="J293" s="7" t="str">
        <f ca="1">IFERROR(XLOOKUP(D293,'Spec_Single_H&amp;S'!B:B,'Spec_Single_H&amp;S'!E:E),
IFERROR(XLOOKUP(D293,#REF!,#REF!),""))</f>
        <v/>
      </c>
      <c r="K293" s="7" t="str">
        <f ca="1">IFERROR(XLOOKUP(D293,'Spec_Single_H&amp;S'!B:B,'Spec_Single_H&amp;S'!F:F),
IFERROR(XLOOKUP(D293,#REF!,#REF!),""))</f>
        <v/>
      </c>
      <c r="L293" s="7" t="str">
        <f t="shared" ca="1" si="15"/>
        <v/>
      </c>
    </row>
    <row r="294" spans="5:12" x14ac:dyDescent="0.3">
      <c r="E294" s="7" t="str">
        <f t="shared" si="16"/>
        <v/>
      </c>
      <c r="H294" s="7" t="str">
        <f>IF(B294&lt;&gt;"Silicone","",IFERROR(XLOOKUP(D294,#REF!,#REF!),""))</f>
        <v/>
      </c>
      <c r="J294" s="7" t="str">
        <f ca="1">IFERROR(XLOOKUP(D294,'Spec_Single_H&amp;S'!B:B,'Spec_Single_H&amp;S'!E:E),
IFERROR(XLOOKUP(D294,#REF!,#REF!),""))</f>
        <v/>
      </c>
      <c r="K294" s="7" t="str">
        <f ca="1">IFERROR(XLOOKUP(D294,'Spec_Single_H&amp;S'!B:B,'Spec_Single_H&amp;S'!F:F),
IFERROR(XLOOKUP(D294,#REF!,#REF!),""))</f>
        <v/>
      </c>
      <c r="L294" s="7" t="str">
        <f t="shared" ca="1" si="15"/>
        <v/>
      </c>
    </row>
    <row r="295" spans="5:12" x14ac:dyDescent="0.3">
      <c r="E295" s="7" t="str">
        <f t="shared" si="16"/>
        <v/>
      </c>
      <c r="H295" s="7" t="str">
        <f>IF(B295&lt;&gt;"Silicone","",IFERROR(XLOOKUP(D295,#REF!,#REF!),""))</f>
        <v/>
      </c>
      <c r="J295" s="7" t="str">
        <f ca="1">IFERROR(XLOOKUP(D295,'Spec_Single_H&amp;S'!B:B,'Spec_Single_H&amp;S'!E:E),
IFERROR(XLOOKUP(D295,#REF!,#REF!),""))</f>
        <v/>
      </c>
      <c r="K295" s="7" t="str">
        <f ca="1">IFERROR(XLOOKUP(D295,'Spec_Single_H&amp;S'!B:B,'Spec_Single_H&amp;S'!F:F),
IFERROR(XLOOKUP(D295,#REF!,#REF!),""))</f>
        <v/>
      </c>
      <c r="L295" s="7" t="str">
        <f t="shared" ca="1" si="15"/>
        <v/>
      </c>
    </row>
    <row r="296" spans="5:12" x14ac:dyDescent="0.3">
      <c r="E296" s="7" t="str">
        <f t="shared" si="16"/>
        <v/>
      </c>
      <c r="H296" s="7" t="str">
        <f>IF(B296&lt;&gt;"Silicone","",IFERROR(XLOOKUP(D296,#REF!,#REF!),""))</f>
        <v/>
      </c>
      <c r="J296" s="7" t="str">
        <f ca="1">IFERROR(XLOOKUP(D296,'Spec_Single_H&amp;S'!B:B,'Spec_Single_H&amp;S'!E:E),
IFERROR(XLOOKUP(D296,#REF!,#REF!),""))</f>
        <v/>
      </c>
      <c r="K296" s="7" t="str">
        <f ca="1">IFERROR(XLOOKUP(D296,'Spec_Single_H&amp;S'!B:B,'Spec_Single_H&amp;S'!F:F),
IFERROR(XLOOKUP(D296,#REF!,#REF!),""))</f>
        <v/>
      </c>
      <c r="L296" s="7" t="str">
        <f t="shared" ca="1" si="15"/>
        <v/>
      </c>
    </row>
    <row r="297" spans="5:12" x14ac:dyDescent="0.3">
      <c r="E297" s="7" t="str">
        <f t="shared" si="16"/>
        <v/>
      </c>
      <c r="H297" s="7" t="str">
        <f>IF(B297&lt;&gt;"Silicone","",IFERROR(XLOOKUP(D297,#REF!,#REF!),""))</f>
        <v/>
      </c>
      <c r="J297" s="7" t="str">
        <f ca="1">IFERROR(XLOOKUP(D297,'Spec_Single_H&amp;S'!B:B,'Spec_Single_H&amp;S'!E:E),
IFERROR(XLOOKUP(D297,#REF!,#REF!),""))</f>
        <v/>
      </c>
      <c r="K297" s="7" t="str">
        <f ca="1">IFERROR(XLOOKUP(D297,'Spec_Single_H&amp;S'!B:B,'Spec_Single_H&amp;S'!F:F),
IFERROR(XLOOKUP(D297,#REF!,#REF!),""))</f>
        <v/>
      </c>
      <c r="L297" s="7" t="str">
        <f t="shared" ca="1" si="15"/>
        <v/>
      </c>
    </row>
    <row r="298" spans="5:12" x14ac:dyDescent="0.3">
      <c r="E298" s="7" t="str">
        <f t="shared" si="16"/>
        <v/>
      </c>
      <c r="H298" s="7" t="str">
        <f>IF(B298&lt;&gt;"Silicone","",IFERROR(XLOOKUP(D298,#REF!,#REF!),""))</f>
        <v/>
      </c>
      <c r="J298" s="7" t="str">
        <f ca="1">IFERROR(XLOOKUP(D298,'Spec_Single_H&amp;S'!B:B,'Spec_Single_H&amp;S'!E:E),
IFERROR(XLOOKUP(D298,#REF!,#REF!),""))</f>
        <v/>
      </c>
      <c r="K298" s="7" t="str">
        <f ca="1">IFERROR(XLOOKUP(D298,'Spec_Single_H&amp;S'!B:B,'Spec_Single_H&amp;S'!F:F),
IFERROR(XLOOKUP(D298,#REF!,#REF!),""))</f>
        <v/>
      </c>
      <c r="L298" s="7" t="str">
        <f t="shared" ca="1" si="15"/>
        <v/>
      </c>
    </row>
    <row r="299" spans="5:12" x14ac:dyDescent="0.3">
      <c r="E299" s="7" t="str">
        <f t="shared" si="16"/>
        <v/>
      </c>
      <c r="H299" s="7" t="str">
        <f>IF(B299&lt;&gt;"Silicone","",IFERROR(XLOOKUP(D299,#REF!,#REF!),""))</f>
        <v/>
      </c>
      <c r="J299" s="7" t="str">
        <f ca="1">IFERROR(XLOOKUP(D299,'Spec_Single_H&amp;S'!B:B,'Spec_Single_H&amp;S'!E:E),
IFERROR(XLOOKUP(D299,#REF!,#REF!),""))</f>
        <v/>
      </c>
      <c r="K299" s="7" t="str">
        <f ca="1">IFERROR(XLOOKUP(D299,'Spec_Single_H&amp;S'!B:B,'Spec_Single_H&amp;S'!F:F),
IFERROR(XLOOKUP(D299,#REF!,#REF!),""))</f>
        <v/>
      </c>
      <c r="L299" s="7" t="str">
        <f t="shared" ca="1" si="15"/>
        <v/>
      </c>
    </row>
    <row r="300" spans="5:12" x14ac:dyDescent="0.3">
      <c r="E300" s="7" t="str">
        <f t="shared" si="16"/>
        <v/>
      </c>
      <c r="H300" s="7" t="str">
        <f>IF(B300&lt;&gt;"Silicone","",IFERROR(XLOOKUP(D300,#REF!,#REF!),""))</f>
        <v/>
      </c>
      <c r="J300" s="7" t="str">
        <f ca="1">IFERROR(XLOOKUP(D300,'Spec_Single_H&amp;S'!B:B,'Spec_Single_H&amp;S'!E:E),
IFERROR(XLOOKUP(D300,#REF!,#REF!),""))</f>
        <v/>
      </c>
      <c r="K300" s="7" t="str">
        <f ca="1">IFERROR(XLOOKUP(D300,'Spec_Single_H&amp;S'!B:B,'Spec_Single_H&amp;S'!F:F),
IFERROR(XLOOKUP(D300,#REF!,#REF!),""))</f>
        <v/>
      </c>
      <c r="L300" s="7" t="str">
        <f t="shared" ca="1" si="15"/>
        <v/>
      </c>
    </row>
    <row r="301" spans="5:12" x14ac:dyDescent="0.3">
      <c r="E301" s="7" t="str">
        <f t="shared" si="16"/>
        <v/>
      </c>
      <c r="H301" s="7" t="str">
        <f>IF(B301&lt;&gt;"Silicone","",IFERROR(XLOOKUP(D301,#REF!,#REF!),""))</f>
        <v/>
      </c>
      <c r="J301" s="7" t="str">
        <f ca="1">IFERROR(XLOOKUP(D301,'Spec_Single_H&amp;S'!B:B,'Spec_Single_H&amp;S'!E:E),
IFERROR(XLOOKUP(D301,#REF!,#REF!),""))</f>
        <v/>
      </c>
      <c r="K301" s="7" t="str">
        <f ca="1">IFERROR(XLOOKUP(D301,'Spec_Single_H&amp;S'!B:B,'Spec_Single_H&amp;S'!F:F),
IFERROR(XLOOKUP(D301,#REF!,#REF!),""))</f>
        <v/>
      </c>
      <c r="L301" s="7" t="str">
        <f t="shared" ca="1" si="15"/>
        <v/>
      </c>
    </row>
    <row r="302" spans="5:12" x14ac:dyDescent="0.3">
      <c r="E302" s="7" t="str">
        <f t="shared" si="16"/>
        <v/>
      </c>
      <c r="H302" s="7" t="str">
        <f>IF(B302&lt;&gt;"Silicone","",IFERROR(XLOOKUP(D302,#REF!,#REF!),""))</f>
        <v/>
      </c>
      <c r="J302" s="7" t="str">
        <f ca="1">IFERROR(XLOOKUP(D302,'Spec_Single_H&amp;S'!B:B,'Spec_Single_H&amp;S'!E:E),
IFERROR(XLOOKUP(D302,#REF!,#REF!),""))</f>
        <v/>
      </c>
      <c r="K302" s="7" t="str">
        <f ca="1">IFERROR(XLOOKUP(D302,'Spec_Single_H&amp;S'!B:B,'Spec_Single_H&amp;S'!F:F),
IFERROR(XLOOKUP(D302,#REF!,#REF!),""))</f>
        <v/>
      </c>
      <c r="L302" s="7" t="str">
        <f t="shared" ca="1" si="15"/>
        <v/>
      </c>
    </row>
    <row r="303" spans="5:12" x14ac:dyDescent="0.3">
      <c r="E303" s="7" t="str">
        <f t="shared" si="16"/>
        <v/>
      </c>
      <c r="H303" s="7" t="str">
        <f>IF(B303&lt;&gt;"Silicone","",IFERROR(XLOOKUP(D303,#REF!,#REF!),""))</f>
        <v/>
      </c>
      <c r="J303" s="7" t="str">
        <f ca="1">IFERROR(XLOOKUP(D303,'Spec_Single_H&amp;S'!B:B,'Spec_Single_H&amp;S'!E:E),
IFERROR(XLOOKUP(D303,#REF!,#REF!),""))</f>
        <v/>
      </c>
      <c r="K303" s="7" t="str">
        <f ca="1">IFERROR(XLOOKUP(D303,'Spec_Single_H&amp;S'!B:B,'Spec_Single_H&amp;S'!F:F),
IFERROR(XLOOKUP(D303,#REF!,#REF!),""))</f>
        <v/>
      </c>
      <c r="L303" s="7" t="str">
        <f t="shared" ca="1" si="15"/>
        <v/>
      </c>
    </row>
    <row r="304" spans="5:12" x14ac:dyDescent="0.3">
      <c r="E304" s="7" t="str">
        <f t="shared" si="16"/>
        <v/>
      </c>
      <c r="H304" s="7" t="str">
        <f>IF(B304&lt;&gt;"Silicone","",IFERROR(XLOOKUP(D304,#REF!,#REF!),""))</f>
        <v/>
      </c>
      <c r="J304" s="7" t="str">
        <f ca="1">IFERROR(XLOOKUP(D304,'Spec_Single_H&amp;S'!B:B,'Spec_Single_H&amp;S'!E:E),
IFERROR(XLOOKUP(D304,#REF!,#REF!),""))</f>
        <v/>
      </c>
      <c r="K304" s="7" t="str">
        <f ca="1">IFERROR(XLOOKUP(D304,'Spec_Single_H&amp;S'!B:B,'Spec_Single_H&amp;S'!F:F),
IFERROR(XLOOKUP(D304,#REF!,#REF!),""))</f>
        <v/>
      </c>
      <c r="L304" s="7" t="str">
        <f t="shared" ca="1" si="15"/>
        <v/>
      </c>
    </row>
    <row r="305" spans="5:12" x14ac:dyDescent="0.3">
      <c r="E305" s="7" t="str">
        <f t="shared" si="16"/>
        <v/>
      </c>
      <c r="H305" s="7" t="str">
        <f>IF(B305&lt;&gt;"Silicone","",IFERROR(XLOOKUP(D305,#REF!,#REF!),""))</f>
        <v/>
      </c>
      <c r="J305" s="7" t="str">
        <f ca="1">IFERROR(XLOOKUP(D305,'Spec_Single_H&amp;S'!B:B,'Spec_Single_H&amp;S'!E:E),
IFERROR(XLOOKUP(D305,#REF!,#REF!),""))</f>
        <v/>
      </c>
      <c r="K305" s="7" t="str">
        <f ca="1">IFERROR(XLOOKUP(D305,'Spec_Single_H&amp;S'!B:B,'Spec_Single_H&amp;S'!F:F),
IFERROR(XLOOKUP(D305,#REF!,#REF!),""))</f>
        <v/>
      </c>
      <c r="L305" s="7" t="str">
        <f t="shared" ca="1" si="15"/>
        <v/>
      </c>
    </row>
    <row r="306" spans="5:12" x14ac:dyDescent="0.3">
      <c r="E306" s="7" t="str">
        <f t="shared" si="16"/>
        <v/>
      </c>
      <c r="H306" s="7" t="str">
        <f>IF(B306&lt;&gt;"Silicone","",IFERROR(XLOOKUP(D306,#REF!,#REF!),""))</f>
        <v/>
      </c>
      <c r="J306" s="7" t="str">
        <f ca="1">IFERROR(XLOOKUP(D306,'Spec_Single_H&amp;S'!B:B,'Spec_Single_H&amp;S'!E:E),
IFERROR(XLOOKUP(D306,#REF!,#REF!),""))</f>
        <v/>
      </c>
      <c r="K306" s="7" t="str">
        <f ca="1">IFERROR(XLOOKUP(D306,'Spec_Single_H&amp;S'!B:B,'Spec_Single_H&amp;S'!F:F),
IFERROR(XLOOKUP(D306,#REF!,#REF!),""))</f>
        <v/>
      </c>
      <c r="L306" s="7" t="str">
        <f t="shared" ca="1" si="15"/>
        <v/>
      </c>
    </row>
    <row r="307" spans="5:12" x14ac:dyDescent="0.3">
      <c r="E307" s="7" t="str">
        <f t="shared" si="16"/>
        <v/>
      </c>
      <c r="H307" s="7" t="str">
        <f>IF(B307&lt;&gt;"Silicone","",IFERROR(XLOOKUP(D307,#REF!,#REF!),""))</f>
        <v/>
      </c>
      <c r="J307" s="7" t="str">
        <f ca="1">IFERROR(XLOOKUP(D307,'Spec_Single_H&amp;S'!B:B,'Spec_Single_H&amp;S'!E:E),
IFERROR(XLOOKUP(D307,#REF!,#REF!),""))</f>
        <v/>
      </c>
      <c r="K307" s="7" t="str">
        <f ca="1">IFERROR(XLOOKUP(D307,'Spec_Single_H&amp;S'!B:B,'Spec_Single_H&amp;S'!F:F),
IFERROR(XLOOKUP(D307,#REF!,#REF!),""))</f>
        <v/>
      </c>
      <c r="L307" s="7" t="str">
        <f t="shared" ca="1" si="15"/>
        <v/>
      </c>
    </row>
    <row r="308" spans="5:12" x14ac:dyDescent="0.3">
      <c r="E308" s="7" t="str">
        <f t="shared" si="16"/>
        <v/>
      </c>
      <c r="H308" s="7" t="str">
        <f>IF(B308&lt;&gt;"Silicone","",IFERROR(XLOOKUP(D308,#REF!,#REF!),""))</f>
        <v/>
      </c>
      <c r="J308" s="7" t="str">
        <f ca="1">IFERROR(XLOOKUP(D308,'Spec_Single_H&amp;S'!B:B,'Spec_Single_H&amp;S'!E:E),
IFERROR(XLOOKUP(D308,#REF!,#REF!),""))</f>
        <v/>
      </c>
      <c r="K308" s="7" t="str">
        <f ca="1">IFERROR(XLOOKUP(D308,'Spec_Single_H&amp;S'!B:B,'Spec_Single_H&amp;S'!F:F),
IFERROR(XLOOKUP(D308,#REF!,#REF!),""))</f>
        <v/>
      </c>
      <c r="L308" s="7" t="str">
        <f t="shared" ca="1" si="15"/>
        <v/>
      </c>
    </row>
    <row r="309" spans="5:12" x14ac:dyDescent="0.3">
      <c r="E309" s="7" t="str">
        <f t="shared" si="16"/>
        <v/>
      </c>
      <c r="H309" s="7" t="str">
        <f>IF(B309&lt;&gt;"Silicone","",IFERROR(XLOOKUP(D309,#REF!,#REF!),""))</f>
        <v/>
      </c>
      <c r="J309" s="7" t="str">
        <f ca="1">IFERROR(XLOOKUP(D309,'Spec_Single_H&amp;S'!B:B,'Spec_Single_H&amp;S'!E:E),
IFERROR(XLOOKUP(D309,#REF!,#REF!),""))</f>
        <v/>
      </c>
      <c r="K309" s="7" t="str">
        <f ca="1">IFERROR(XLOOKUP(D309,'Spec_Single_H&amp;S'!B:B,'Spec_Single_H&amp;S'!F:F),
IFERROR(XLOOKUP(D309,#REF!,#REF!),""))</f>
        <v/>
      </c>
      <c r="L309" s="7" t="str">
        <f t="shared" ca="1" si="15"/>
        <v/>
      </c>
    </row>
    <row r="310" spans="5:12" x14ac:dyDescent="0.3">
      <c r="E310" s="7" t="str">
        <f t="shared" si="16"/>
        <v/>
      </c>
      <c r="H310" s="7" t="str">
        <f>IF(B310&lt;&gt;"Silicone","",IFERROR(XLOOKUP(D310,#REF!,#REF!),""))</f>
        <v/>
      </c>
      <c r="J310" s="7" t="str">
        <f ca="1">IFERROR(XLOOKUP(D310,'Spec_Single_H&amp;S'!B:B,'Spec_Single_H&amp;S'!E:E),
IFERROR(XLOOKUP(D310,#REF!,#REF!),""))</f>
        <v/>
      </c>
      <c r="K310" s="7" t="str">
        <f ca="1">IFERROR(XLOOKUP(D310,'Spec_Single_H&amp;S'!B:B,'Spec_Single_H&amp;S'!F:F),
IFERROR(XLOOKUP(D310,#REF!,#REF!),""))</f>
        <v/>
      </c>
      <c r="L310" s="7" t="str">
        <f t="shared" ca="1" si="15"/>
        <v/>
      </c>
    </row>
    <row r="311" spans="5:12" x14ac:dyDescent="0.3">
      <c r="E311" s="7" t="str">
        <f t="shared" si="16"/>
        <v/>
      </c>
      <c r="H311" s="7" t="str">
        <f>IF(B311&lt;&gt;"Silicone","",IFERROR(XLOOKUP(D311,#REF!,#REF!),""))</f>
        <v/>
      </c>
      <c r="J311" s="7" t="str">
        <f ca="1">IFERROR(XLOOKUP(D311,'Spec_Single_H&amp;S'!B:B,'Spec_Single_H&amp;S'!E:E),
IFERROR(XLOOKUP(D311,#REF!,#REF!),""))</f>
        <v/>
      </c>
      <c r="K311" s="7" t="str">
        <f ca="1">IFERROR(XLOOKUP(D311,'Spec_Single_H&amp;S'!B:B,'Spec_Single_H&amp;S'!F:F),
IFERROR(XLOOKUP(D311,#REF!,#REF!),""))</f>
        <v/>
      </c>
      <c r="L311" s="7" t="str">
        <f t="shared" ca="1" si="15"/>
        <v/>
      </c>
    </row>
    <row r="312" spans="5:12" x14ac:dyDescent="0.3">
      <c r="E312" s="7" t="str">
        <f t="shared" si="16"/>
        <v/>
      </c>
      <c r="H312" s="7" t="str">
        <f>IF(B312&lt;&gt;"Silicone","",IFERROR(XLOOKUP(D312,#REF!,#REF!),""))</f>
        <v/>
      </c>
      <c r="J312" s="7" t="str">
        <f ca="1">IFERROR(XLOOKUP(D312,'Spec_Single_H&amp;S'!B:B,'Spec_Single_H&amp;S'!E:E),
IFERROR(XLOOKUP(D312,#REF!,#REF!),""))</f>
        <v/>
      </c>
      <c r="K312" s="7" t="str">
        <f ca="1">IFERROR(XLOOKUP(D312,'Spec_Single_H&amp;S'!B:B,'Spec_Single_H&amp;S'!F:F),
IFERROR(XLOOKUP(D312,#REF!,#REF!),""))</f>
        <v/>
      </c>
      <c r="L312" s="7" t="str">
        <f t="shared" ca="1" si="15"/>
        <v/>
      </c>
    </row>
    <row r="313" spans="5:12" x14ac:dyDescent="0.3">
      <c r="E313" s="7" t="str">
        <f t="shared" si="16"/>
        <v/>
      </c>
      <c r="H313" s="7" t="str">
        <f>IF(B313&lt;&gt;"Silicone","",IFERROR(XLOOKUP(D313,#REF!,#REF!),""))</f>
        <v/>
      </c>
      <c r="J313" s="7" t="str">
        <f ca="1">IFERROR(XLOOKUP(D313,'Spec_Single_H&amp;S'!B:B,'Spec_Single_H&amp;S'!E:E),
IFERROR(XLOOKUP(D313,#REF!,#REF!),""))</f>
        <v/>
      </c>
      <c r="K313" s="7" t="str">
        <f ca="1">IFERROR(XLOOKUP(D313,'Spec_Single_H&amp;S'!B:B,'Spec_Single_H&amp;S'!F:F),
IFERROR(XLOOKUP(D313,#REF!,#REF!),""))</f>
        <v/>
      </c>
      <c r="L313" s="7" t="str">
        <f t="shared" ca="1" si="15"/>
        <v/>
      </c>
    </row>
    <row r="314" spans="5:12" x14ac:dyDescent="0.3">
      <c r="E314" s="7" t="str">
        <f t="shared" si="16"/>
        <v/>
      </c>
      <c r="H314" s="7" t="str">
        <f>IF(B314&lt;&gt;"Silicone","",IFERROR(XLOOKUP(D314,#REF!,#REF!),""))</f>
        <v/>
      </c>
      <c r="J314" s="7" t="str">
        <f ca="1">IFERROR(XLOOKUP(D314,'Spec_Single_H&amp;S'!B:B,'Spec_Single_H&amp;S'!E:E),
IFERROR(XLOOKUP(D314,#REF!,#REF!),""))</f>
        <v/>
      </c>
      <c r="K314" s="7" t="str">
        <f ca="1">IFERROR(XLOOKUP(D314,'Spec_Single_H&amp;S'!B:B,'Spec_Single_H&amp;S'!F:F),
IFERROR(XLOOKUP(D314,#REF!,#REF!),""))</f>
        <v/>
      </c>
      <c r="L314" s="7" t="str">
        <f t="shared" ca="1" si="15"/>
        <v/>
      </c>
    </row>
    <row r="315" spans="5:12" x14ac:dyDescent="0.3">
      <c r="E315" s="7" t="str">
        <f t="shared" si="16"/>
        <v/>
      </c>
      <c r="H315" s="7" t="str">
        <f>IF(B315&lt;&gt;"Silicone","",IFERROR(XLOOKUP(D315,#REF!,#REF!),""))</f>
        <v/>
      </c>
      <c r="J315" s="7" t="str">
        <f ca="1">IFERROR(XLOOKUP(D315,'Spec_Single_H&amp;S'!B:B,'Spec_Single_H&amp;S'!E:E),
IFERROR(XLOOKUP(D315,#REF!,#REF!),""))</f>
        <v/>
      </c>
      <c r="K315" s="7" t="str">
        <f ca="1">IFERROR(XLOOKUP(D315,'Spec_Single_H&amp;S'!B:B,'Spec_Single_H&amp;S'!F:F),
IFERROR(XLOOKUP(D315,#REF!,#REF!),""))</f>
        <v/>
      </c>
      <c r="L315" s="7" t="str">
        <f t="shared" ca="1" si="15"/>
        <v/>
      </c>
    </row>
    <row r="316" spans="5:12" x14ac:dyDescent="0.3">
      <c r="E316" s="7" t="str">
        <f t="shared" si="16"/>
        <v/>
      </c>
      <c r="H316" s="7" t="str">
        <f>IF(B316&lt;&gt;"Silicone","",IFERROR(XLOOKUP(D316,#REF!,#REF!),""))</f>
        <v/>
      </c>
      <c r="J316" s="7" t="str">
        <f ca="1">IFERROR(XLOOKUP(D316,'Spec_Single_H&amp;S'!B:B,'Spec_Single_H&amp;S'!E:E),
IFERROR(XLOOKUP(D316,#REF!,#REF!),""))</f>
        <v/>
      </c>
      <c r="K316" s="7" t="str">
        <f ca="1">IFERROR(XLOOKUP(D316,'Spec_Single_H&amp;S'!B:B,'Spec_Single_H&amp;S'!F:F),
IFERROR(XLOOKUP(D316,#REF!,#REF!),""))</f>
        <v/>
      </c>
      <c r="L316" s="7" t="str">
        <f t="shared" ca="1" si="15"/>
        <v/>
      </c>
    </row>
    <row r="317" spans="5:12" x14ac:dyDescent="0.3">
      <c r="E317" s="7" t="str">
        <f t="shared" si="16"/>
        <v/>
      </c>
      <c r="H317" s="7" t="str">
        <f>IF(B317&lt;&gt;"Silicone","",IFERROR(XLOOKUP(D317,#REF!,#REF!),""))</f>
        <v/>
      </c>
      <c r="J317" s="7" t="str">
        <f ca="1">IFERROR(XLOOKUP(D317,'Spec_Single_H&amp;S'!B:B,'Spec_Single_H&amp;S'!E:E),
IFERROR(XLOOKUP(D317,#REF!,#REF!),""))</f>
        <v/>
      </c>
      <c r="K317" s="7" t="str">
        <f ca="1">IFERROR(XLOOKUP(D317,'Spec_Single_H&amp;S'!B:B,'Spec_Single_H&amp;S'!F:F),
IFERROR(XLOOKUP(D317,#REF!,#REF!),""))</f>
        <v/>
      </c>
      <c r="L317" s="7" t="str">
        <f t="shared" ca="1" si="15"/>
        <v/>
      </c>
    </row>
    <row r="318" spans="5:12" x14ac:dyDescent="0.3">
      <c r="E318" s="7" t="str">
        <f t="shared" si="16"/>
        <v/>
      </c>
      <c r="H318" s="7" t="str">
        <f>IF(B318&lt;&gt;"Silicone","",IFERROR(XLOOKUP(D318,#REF!,#REF!),""))</f>
        <v/>
      </c>
      <c r="J318" s="7" t="str">
        <f ca="1">IFERROR(XLOOKUP(D318,'Spec_Single_H&amp;S'!B:B,'Spec_Single_H&amp;S'!E:E),
IFERROR(XLOOKUP(D318,#REF!,#REF!),""))</f>
        <v/>
      </c>
      <c r="K318" s="7" t="str">
        <f ca="1">IFERROR(XLOOKUP(D318,'Spec_Single_H&amp;S'!B:B,'Spec_Single_H&amp;S'!F:F),
IFERROR(XLOOKUP(D318,#REF!,#REF!),""))</f>
        <v/>
      </c>
      <c r="L318" s="7" t="str">
        <f t="shared" ca="1" si="15"/>
        <v/>
      </c>
    </row>
    <row r="319" spans="5:12" x14ac:dyDescent="0.3">
      <c r="E319" s="7" t="str">
        <f t="shared" si="16"/>
        <v/>
      </c>
      <c r="H319" s="7" t="str">
        <f>IF(B319&lt;&gt;"Silicone","",IFERROR(XLOOKUP(D319,#REF!,#REF!),""))</f>
        <v/>
      </c>
      <c r="J319" s="7" t="str">
        <f ca="1">IFERROR(XLOOKUP(D319,'Spec_Single_H&amp;S'!B:B,'Spec_Single_H&amp;S'!E:E),
IFERROR(XLOOKUP(D319,#REF!,#REF!),""))</f>
        <v/>
      </c>
      <c r="K319" s="7" t="str">
        <f ca="1">IFERROR(XLOOKUP(D319,'Spec_Single_H&amp;S'!B:B,'Spec_Single_H&amp;S'!F:F),
IFERROR(XLOOKUP(D319,#REF!,#REF!),""))</f>
        <v/>
      </c>
      <c r="L319" s="7" t="str">
        <f t="shared" ca="1" si="15"/>
        <v/>
      </c>
    </row>
    <row r="320" spans="5:12" x14ac:dyDescent="0.3">
      <c r="E320" s="7" t="str">
        <f t="shared" si="16"/>
        <v/>
      </c>
      <c r="H320" s="7" t="str">
        <f>IF(B320&lt;&gt;"Silicone","",IFERROR(XLOOKUP(D320,#REF!,#REF!),""))</f>
        <v/>
      </c>
      <c r="J320" s="7" t="str">
        <f ca="1">IFERROR(XLOOKUP(D320,'Spec_Single_H&amp;S'!B:B,'Spec_Single_H&amp;S'!E:E),
IFERROR(XLOOKUP(D320,#REF!,#REF!),""))</f>
        <v/>
      </c>
      <c r="K320" s="7" t="str">
        <f ca="1">IFERROR(XLOOKUP(D320,'Spec_Single_H&amp;S'!B:B,'Spec_Single_H&amp;S'!F:F),
IFERROR(XLOOKUP(D320,#REF!,#REF!),""))</f>
        <v/>
      </c>
      <c r="L320" s="7" t="str">
        <f t="shared" ca="1" si="15"/>
        <v/>
      </c>
    </row>
    <row r="321" spans="5:12" x14ac:dyDescent="0.3">
      <c r="E321" s="7" t="str">
        <f t="shared" si="16"/>
        <v/>
      </c>
      <c r="H321" s="7" t="str">
        <f>IF(B321&lt;&gt;"Silicone","",IFERROR(XLOOKUP(D321,#REF!,#REF!),""))</f>
        <v/>
      </c>
      <c r="J321" s="7" t="str">
        <f ca="1">IFERROR(XLOOKUP(D321,'Spec_Single_H&amp;S'!B:B,'Spec_Single_H&amp;S'!E:E),
IFERROR(XLOOKUP(D321,#REF!,#REF!),""))</f>
        <v/>
      </c>
      <c r="K321" s="7" t="str">
        <f ca="1">IFERROR(XLOOKUP(D321,'Spec_Single_H&amp;S'!B:B,'Spec_Single_H&amp;S'!F:F),
IFERROR(XLOOKUP(D321,#REF!,#REF!),""))</f>
        <v/>
      </c>
      <c r="L321" s="7" t="str">
        <f t="shared" ca="1" si="15"/>
        <v/>
      </c>
    </row>
    <row r="322" spans="5:12" x14ac:dyDescent="0.3">
      <c r="E322" s="7" t="str">
        <f t="shared" si="16"/>
        <v/>
      </c>
      <c r="H322" s="7" t="str">
        <f>IF(B322&lt;&gt;"Silicone","",IFERROR(XLOOKUP(D322,#REF!,#REF!),""))</f>
        <v/>
      </c>
      <c r="J322" s="7" t="str">
        <f ca="1">IFERROR(XLOOKUP(D322,'Spec_Single_H&amp;S'!B:B,'Spec_Single_H&amp;S'!E:E),
IFERROR(XLOOKUP(D322,#REF!,#REF!),""))</f>
        <v/>
      </c>
      <c r="K322" s="7" t="str">
        <f ca="1">IFERROR(XLOOKUP(D322,'Spec_Single_H&amp;S'!B:B,'Spec_Single_H&amp;S'!F:F),
IFERROR(XLOOKUP(D322,#REF!,#REF!),""))</f>
        <v/>
      </c>
      <c r="L322" s="7" t="str">
        <f t="shared" ca="1" si="15"/>
        <v/>
      </c>
    </row>
    <row r="323" spans="5:12" x14ac:dyDescent="0.3">
      <c r="E323" s="7" t="str">
        <f t="shared" si="16"/>
        <v/>
      </c>
      <c r="H323" s="7" t="str">
        <f>IF(B323&lt;&gt;"Silicone","",IFERROR(XLOOKUP(D323,#REF!,#REF!),""))</f>
        <v/>
      </c>
      <c r="J323" s="7" t="str">
        <f ca="1">IFERROR(XLOOKUP(D323,'Spec_Single_H&amp;S'!B:B,'Spec_Single_H&amp;S'!E:E),
IFERROR(XLOOKUP(D323,#REF!,#REF!),""))</f>
        <v/>
      </c>
      <c r="K323" s="7" t="str">
        <f ca="1">IFERROR(XLOOKUP(D323,'Spec_Single_H&amp;S'!B:B,'Spec_Single_H&amp;S'!F:F),
IFERROR(XLOOKUP(D323,#REF!,#REF!),""))</f>
        <v/>
      </c>
      <c r="L323" s="7" t="str">
        <f t="shared" ca="1" si="15"/>
        <v/>
      </c>
    </row>
    <row r="324" spans="5:12" x14ac:dyDescent="0.3">
      <c r="E324" s="7" t="str">
        <f t="shared" si="16"/>
        <v/>
      </c>
      <c r="H324" s="7" t="str">
        <f>IF(B324&lt;&gt;"Silicone","",IFERROR(XLOOKUP(D324,#REF!,#REF!),""))</f>
        <v/>
      </c>
      <c r="J324" s="7" t="str">
        <f ca="1">IFERROR(XLOOKUP(D324,'Spec_Single_H&amp;S'!B:B,'Spec_Single_H&amp;S'!E:E),
IFERROR(XLOOKUP(D324,#REF!,#REF!),""))</f>
        <v/>
      </c>
      <c r="K324" s="7" t="str">
        <f ca="1">IFERROR(XLOOKUP(D324,'Spec_Single_H&amp;S'!B:B,'Spec_Single_H&amp;S'!F:F),
IFERROR(XLOOKUP(D324,#REF!,#REF!),""))</f>
        <v/>
      </c>
      <c r="L324" s="7" t="str">
        <f t="shared" ca="1" si="15"/>
        <v/>
      </c>
    </row>
    <row r="325" spans="5:12" x14ac:dyDescent="0.3">
      <c r="E325" s="7" t="str">
        <f t="shared" si="16"/>
        <v/>
      </c>
      <c r="H325" s="7" t="str">
        <f>IF(B325&lt;&gt;"Silicone","",IFERROR(XLOOKUP(D325,#REF!,#REF!),""))</f>
        <v/>
      </c>
      <c r="J325" s="7" t="str">
        <f ca="1">IFERROR(XLOOKUP(D325,'Spec_Single_H&amp;S'!B:B,'Spec_Single_H&amp;S'!E:E),
IFERROR(XLOOKUP(D325,#REF!,#REF!),""))</f>
        <v/>
      </c>
      <c r="K325" s="7" t="str">
        <f ca="1">IFERROR(XLOOKUP(D325,'Spec_Single_H&amp;S'!B:B,'Spec_Single_H&amp;S'!F:F),
IFERROR(XLOOKUP(D325,#REF!,#REF!),""))</f>
        <v/>
      </c>
      <c r="L325" s="7" t="str">
        <f t="shared" ca="1" si="15"/>
        <v/>
      </c>
    </row>
    <row r="326" spans="5:12" x14ac:dyDescent="0.3">
      <c r="E326" s="7" t="str">
        <f t="shared" si="16"/>
        <v/>
      </c>
      <c r="H326" s="7" t="str">
        <f>IF(B326&lt;&gt;"Silicone","",IFERROR(XLOOKUP(D326,#REF!,#REF!),""))</f>
        <v/>
      </c>
      <c r="J326" s="7" t="str">
        <f ca="1">IFERROR(XLOOKUP(D326,'Spec_Single_H&amp;S'!B:B,'Spec_Single_H&amp;S'!E:E),
IFERROR(XLOOKUP(D326,#REF!,#REF!),""))</f>
        <v/>
      </c>
      <c r="K326" s="7" t="str">
        <f ca="1">IFERROR(XLOOKUP(D326,'Spec_Single_H&amp;S'!B:B,'Spec_Single_H&amp;S'!F:F),
IFERROR(XLOOKUP(D326,#REF!,#REF!),""))</f>
        <v/>
      </c>
      <c r="L326" s="7" t="str">
        <f t="shared" ca="1" si="15"/>
        <v/>
      </c>
    </row>
    <row r="327" spans="5:12" x14ac:dyDescent="0.3">
      <c r="E327" s="7" t="str">
        <f t="shared" si="16"/>
        <v/>
      </c>
      <c r="H327" s="7" t="str">
        <f>IF(B327&lt;&gt;"Silicone","",IFERROR(XLOOKUP(D327,#REF!,#REF!),""))</f>
        <v/>
      </c>
      <c r="J327" s="7" t="str">
        <f ca="1">IFERROR(XLOOKUP(D327,'Spec_Single_H&amp;S'!B:B,'Spec_Single_H&amp;S'!E:E),
IFERROR(XLOOKUP(D327,#REF!,#REF!),""))</f>
        <v/>
      </c>
      <c r="K327" s="7" t="str">
        <f ca="1">IFERROR(XLOOKUP(D327,'Spec_Single_H&amp;S'!B:B,'Spec_Single_H&amp;S'!F:F),
IFERROR(XLOOKUP(D327,#REF!,#REF!),""))</f>
        <v/>
      </c>
      <c r="L327" s="7" t="str">
        <f t="shared" ca="1" si="15"/>
        <v/>
      </c>
    </row>
    <row r="328" spans="5:12" x14ac:dyDescent="0.3">
      <c r="E328" s="7" t="str">
        <f t="shared" si="16"/>
        <v/>
      </c>
      <c r="H328" s="7" t="str">
        <f>IF(B328&lt;&gt;"Silicone","",IFERROR(XLOOKUP(D328,#REF!,#REF!),""))</f>
        <v/>
      </c>
      <c r="J328" s="7" t="str">
        <f ca="1">IFERROR(XLOOKUP(D328,'Spec_Single_H&amp;S'!B:B,'Spec_Single_H&amp;S'!E:E),
IFERROR(XLOOKUP(D328,#REF!,#REF!),""))</f>
        <v/>
      </c>
      <c r="K328" s="7" t="str">
        <f ca="1">IFERROR(XLOOKUP(D328,'Spec_Single_H&amp;S'!B:B,'Spec_Single_H&amp;S'!F:F),
IFERROR(XLOOKUP(D328,#REF!,#REF!),""))</f>
        <v/>
      </c>
      <c r="L328" s="7" t="str">
        <f t="shared" ref="L328:L391" ca="1" si="17">IF(AND(NOT(ISBLANK(I328)),I328&gt;=J328,I328&lt;=K328),"적합",IF(ISBLANK(I328),"", "부적합"))</f>
        <v/>
      </c>
    </row>
    <row r="329" spans="5:12" x14ac:dyDescent="0.3">
      <c r="E329" s="7" t="str">
        <f t="shared" ref="E329:E392" si="18">IF(D329="","",IF(B329="Silicone", "SL" &amp; IF(C329="Black","B",IF(C329="White","W",IF(C329="Blue","U",IF(C329="Green","G",IF(C329="Yellow","Y",IF(C329="Red","R",IF(C329="Pink","P",""))))))) &amp; TEXT(A329,"yymmdd") &amp; "01",IF(LEFT(D329,3)="NPL","NPL","PL") &amp; IF(C329="Black","B",IF(C329="White","W",IF(C329="Blue","U",IF(C329="Green","G",IF(C329="Yellow","Y",IF(C329="Red","R",IF(C329="Pink","P",""))))))) &amp; TEXT(A329,"yymmdd") &amp; "01"))</f>
        <v/>
      </c>
      <c r="H329" s="7" t="str">
        <f>IF(B329&lt;&gt;"Silicone","",IFERROR(XLOOKUP(D329,#REF!,#REF!),""))</f>
        <v/>
      </c>
      <c r="J329" s="7" t="str">
        <f ca="1">IFERROR(XLOOKUP(D329,'Spec_Single_H&amp;S'!B:B,'Spec_Single_H&amp;S'!E:E),
IFERROR(XLOOKUP(D329,#REF!,#REF!),""))</f>
        <v/>
      </c>
      <c r="K329" s="7" t="str">
        <f ca="1">IFERROR(XLOOKUP(D329,'Spec_Single_H&amp;S'!B:B,'Spec_Single_H&amp;S'!F:F),
IFERROR(XLOOKUP(D329,#REF!,#REF!),""))</f>
        <v/>
      </c>
      <c r="L329" s="7" t="str">
        <f t="shared" ca="1" si="17"/>
        <v/>
      </c>
    </row>
    <row r="330" spans="5:12" x14ac:dyDescent="0.3">
      <c r="E330" s="7" t="str">
        <f t="shared" si="18"/>
        <v/>
      </c>
      <c r="H330" s="7" t="str">
        <f>IF(B330&lt;&gt;"Silicone","",IFERROR(XLOOKUP(D330,#REF!,#REF!),""))</f>
        <v/>
      </c>
      <c r="J330" s="7" t="str">
        <f ca="1">IFERROR(XLOOKUP(D330,'Spec_Single_H&amp;S'!B:B,'Spec_Single_H&amp;S'!E:E),
IFERROR(XLOOKUP(D330,#REF!,#REF!),""))</f>
        <v/>
      </c>
      <c r="K330" s="7" t="str">
        <f ca="1">IFERROR(XLOOKUP(D330,'Spec_Single_H&amp;S'!B:B,'Spec_Single_H&amp;S'!F:F),
IFERROR(XLOOKUP(D330,#REF!,#REF!),""))</f>
        <v/>
      </c>
      <c r="L330" s="7" t="str">
        <f t="shared" ca="1" si="17"/>
        <v/>
      </c>
    </row>
    <row r="331" spans="5:12" x14ac:dyDescent="0.3">
      <c r="E331" s="7" t="str">
        <f t="shared" si="18"/>
        <v/>
      </c>
      <c r="H331" s="7" t="str">
        <f>IF(B331&lt;&gt;"Silicone","",IFERROR(XLOOKUP(D331,#REF!,#REF!),""))</f>
        <v/>
      </c>
      <c r="J331" s="7" t="str">
        <f ca="1">IFERROR(XLOOKUP(D331,'Spec_Single_H&amp;S'!B:B,'Spec_Single_H&amp;S'!E:E),
IFERROR(XLOOKUP(D331,#REF!,#REF!),""))</f>
        <v/>
      </c>
      <c r="K331" s="7" t="str">
        <f ca="1">IFERROR(XLOOKUP(D331,'Spec_Single_H&amp;S'!B:B,'Spec_Single_H&amp;S'!F:F),
IFERROR(XLOOKUP(D331,#REF!,#REF!),""))</f>
        <v/>
      </c>
      <c r="L331" s="7" t="str">
        <f t="shared" ca="1" si="17"/>
        <v/>
      </c>
    </row>
    <row r="332" spans="5:12" x14ac:dyDescent="0.3">
      <c r="E332" s="7" t="str">
        <f t="shared" si="18"/>
        <v/>
      </c>
      <c r="H332" s="7" t="str">
        <f>IF(B332&lt;&gt;"Silicone","",IFERROR(XLOOKUP(D332,#REF!,#REF!),""))</f>
        <v/>
      </c>
      <c r="J332" s="7" t="str">
        <f ca="1">IFERROR(XLOOKUP(D332,'Spec_Single_H&amp;S'!B:B,'Spec_Single_H&amp;S'!E:E),
IFERROR(XLOOKUP(D332,#REF!,#REF!),""))</f>
        <v/>
      </c>
      <c r="K332" s="7" t="str">
        <f ca="1">IFERROR(XLOOKUP(D332,'Spec_Single_H&amp;S'!B:B,'Spec_Single_H&amp;S'!F:F),
IFERROR(XLOOKUP(D332,#REF!,#REF!),""))</f>
        <v/>
      </c>
      <c r="L332" s="7" t="str">
        <f t="shared" ca="1" si="17"/>
        <v/>
      </c>
    </row>
    <row r="333" spans="5:12" x14ac:dyDescent="0.3">
      <c r="E333" s="7" t="str">
        <f t="shared" si="18"/>
        <v/>
      </c>
      <c r="H333" s="7" t="str">
        <f>IF(B333&lt;&gt;"Silicone","",IFERROR(XLOOKUP(D333,#REF!,#REF!),""))</f>
        <v/>
      </c>
      <c r="J333" s="7" t="str">
        <f ca="1">IFERROR(XLOOKUP(D333,'Spec_Single_H&amp;S'!B:B,'Spec_Single_H&amp;S'!E:E),
IFERROR(XLOOKUP(D333,#REF!,#REF!),""))</f>
        <v/>
      </c>
      <c r="K333" s="7" t="str">
        <f ca="1">IFERROR(XLOOKUP(D333,'Spec_Single_H&amp;S'!B:B,'Spec_Single_H&amp;S'!F:F),
IFERROR(XLOOKUP(D333,#REF!,#REF!),""))</f>
        <v/>
      </c>
      <c r="L333" s="7" t="str">
        <f t="shared" ca="1" si="17"/>
        <v/>
      </c>
    </row>
    <row r="334" spans="5:12" x14ac:dyDescent="0.3">
      <c r="E334" s="7" t="str">
        <f t="shared" si="18"/>
        <v/>
      </c>
      <c r="H334" s="7" t="str">
        <f>IF(B334&lt;&gt;"Silicone","",IFERROR(XLOOKUP(D334,#REF!,#REF!),""))</f>
        <v/>
      </c>
      <c r="J334" s="7" t="str">
        <f ca="1">IFERROR(XLOOKUP(D334,'Spec_Single_H&amp;S'!B:B,'Spec_Single_H&amp;S'!E:E),
IFERROR(XLOOKUP(D334,#REF!,#REF!),""))</f>
        <v/>
      </c>
      <c r="K334" s="7" t="str">
        <f ca="1">IFERROR(XLOOKUP(D334,'Spec_Single_H&amp;S'!B:B,'Spec_Single_H&amp;S'!F:F),
IFERROR(XLOOKUP(D334,#REF!,#REF!),""))</f>
        <v/>
      </c>
      <c r="L334" s="7" t="str">
        <f t="shared" ca="1" si="17"/>
        <v/>
      </c>
    </row>
    <row r="335" spans="5:12" x14ac:dyDescent="0.3">
      <c r="E335" s="7" t="str">
        <f t="shared" si="18"/>
        <v/>
      </c>
      <c r="H335" s="7" t="str">
        <f>IF(B335&lt;&gt;"Silicone","",IFERROR(XLOOKUP(D335,#REF!,#REF!),""))</f>
        <v/>
      </c>
      <c r="J335" s="7" t="str">
        <f ca="1">IFERROR(XLOOKUP(D335,'Spec_Single_H&amp;S'!B:B,'Spec_Single_H&amp;S'!E:E),
IFERROR(XLOOKUP(D335,#REF!,#REF!),""))</f>
        <v/>
      </c>
      <c r="K335" s="7" t="str">
        <f ca="1">IFERROR(XLOOKUP(D335,'Spec_Single_H&amp;S'!B:B,'Spec_Single_H&amp;S'!F:F),
IFERROR(XLOOKUP(D335,#REF!,#REF!),""))</f>
        <v/>
      </c>
      <c r="L335" s="7" t="str">
        <f t="shared" ca="1" si="17"/>
        <v/>
      </c>
    </row>
    <row r="336" spans="5:12" x14ac:dyDescent="0.3">
      <c r="E336" s="7" t="str">
        <f t="shared" si="18"/>
        <v/>
      </c>
      <c r="H336" s="7" t="str">
        <f>IF(B336&lt;&gt;"Silicone","",IFERROR(XLOOKUP(D336,#REF!,#REF!),""))</f>
        <v/>
      </c>
      <c r="J336" s="7" t="str">
        <f ca="1">IFERROR(XLOOKUP(D336,'Spec_Single_H&amp;S'!B:B,'Spec_Single_H&amp;S'!E:E),
IFERROR(XLOOKUP(D336,#REF!,#REF!),""))</f>
        <v/>
      </c>
      <c r="K336" s="7" t="str">
        <f ca="1">IFERROR(XLOOKUP(D336,'Spec_Single_H&amp;S'!B:B,'Spec_Single_H&amp;S'!F:F),
IFERROR(XLOOKUP(D336,#REF!,#REF!),""))</f>
        <v/>
      </c>
      <c r="L336" s="7" t="str">
        <f t="shared" ca="1" si="17"/>
        <v/>
      </c>
    </row>
    <row r="337" spans="5:12" x14ac:dyDescent="0.3">
      <c r="E337" s="7" t="str">
        <f t="shared" si="18"/>
        <v/>
      </c>
      <c r="H337" s="7" t="str">
        <f>IF(B337&lt;&gt;"Silicone","",IFERROR(XLOOKUP(D337,#REF!,#REF!),""))</f>
        <v/>
      </c>
      <c r="J337" s="7" t="str">
        <f ca="1">IFERROR(XLOOKUP(D337,'Spec_Single_H&amp;S'!B:B,'Spec_Single_H&amp;S'!E:E),
IFERROR(XLOOKUP(D337,#REF!,#REF!),""))</f>
        <v/>
      </c>
      <c r="K337" s="7" t="str">
        <f ca="1">IFERROR(XLOOKUP(D337,'Spec_Single_H&amp;S'!B:B,'Spec_Single_H&amp;S'!F:F),
IFERROR(XLOOKUP(D337,#REF!,#REF!),""))</f>
        <v/>
      </c>
      <c r="L337" s="7" t="str">
        <f t="shared" ca="1" si="17"/>
        <v/>
      </c>
    </row>
    <row r="338" spans="5:12" x14ac:dyDescent="0.3">
      <c r="E338" s="7" t="str">
        <f t="shared" si="18"/>
        <v/>
      </c>
      <c r="H338" s="7" t="str">
        <f>IF(B338&lt;&gt;"Silicone","",IFERROR(XLOOKUP(D338,#REF!,#REF!),""))</f>
        <v/>
      </c>
      <c r="J338" s="7" t="str">
        <f ca="1">IFERROR(XLOOKUP(D338,'Spec_Single_H&amp;S'!B:B,'Spec_Single_H&amp;S'!E:E),
IFERROR(XLOOKUP(D338,#REF!,#REF!),""))</f>
        <v/>
      </c>
      <c r="K338" s="7" t="str">
        <f ca="1">IFERROR(XLOOKUP(D338,'Spec_Single_H&amp;S'!B:B,'Spec_Single_H&amp;S'!F:F),
IFERROR(XLOOKUP(D338,#REF!,#REF!),""))</f>
        <v/>
      </c>
      <c r="L338" s="7" t="str">
        <f t="shared" ca="1" si="17"/>
        <v/>
      </c>
    </row>
    <row r="339" spans="5:12" x14ac:dyDescent="0.3">
      <c r="E339" s="7" t="str">
        <f t="shared" si="18"/>
        <v/>
      </c>
      <c r="H339" s="7" t="str">
        <f>IF(B339&lt;&gt;"Silicone","",IFERROR(XLOOKUP(D339,#REF!,#REF!),""))</f>
        <v/>
      </c>
      <c r="J339" s="7" t="str">
        <f ca="1">IFERROR(XLOOKUP(D339,'Spec_Single_H&amp;S'!B:B,'Spec_Single_H&amp;S'!E:E),
IFERROR(XLOOKUP(D339,#REF!,#REF!),""))</f>
        <v/>
      </c>
      <c r="K339" s="7" t="str">
        <f ca="1">IFERROR(XLOOKUP(D339,'Spec_Single_H&amp;S'!B:B,'Spec_Single_H&amp;S'!F:F),
IFERROR(XLOOKUP(D339,#REF!,#REF!),""))</f>
        <v/>
      </c>
      <c r="L339" s="7" t="str">
        <f t="shared" ca="1" si="17"/>
        <v/>
      </c>
    </row>
    <row r="340" spans="5:12" x14ac:dyDescent="0.3">
      <c r="E340" s="7" t="str">
        <f t="shared" si="18"/>
        <v/>
      </c>
      <c r="H340" s="7" t="str">
        <f>IF(B340&lt;&gt;"Silicone","",IFERROR(XLOOKUP(D340,#REF!,#REF!),""))</f>
        <v/>
      </c>
      <c r="J340" s="7" t="str">
        <f ca="1">IFERROR(XLOOKUP(D340,'Spec_Single_H&amp;S'!B:B,'Spec_Single_H&amp;S'!E:E),
IFERROR(XLOOKUP(D340,#REF!,#REF!),""))</f>
        <v/>
      </c>
      <c r="K340" s="7" t="str">
        <f ca="1">IFERROR(XLOOKUP(D340,'Spec_Single_H&amp;S'!B:B,'Spec_Single_H&amp;S'!F:F),
IFERROR(XLOOKUP(D340,#REF!,#REF!),""))</f>
        <v/>
      </c>
      <c r="L340" s="7" t="str">
        <f t="shared" ca="1" si="17"/>
        <v/>
      </c>
    </row>
    <row r="341" spans="5:12" x14ac:dyDescent="0.3">
      <c r="E341" s="7" t="str">
        <f t="shared" si="18"/>
        <v/>
      </c>
      <c r="H341" s="7" t="str">
        <f>IF(B341&lt;&gt;"Silicone","",IFERROR(XLOOKUP(D341,#REF!,#REF!),""))</f>
        <v/>
      </c>
      <c r="J341" s="7" t="str">
        <f ca="1">IFERROR(XLOOKUP(D341,'Spec_Single_H&amp;S'!B:B,'Spec_Single_H&amp;S'!E:E),
IFERROR(XLOOKUP(D341,#REF!,#REF!),""))</f>
        <v/>
      </c>
      <c r="K341" s="7" t="str">
        <f ca="1">IFERROR(XLOOKUP(D341,'Spec_Single_H&amp;S'!B:B,'Spec_Single_H&amp;S'!F:F),
IFERROR(XLOOKUP(D341,#REF!,#REF!),""))</f>
        <v/>
      </c>
      <c r="L341" s="7" t="str">
        <f t="shared" ca="1" si="17"/>
        <v/>
      </c>
    </row>
    <row r="342" spans="5:12" x14ac:dyDescent="0.3">
      <c r="E342" s="7" t="str">
        <f t="shared" si="18"/>
        <v/>
      </c>
      <c r="H342" s="7" t="str">
        <f>IF(B342&lt;&gt;"Silicone","",IFERROR(XLOOKUP(D342,#REF!,#REF!),""))</f>
        <v/>
      </c>
      <c r="J342" s="7" t="str">
        <f ca="1">IFERROR(XLOOKUP(D342,'Spec_Single_H&amp;S'!B:B,'Spec_Single_H&amp;S'!E:E),
IFERROR(XLOOKUP(D342,#REF!,#REF!),""))</f>
        <v/>
      </c>
      <c r="K342" s="7" t="str">
        <f ca="1">IFERROR(XLOOKUP(D342,'Spec_Single_H&amp;S'!B:B,'Spec_Single_H&amp;S'!F:F),
IFERROR(XLOOKUP(D342,#REF!,#REF!),""))</f>
        <v/>
      </c>
      <c r="L342" s="7" t="str">
        <f t="shared" ca="1" si="17"/>
        <v/>
      </c>
    </row>
    <row r="343" spans="5:12" x14ac:dyDescent="0.3">
      <c r="E343" s="7" t="str">
        <f t="shared" si="18"/>
        <v/>
      </c>
      <c r="H343" s="7" t="str">
        <f>IF(B343&lt;&gt;"Silicone","",IFERROR(XLOOKUP(D343,#REF!,#REF!),""))</f>
        <v/>
      </c>
      <c r="J343" s="7" t="str">
        <f ca="1">IFERROR(XLOOKUP(D343,'Spec_Single_H&amp;S'!B:B,'Spec_Single_H&amp;S'!E:E),
IFERROR(XLOOKUP(D343,#REF!,#REF!),""))</f>
        <v/>
      </c>
      <c r="K343" s="7" t="str">
        <f ca="1">IFERROR(XLOOKUP(D343,'Spec_Single_H&amp;S'!B:B,'Spec_Single_H&amp;S'!F:F),
IFERROR(XLOOKUP(D343,#REF!,#REF!),""))</f>
        <v/>
      </c>
      <c r="L343" s="7" t="str">
        <f t="shared" ca="1" si="17"/>
        <v/>
      </c>
    </row>
    <row r="344" spans="5:12" x14ac:dyDescent="0.3">
      <c r="E344" s="7" t="str">
        <f t="shared" si="18"/>
        <v/>
      </c>
      <c r="H344" s="7" t="str">
        <f>IF(B344&lt;&gt;"Silicone","",IFERROR(XLOOKUP(D344,#REF!,#REF!),""))</f>
        <v/>
      </c>
      <c r="J344" s="7" t="str">
        <f ca="1">IFERROR(XLOOKUP(D344,'Spec_Single_H&amp;S'!B:B,'Spec_Single_H&amp;S'!E:E),
IFERROR(XLOOKUP(D344,#REF!,#REF!),""))</f>
        <v/>
      </c>
      <c r="K344" s="7" t="str">
        <f ca="1">IFERROR(XLOOKUP(D344,'Spec_Single_H&amp;S'!B:B,'Spec_Single_H&amp;S'!F:F),
IFERROR(XLOOKUP(D344,#REF!,#REF!),""))</f>
        <v/>
      </c>
      <c r="L344" s="7" t="str">
        <f t="shared" ca="1" si="17"/>
        <v/>
      </c>
    </row>
    <row r="345" spans="5:12" x14ac:dyDescent="0.3">
      <c r="E345" s="7" t="str">
        <f t="shared" si="18"/>
        <v/>
      </c>
      <c r="H345" s="7" t="str">
        <f>IF(B345&lt;&gt;"Silicone","",IFERROR(XLOOKUP(D345,#REF!,#REF!),""))</f>
        <v/>
      </c>
      <c r="J345" s="7" t="str">
        <f ca="1">IFERROR(XLOOKUP(D345,'Spec_Single_H&amp;S'!B:B,'Spec_Single_H&amp;S'!E:E),
IFERROR(XLOOKUP(D345,#REF!,#REF!),""))</f>
        <v/>
      </c>
      <c r="K345" s="7" t="str">
        <f ca="1">IFERROR(XLOOKUP(D345,'Spec_Single_H&amp;S'!B:B,'Spec_Single_H&amp;S'!F:F),
IFERROR(XLOOKUP(D345,#REF!,#REF!),""))</f>
        <v/>
      </c>
      <c r="L345" s="7" t="str">
        <f t="shared" ca="1" si="17"/>
        <v/>
      </c>
    </row>
    <row r="346" spans="5:12" x14ac:dyDescent="0.3">
      <c r="E346" s="7" t="str">
        <f t="shared" si="18"/>
        <v/>
      </c>
      <c r="H346" s="7" t="str">
        <f>IF(B346&lt;&gt;"Silicone","",IFERROR(XLOOKUP(D346,#REF!,#REF!),""))</f>
        <v/>
      </c>
      <c r="J346" s="7" t="str">
        <f ca="1">IFERROR(XLOOKUP(D346,'Spec_Single_H&amp;S'!B:B,'Spec_Single_H&amp;S'!E:E),
IFERROR(XLOOKUP(D346,#REF!,#REF!),""))</f>
        <v/>
      </c>
      <c r="K346" s="7" t="str">
        <f ca="1">IFERROR(XLOOKUP(D346,'Spec_Single_H&amp;S'!B:B,'Spec_Single_H&amp;S'!F:F),
IFERROR(XLOOKUP(D346,#REF!,#REF!),""))</f>
        <v/>
      </c>
      <c r="L346" s="7" t="str">
        <f t="shared" ca="1" si="17"/>
        <v/>
      </c>
    </row>
    <row r="347" spans="5:12" x14ac:dyDescent="0.3">
      <c r="E347" s="7" t="str">
        <f t="shared" si="18"/>
        <v/>
      </c>
      <c r="H347" s="7" t="str">
        <f>IF(B347&lt;&gt;"Silicone","",IFERROR(XLOOKUP(D347,#REF!,#REF!),""))</f>
        <v/>
      </c>
      <c r="J347" s="7" t="str">
        <f ca="1">IFERROR(XLOOKUP(D347,'Spec_Single_H&amp;S'!B:B,'Spec_Single_H&amp;S'!E:E),
IFERROR(XLOOKUP(D347,#REF!,#REF!),""))</f>
        <v/>
      </c>
      <c r="K347" s="7" t="str">
        <f ca="1">IFERROR(XLOOKUP(D347,'Spec_Single_H&amp;S'!B:B,'Spec_Single_H&amp;S'!F:F),
IFERROR(XLOOKUP(D347,#REF!,#REF!),""))</f>
        <v/>
      </c>
      <c r="L347" s="7" t="str">
        <f t="shared" ca="1" si="17"/>
        <v/>
      </c>
    </row>
    <row r="348" spans="5:12" x14ac:dyDescent="0.3">
      <c r="E348" s="7" t="str">
        <f t="shared" si="18"/>
        <v/>
      </c>
      <c r="H348" s="7" t="str">
        <f>IF(B348&lt;&gt;"Silicone","",IFERROR(XLOOKUP(D348,#REF!,#REF!),""))</f>
        <v/>
      </c>
      <c r="J348" s="7" t="str">
        <f ca="1">IFERROR(XLOOKUP(D348,'Spec_Single_H&amp;S'!B:B,'Spec_Single_H&amp;S'!E:E),
IFERROR(XLOOKUP(D348,#REF!,#REF!),""))</f>
        <v/>
      </c>
      <c r="K348" s="7" t="str">
        <f ca="1">IFERROR(XLOOKUP(D348,'Spec_Single_H&amp;S'!B:B,'Spec_Single_H&amp;S'!F:F),
IFERROR(XLOOKUP(D348,#REF!,#REF!),""))</f>
        <v/>
      </c>
      <c r="L348" s="7" t="str">
        <f t="shared" ca="1" si="17"/>
        <v/>
      </c>
    </row>
    <row r="349" spans="5:12" x14ac:dyDescent="0.3">
      <c r="E349" s="7" t="str">
        <f t="shared" si="18"/>
        <v/>
      </c>
      <c r="H349" s="7" t="str">
        <f>IF(B349&lt;&gt;"Silicone","",IFERROR(XLOOKUP(D349,#REF!,#REF!),""))</f>
        <v/>
      </c>
      <c r="J349" s="7" t="str">
        <f ca="1">IFERROR(XLOOKUP(D349,'Spec_Single_H&amp;S'!B:B,'Spec_Single_H&amp;S'!E:E),
IFERROR(XLOOKUP(D349,#REF!,#REF!),""))</f>
        <v/>
      </c>
      <c r="K349" s="7" t="str">
        <f ca="1">IFERROR(XLOOKUP(D349,'Spec_Single_H&amp;S'!B:B,'Spec_Single_H&amp;S'!F:F),
IFERROR(XLOOKUP(D349,#REF!,#REF!),""))</f>
        <v/>
      </c>
      <c r="L349" s="7" t="str">
        <f t="shared" ca="1" si="17"/>
        <v/>
      </c>
    </row>
    <row r="350" spans="5:12" x14ac:dyDescent="0.3">
      <c r="E350" s="7" t="str">
        <f t="shared" si="18"/>
        <v/>
      </c>
      <c r="H350" s="7" t="str">
        <f>IF(B350&lt;&gt;"Silicone","",IFERROR(XLOOKUP(D350,#REF!,#REF!),""))</f>
        <v/>
      </c>
      <c r="J350" s="7" t="str">
        <f ca="1">IFERROR(XLOOKUP(D350,'Spec_Single_H&amp;S'!B:B,'Spec_Single_H&amp;S'!E:E),
IFERROR(XLOOKUP(D350,#REF!,#REF!),""))</f>
        <v/>
      </c>
      <c r="K350" s="7" t="str">
        <f ca="1">IFERROR(XLOOKUP(D350,'Spec_Single_H&amp;S'!B:B,'Spec_Single_H&amp;S'!F:F),
IFERROR(XLOOKUP(D350,#REF!,#REF!),""))</f>
        <v/>
      </c>
      <c r="L350" s="7" t="str">
        <f t="shared" ca="1" si="17"/>
        <v/>
      </c>
    </row>
    <row r="351" spans="5:12" x14ac:dyDescent="0.3">
      <c r="E351" s="7" t="str">
        <f t="shared" si="18"/>
        <v/>
      </c>
      <c r="H351" s="7" t="str">
        <f>IF(B351&lt;&gt;"Silicone","",IFERROR(XLOOKUP(D351,#REF!,#REF!),""))</f>
        <v/>
      </c>
      <c r="J351" s="7" t="str">
        <f ca="1">IFERROR(XLOOKUP(D351,'Spec_Single_H&amp;S'!B:B,'Spec_Single_H&amp;S'!E:E),
IFERROR(XLOOKUP(D351,#REF!,#REF!),""))</f>
        <v/>
      </c>
      <c r="K351" s="7" t="str">
        <f ca="1">IFERROR(XLOOKUP(D351,'Spec_Single_H&amp;S'!B:B,'Spec_Single_H&amp;S'!F:F),
IFERROR(XLOOKUP(D351,#REF!,#REF!),""))</f>
        <v/>
      </c>
      <c r="L351" s="7" t="str">
        <f t="shared" ca="1" si="17"/>
        <v/>
      </c>
    </row>
    <row r="352" spans="5:12" x14ac:dyDescent="0.3">
      <c r="E352" s="7" t="str">
        <f t="shared" si="18"/>
        <v/>
      </c>
      <c r="H352" s="7" t="str">
        <f>IF(B352&lt;&gt;"Silicone","",IFERROR(XLOOKUP(D352,#REF!,#REF!),""))</f>
        <v/>
      </c>
      <c r="J352" s="7" t="str">
        <f ca="1">IFERROR(XLOOKUP(D352,'Spec_Single_H&amp;S'!B:B,'Spec_Single_H&amp;S'!E:E),
IFERROR(XLOOKUP(D352,#REF!,#REF!),""))</f>
        <v/>
      </c>
      <c r="K352" s="7" t="str">
        <f ca="1">IFERROR(XLOOKUP(D352,'Spec_Single_H&amp;S'!B:B,'Spec_Single_H&amp;S'!F:F),
IFERROR(XLOOKUP(D352,#REF!,#REF!),""))</f>
        <v/>
      </c>
      <c r="L352" s="7" t="str">
        <f t="shared" ca="1" si="17"/>
        <v/>
      </c>
    </row>
    <row r="353" spans="5:12" x14ac:dyDescent="0.3">
      <c r="E353" s="7" t="str">
        <f t="shared" si="18"/>
        <v/>
      </c>
      <c r="H353" s="7" t="str">
        <f>IF(B353&lt;&gt;"Silicone","",IFERROR(XLOOKUP(D353,#REF!,#REF!),""))</f>
        <v/>
      </c>
      <c r="J353" s="7" t="str">
        <f ca="1">IFERROR(XLOOKUP(D353,'Spec_Single_H&amp;S'!B:B,'Spec_Single_H&amp;S'!E:E),
IFERROR(XLOOKUP(D353,#REF!,#REF!),""))</f>
        <v/>
      </c>
      <c r="K353" s="7" t="str">
        <f ca="1">IFERROR(XLOOKUP(D353,'Spec_Single_H&amp;S'!B:B,'Spec_Single_H&amp;S'!F:F),
IFERROR(XLOOKUP(D353,#REF!,#REF!),""))</f>
        <v/>
      </c>
      <c r="L353" s="7" t="str">
        <f t="shared" ca="1" si="17"/>
        <v/>
      </c>
    </row>
    <row r="354" spans="5:12" x14ac:dyDescent="0.3">
      <c r="E354" s="7" t="str">
        <f t="shared" si="18"/>
        <v/>
      </c>
      <c r="H354" s="7" t="str">
        <f>IF(B354&lt;&gt;"Silicone","",IFERROR(XLOOKUP(D354,#REF!,#REF!),""))</f>
        <v/>
      </c>
      <c r="J354" s="7" t="str">
        <f ca="1">IFERROR(XLOOKUP(D354,'Spec_Single_H&amp;S'!B:B,'Spec_Single_H&amp;S'!E:E),
IFERROR(XLOOKUP(D354,#REF!,#REF!),""))</f>
        <v/>
      </c>
      <c r="K354" s="7" t="str">
        <f ca="1">IFERROR(XLOOKUP(D354,'Spec_Single_H&amp;S'!B:B,'Spec_Single_H&amp;S'!F:F),
IFERROR(XLOOKUP(D354,#REF!,#REF!),""))</f>
        <v/>
      </c>
      <c r="L354" s="7" t="str">
        <f t="shared" ca="1" si="17"/>
        <v/>
      </c>
    </row>
    <row r="355" spans="5:12" x14ac:dyDescent="0.3">
      <c r="E355" s="7" t="str">
        <f t="shared" si="18"/>
        <v/>
      </c>
      <c r="H355" s="7" t="str">
        <f>IF(B355&lt;&gt;"Silicone","",IFERROR(XLOOKUP(D355,#REF!,#REF!),""))</f>
        <v/>
      </c>
      <c r="J355" s="7" t="str">
        <f ca="1">IFERROR(XLOOKUP(D355,'Spec_Single_H&amp;S'!B:B,'Spec_Single_H&amp;S'!E:E),
IFERROR(XLOOKUP(D355,#REF!,#REF!),""))</f>
        <v/>
      </c>
      <c r="K355" s="7" t="str">
        <f ca="1">IFERROR(XLOOKUP(D355,'Spec_Single_H&amp;S'!B:B,'Spec_Single_H&amp;S'!F:F),
IFERROR(XLOOKUP(D355,#REF!,#REF!),""))</f>
        <v/>
      </c>
      <c r="L355" s="7" t="str">
        <f t="shared" ca="1" si="17"/>
        <v/>
      </c>
    </row>
    <row r="356" spans="5:12" x14ac:dyDescent="0.3">
      <c r="E356" s="7" t="str">
        <f t="shared" si="18"/>
        <v/>
      </c>
      <c r="H356" s="7" t="str">
        <f>IF(B356&lt;&gt;"Silicone","",IFERROR(XLOOKUP(D356,#REF!,#REF!),""))</f>
        <v/>
      </c>
      <c r="J356" s="7" t="str">
        <f ca="1">IFERROR(XLOOKUP(D356,'Spec_Single_H&amp;S'!B:B,'Spec_Single_H&amp;S'!E:E),
IFERROR(XLOOKUP(D356,#REF!,#REF!),""))</f>
        <v/>
      </c>
      <c r="K356" s="7" t="str">
        <f ca="1">IFERROR(XLOOKUP(D356,'Spec_Single_H&amp;S'!B:B,'Spec_Single_H&amp;S'!F:F),
IFERROR(XLOOKUP(D356,#REF!,#REF!),""))</f>
        <v/>
      </c>
      <c r="L356" s="7" t="str">
        <f t="shared" ca="1" si="17"/>
        <v/>
      </c>
    </row>
    <row r="357" spans="5:12" x14ac:dyDescent="0.3">
      <c r="E357" s="7" t="str">
        <f t="shared" si="18"/>
        <v/>
      </c>
      <c r="H357" s="7" t="str">
        <f>IF(B357&lt;&gt;"Silicone","",IFERROR(XLOOKUP(D357,#REF!,#REF!),""))</f>
        <v/>
      </c>
      <c r="J357" s="7" t="str">
        <f ca="1">IFERROR(XLOOKUP(D357,'Spec_Single_H&amp;S'!B:B,'Spec_Single_H&amp;S'!E:E),
IFERROR(XLOOKUP(D357,#REF!,#REF!),""))</f>
        <v/>
      </c>
      <c r="K357" s="7" t="str">
        <f ca="1">IFERROR(XLOOKUP(D357,'Spec_Single_H&amp;S'!B:B,'Spec_Single_H&amp;S'!F:F),
IFERROR(XLOOKUP(D357,#REF!,#REF!),""))</f>
        <v/>
      </c>
      <c r="L357" s="7" t="str">
        <f t="shared" ca="1" si="17"/>
        <v/>
      </c>
    </row>
    <row r="358" spans="5:12" x14ac:dyDescent="0.3">
      <c r="E358" s="7" t="str">
        <f t="shared" si="18"/>
        <v/>
      </c>
      <c r="H358" s="7" t="str">
        <f>IF(B358&lt;&gt;"Silicone","",IFERROR(XLOOKUP(D358,#REF!,#REF!),""))</f>
        <v/>
      </c>
      <c r="J358" s="7" t="str">
        <f ca="1">IFERROR(XLOOKUP(D358,'Spec_Single_H&amp;S'!B:B,'Spec_Single_H&amp;S'!E:E),
IFERROR(XLOOKUP(D358,#REF!,#REF!),""))</f>
        <v/>
      </c>
      <c r="K358" s="7" t="str">
        <f ca="1">IFERROR(XLOOKUP(D358,'Spec_Single_H&amp;S'!B:B,'Spec_Single_H&amp;S'!F:F),
IFERROR(XLOOKUP(D358,#REF!,#REF!),""))</f>
        <v/>
      </c>
      <c r="L358" s="7" t="str">
        <f t="shared" ca="1" si="17"/>
        <v/>
      </c>
    </row>
    <row r="359" spans="5:12" x14ac:dyDescent="0.3">
      <c r="E359" s="7" t="str">
        <f t="shared" si="18"/>
        <v/>
      </c>
      <c r="H359" s="7" t="str">
        <f>IF(B359&lt;&gt;"Silicone","",IFERROR(XLOOKUP(D359,#REF!,#REF!),""))</f>
        <v/>
      </c>
      <c r="J359" s="7" t="str">
        <f ca="1">IFERROR(XLOOKUP(D359,'Spec_Single_H&amp;S'!B:B,'Spec_Single_H&amp;S'!E:E),
IFERROR(XLOOKUP(D359,#REF!,#REF!),""))</f>
        <v/>
      </c>
      <c r="K359" s="7" t="str">
        <f ca="1">IFERROR(XLOOKUP(D359,'Spec_Single_H&amp;S'!B:B,'Spec_Single_H&amp;S'!F:F),
IFERROR(XLOOKUP(D359,#REF!,#REF!),""))</f>
        <v/>
      </c>
      <c r="L359" s="7" t="str">
        <f t="shared" ca="1" si="17"/>
        <v/>
      </c>
    </row>
    <row r="360" spans="5:12" x14ac:dyDescent="0.3">
      <c r="E360" s="7" t="str">
        <f t="shared" si="18"/>
        <v/>
      </c>
      <c r="H360" s="7" t="str">
        <f>IF(B360&lt;&gt;"Silicone","",IFERROR(XLOOKUP(D360,#REF!,#REF!),""))</f>
        <v/>
      </c>
      <c r="J360" s="7" t="str">
        <f ca="1">IFERROR(XLOOKUP(D360,'Spec_Single_H&amp;S'!B:B,'Spec_Single_H&amp;S'!E:E),
IFERROR(XLOOKUP(D360,#REF!,#REF!),""))</f>
        <v/>
      </c>
      <c r="K360" s="7" t="str">
        <f ca="1">IFERROR(XLOOKUP(D360,'Spec_Single_H&amp;S'!B:B,'Spec_Single_H&amp;S'!F:F),
IFERROR(XLOOKUP(D360,#REF!,#REF!),""))</f>
        <v/>
      </c>
      <c r="L360" s="7" t="str">
        <f t="shared" ca="1" si="17"/>
        <v/>
      </c>
    </row>
    <row r="361" spans="5:12" x14ac:dyDescent="0.3">
      <c r="E361" s="7" t="str">
        <f t="shared" si="18"/>
        <v/>
      </c>
      <c r="H361" s="7" t="str">
        <f>IF(B361&lt;&gt;"Silicone","",IFERROR(XLOOKUP(D361,#REF!,#REF!),""))</f>
        <v/>
      </c>
      <c r="J361" s="7" t="str">
        <f ca="1">IFERROR(XLOOKUP(D361,'Spec_Single_H&amp;S'!B:B,'Spec_Single_H&amp;S'!E:E),
IFERROR(XLOOKUP(D361,#REF!,#REF!),""))</f>
        <v/>
      </c>
      <c r="K361" s="7" t="str">
        <f ca="1">IFERROR(XLOOKUP(D361,'Spec_Single_H&amp;S'!B:B,'Spec_Single_H&amp;S'!F:F),
IFERROR(XLOOKUP(D361,#REF!,#REF!),""))</f>
        <v/>
      </c>
      <c r="L361" s="7" t="str">
        <f t="shared" ca="1" si="17"/>
        <v/>
      </c>
    </row>
    <row r="362" spans="5:12" x14ac:dyDescent="0.3">
      <c r="E362" s="7" t="str">
        <f t="shared" si="18"/>
        <v/>
      </c>
      <c r="H362" s="7" t="str">
        <f>IF(B362&lt;&gt;"Silicone","",IFERROR(XLOOKUP(D362,#REF!,#REF!),""))</f>
        <v/>
      </c>
      <c r="J362" s="7" t="str">
        <f ca="1">IFERROR(XLOOKUP(D362,'Spec_Single_H&amp;S'!B:B,'Spec_Single_H&amp;S'!E:E),
IFERROR(XLOOKUP(D362,#REF!,#REF!),""))</f>
        <v/>
      </c>
      <c r="K362" s="7" t="str">
        <f ca="1">IFERROR(XLOOKUP(D362,'Spec_Single_H&amp;S'!B:B,'Spec_Single_H&amp;S'!F:F),
IFERROR(XLOOKUP(D362,#REF!,#REF!),""))</f>
        <v/>
      </c>
      <c r="L362" s="7" t="str">
        <f t="shared" ca="1" si="17"/>
        <v/>
      </c>
    </row>
    <row r="363" spans="5:12" x14ac:dyDescent="0.3">
      <c r="E363" s="7" t="str">
        <f t="shared" si="18"/>
        <v/>
      </c>
      <c r="H363" s="7" t="str">
        <f>IF(B363&lt;&gt;"Silicone","",IFERROR(XLOOKUP(D363,#REF!,#REF!),""))</f>
        <v/>
      </c>
      <c r="J363" s="7" t="str">
        <f ca="1">IFERROR(XLOOKUP(D363,'Spec_Single_H&amp;S'!B:B,'Spec_Single_H&amp;S'!E:E),
IFERROR(XLOOKUP(D363,#REF!,#REF!),""))</f>
        <v/>
      </c>
      <c r="K363" s="7" t="str">
        <f ca="1">IFERROR(XLOOKUP(D363,'Spec_Single_H&amp;S'!B:B,'Spec_Single_H&amp;S'!F:F),
IFERROR(XLOOKUP(D363,#REF!,#REF!),""))</f>
        <v/>
      </c>
      <c r="L363" s="7" t="str">
        <f t="shared" ca="1" si="17"/>
        <v/>
      </c>
    </row>
    <row r="364" spans="5:12" x14ac:dyDescent="0.3">
      <c r="E364" s="7" t="str">
        <f t="shared" si="18"/>
        <v/>
      </c>
      <c r="H364" s="7" t="str">
        <f>IF(B364&lt;&gt;"Silicone","",IFERROR(XLOOKUP(D364,#REF!,#REF!),""))</f>
        <v/>
      </c>
      <c r="J364" s="7" t="str">
        <f ca="1">IFERROR(XLOOKUP(D364,'Spec_Single_H&amp;S'!B:B,'Spec_Single_H&amp;S'!E:E),
IFERROR(XLOOKUP(D364,#REF!,#REF!),""))</f>
        <v/>
      </c>
      <c r="K364" s="7" t="str">
        <f ca="1">IFERROR(XLOOKUP(D364,'Spec_Single_H&amp;S'!B:B,'Spec_Single_H&amp;S'!F:F),
IFERROR(XLOOKUP(D364,#REF!,#REF!),""))</f>
        <v/>
      </c>
      <c r="L364" s="7" t="str">
        <f t="shared" ca="1" si="17"/>
        <v/>
      </c>
    </row>
    <row r="365" spans="5:12" x14ac:dyDescent="0.3">
      <c r="E365" s="7" t="str">
        <f t="shared" si="18"/>
        <v/>
      </c>
      <c r="H365" s="7" t="str">
        <f>IF(B365&lt;&gt;"Silicone","",IFERROR(XLOOKUP(D365,#REF!,#REF!),""))</f>
        <v/>
      </c>
      <c r="J365" s="7" t="str">
        <f ca="1">IFERROR(XLOOKUP(D365,'Spec_Single_H&amp;S'!B:B,'Spec_Single_H&amp;S'!E:E),
IFERROR(XLOOKUP(D365,#REF!,#REF!),""))</f>
        <v/>
      </c>
      <c r="K365" s="7" t="str">
        <f ca="1">IFERROR(XLOOKUP(D365,'Spec_Single_H&amp;S'!B:B,'Spec_Single_H&amp;S'!F:F),
IFERROR(XLOOKUP(D365,#REF!,#REF!),""))</f>
        <v/>
      </c>
      <c r="L365" s="7" t="str">
        <f t="shared" ca="1" si="17"/>
        <v/>
      </c>
    </row>
    <row r="366" spans="5:12" x14ac:dyDescent="0.3">
      <c r="E366" s="7" t="str">
        <f t="shared" si="18"/>
        <v/>
      </c>
      <c r="H366" s="7" t="str">
        <f>IF(B366&lt;&gt;"Silicone","",IFERROR(XLOOKUP(D366,#REF!,#REF!),""))</f>
        <v/>
      </c>
      <c r="J366" s="7" t="str">
        <f ca="1">IFERROR(XLOOKUP(D366,'Spec_Single_H&amp;S'!B:B,'Spec_Single_H&amp;S'!E:E),
IFERROR(XLOOKUP(D366,#REF!,#REF!),""))</f>
        <v/>
      </c>
      <c r="K366" s="7" t="str">
        <f ca="1">IFERROR(XLOOKUP(D366,'Spec_Single_H&amp;S'!B:B,'Spec_Single_H&amp;S'!F:F),
IFERROR(XLOOKUP(D366,#REF!,#REF!),""))</f>
        <v/>
      </c>
      <c r="L366" s="7" t="str">
        <f t="shared" ca="1" si="17"/>
        <v/>
      </c>
    </row>
    <row r="367" spans="5:12" x14ac:dyDescent="0.3">
      <c r="E367" s="7" t="str">
        <f t="shared" si="18"/>
        <v/>
      </c>
      <c r="H367" s="7" t="str">
        <f>IF(B367&lt;&gt;"Silicone","",IFERROR(XLOOKUP(D367,#REF!,#REF!),""))</f>
        <v/>
      </c>
      <c r="J367" s="7" t="str">
        <f ca="1">IFERROR(XLOOKUP(D367,'Spec_Single_H&amp;S'!B:B,'Spec_Single_H&amp;S'!E:E),
IFERROR(XLOOKUP(D367,#REF!,#REF!),""))</f>
        <v/>
      </c>
      <c r="K367" s="7" t="str">
        <f ca="1">IFERROR(XLOOKUP(D367,'Spec_Single_H&amp;S'!B:B,'Spec_Single_H&amp;S'!F:F),
IFERROR(XLOOKUP(D367,#REF!,#REF!),""))</f>
        <v/>
      </c>
      <c r="L367" s="7" t="str">
        <f t="shared" ca="1" si="17"/>
        <v/>
      </c>
    </row>
    <row r="368" spans="5:12" x14ac:dyDescent="0.3">
      <c r="E368" s="7" t="str">
        <f t="shared" si="18"/>
        <v/>
      </c>
      <c r="H368" s="7" t="str">
        <f>IF(B368&lt;&gt;"Silicone","",IFERROR(XLOOKUP(D368,#REF!,#REF!),""))</f>
        <v/>
      </c>
      <c r="J368" s="7" t="str">
        <f ca="1">IFERROR(XLOOKUP(D368,'Spec_Single_H&amp;S'!B:B,'Spec_Single_H&amp;S'!E:E),
IFERROR(XLOOKUP(D368,#REF!,#REF!),""))</f>
        <v/>
      </c>
      <c r="K368" s="7" t="str">
        <f ca="1">IFERROR(XLOOKUP(D368,'Spec_Single_H&amp;S'!B:B,'Spec_Single_H&amp;S'!F:F),
IFERROR(XLOOKUP(D368,#REF!,#REF!),""))</f>
        <v/>
      </c>
      <c r="L368" s="7" t="str">
        <f t="shared" ca="1" si="17"/>
        <v/>
      </c>
    </row>
    <row r="369" spans="5:12" x14ac:dyDescent="0.3">
      <c r="E369" s="7" t="str">
        <f t="shared" si="18"/>
        <v/>
      </c>
      <c r="H369" s="7" t="str">
        <f>IF(B369&lt;&gt;"Silicone","",IFERROR(XLOOKUP(D369,#REF!,#REF!),""))</f>
        <v/>
      </c>
      <c r="J369" s="7" t="str">
        <f ca="1">IFERROR(XLOOKUP(D369,'Spec_Single_H&amp;S'!B:B,'Spec_Single_H&amp;S'!E:E),
IFERROR(XLOOKUP(D369,#REF!,#REF!),""))</f>
        <v/>
      </c>
      <c r="K369" s="7" t="str">
        <f ca="1">IFERROR(XLOOKUP(D369,'Spec_Single_H&amp;S'!B:B,'Spec_Single_H&amp;S'!F:F),
IFERROR(XLOOKUP(D369,#REF!,#REF!),""))</f>
        <v/>
      </c>
      <c r="L369" s="7" t="str">
        <f t="shared" ca="1" si="17"/>
        <v/>
      </c>
    </row>
    <row r="370" spans="5:12" x14ac:dyDescent="0.3">
      <c r="E370" s="7" t="str">
        <f t="shared" si="18"/>
        <v/>
      </c>
      <c r="H370" s="7" t="str">
        <f>IF(B370&lt;&gt;"Silicone","",IFERROR(XLOOKUP(D370,#REF!,#REF!),""))</f>
        <v/>
      </c>
      <c r="J370" s="7" t="str">
        <f ca="1">IFERROR(XLOOKUP(D370,'Spec_Single_H&amp;S'!B:B,'Spec_Single_H&amp;S'!E:E),
IFERROR(XLOOKUP(D370,#REF!,#REF!),""))</f>
        <v/>
      </c>
      <c r="K370" s="7" t="str">
        <f ca="1">IFERROR(XLOOKUP(D370,'Spec_Single_H&amp;S'!B:B,'Spec_Single_H&amp;S'!F:F),
IFERROR(XLOOKUP(D370,#REF!,#REF!),""))</f>
        <v/>
      </c>
      <c r="L370" s="7" t="str">
        <f t="shared" ca="1" si="17"/>
        <v/>
      </c>
    </row>
    <row r="371" spans="5:12" x14ac:dyDescent="0.3">
      <c r="E371" s="7" t="str">
        <f t="shared" si="18"/>
        <v/>
      </c>
      <c r="H371" s="7" t="str">
        <f>IF(B371&lt;&gt;"Silicone","",IFERROR(XLOOKUP(D371,#REF!,#REF!),""))</f>
        <v/>
      </c>
      <c r="J371" s="7" t="str">
        <f ca="1">IFERROR(XLOOKUP(D371,'Spec_Single_H&amp;S'!B:B,'Spec_Single_H&amp;S'!E:E),
IFERROR(XLOOKUP(D371,#REF!,#REF!),""))</f>
        <v/>
      </c>
      <c r="K371" s="7" t="str">
        <f ca="1">IFERROR(XLOOKUP(D371,'Spec_Single_H&amp;S'!B:B,'Spec_Single_H&amp;S'!F:F),
IFERROR(XLOOKUP(D371,#REF!,#REF!),""))</f>
        <v/>
      </c>
      <c r="L371" s="7" t="str">
        <f t="shared" ca="1" si="17"/>
        <v/>
      </c>
    </row>
    <row r="372" spans="5:12" x14ac:dyDescent="0.3">
      <c r="E372" s="7" t="str">
        <f t="shared" si="18"/>
        <v/>
      </c>
      <c r="H372" s="7" t="str">
        <f>IF(B372&lt;&gt;"Silicone","",IFERROR(XLOOKUP(D372,#REF!,#REF!),""))</f>
        <v/>
      </c>
      <c r="J372" s="7" t="str">
        <f ca="1">IFERROR(XLOOKUP(D372,'Spec_Single_H&amp;S'!B:B,'Spec_Single_H&amp;S'!E:E),
IFERROR(XLOOKUP(D372,#REF!,#REF!),""))</f>
        <v/>
      </c>
      <c r="K372" s="7" t="str">
        <f ca="1">IFERROR(XLOOKUP(D372,'Spec_Single_H&amp;S'!B:B,'Spec_Single_H&amp;S'!F:F),
IFERROR(XLOOKUP(D372,#REF!,#REF!),""))</f>
        <v/>
      </c>
      <c r="L372" s="7" t="str">
        <f t="shared" ca="1" si="17"/>
        <v/>
      </c>
    </row>
    <row r="373" spans="5:12" x14ac:dyDescent="0.3">
      <c r="E373" s="7" t="str">
        <f t="shared" si="18"/>
        <v/>
      </c>
      <c r="H373" s="7" t="str">
        <f>IF(B373&lt;&gt;"Silicone","",IFERROR(XLOOKUP(D373,#REF!,#REF!),""))</f>
        <v/>
      </c>
      <c r="J373" s="7" t="str">
        <f ca="1">IFERROR(XLOOKUP(D373,'Spec_Single_H&amp;S'!B:B,'Spec_Single_H&amp;S'!E:E),
IFERROR(XLOOKUP(D373,#REF!,#REF!),""))</f>
        <v/>
      </c>
      <c r="K373" s="7" t="str">
        <f ca="1">IFERROR(XLOOKUP(D373,'Spec_Single_H&amp;S'!B:B,'Spec_Single_H&amp;S'!F:F),
IFERROR(XLOOKUP(D373,#REF!,#REF!),""))</f>
        <v/>
      </c>
      <c r="L373" s="7" t="str">
        <f t="shared" ca="1" si="17"/>
        <v/>
      </c>
    </row>
    <row r="374" spans="5:12" x14ac:dyDescent="0.3">
      <c r="E374" s="7" t="str">
        <f t="shared" si="18"/>
        <v/>
      </c>
      <c r="H374" s="7" t="str">
        <f>IF(B374&lt;&gt;"Silicone","",IFERROR(XLOOKUP(D374,#REF!,#REF!),""))</f>
        <v/>
      </c>
      <c r="J374" s="7" t="str">
        <f ca="1">IFERROR(XLOOKUP(D374,'Spec_Single_H&amp;S'!B:B,'Spec_Single_H&amp;S'!E:E),
IFERROR(XLOOKUP(D374,#REF!,#REF!),""))</f>
        <v/>
      </c>
      <c r="K374" s="7" t="str">
        <f ca="1">IFERROR(XLOOKUP(D374,'Spec_Single_H&amp;S'!B:B,'Spec_Single_H&amp;S'!F:F),
IFERROR(XLOOKUP(D374,#REF!,#REF!),""))</f>
        <v/>
      </c>
      <c r="L374" s="7" t="str">
        <f t="shared" ca="1" si="17"/>
        <v/>
      </c>
    </row>
    <row r="375" spans="5:12" x14ac:dyDescent="0.3">
      <c r="E375" s="7" t="str">
        <f t="shared" si="18"/>
        <v/>
      </c>
      <c r="H375" s="7" t="str">
        <f>IF(B375&lt;&gt;"Silicone","",IFERROR(XLOOKUP(D375,#REF!,#REF!),""))</f>
        <v/>
      </c>
      <c r="J375" s="7" t="str">
        <f ca="1">IFERROR(XLOOKUP(D375,'Spec_Single_H&amp;S'!B:B,'Spec_Single_H&amp;S'!E:E),
IFERROR(XLOOKUP(D375,#REF!,#REF!),""))</f>
        <v/>
      </c>
      <c r="K375" s="7" t="str">
        <f ca="1">IFERROR(XLOOKUP(D375,'Spec_Single_H&amp;S'!B:B,'Spec_Single_H&amp;S'!F:F),
IFERROR(XLOOKUP(D375,#REF!,#REF!),""))</f>
        <v/>
      </c>
      <c r="L375" s="7" t="str">
        <f t="shared" ca="1" si="17"/>
        <v/>
      </c>
    </row>
    <row r="376" spans="5:12" x14ac:dyDescent="0.3">
      <c r="E376" s="7" t="str">
        <f t="shared" si="18"/>
        <v/>
      </c>
      <c r="H376" s="7" t="str">
        <f>IF(B376&lt;&gt;"Silicone","",IFERROR(XLOOKUP(D376,#REF!,#REF!),""))</f>
        <v/>
      </c>
      <c r="J376" s="7" t="str">
        <f ca="1">IFERROR(XLOOKUP(D376,'Spec_Single_H&amp;S'!B:B,'Spec_Single_H&amp;S'!E:E),
IFERROR(XLOOKUP(D376,#REF!,#REF!),""))</f>
        <v/>
      </c>
      <c r="K376" s="7" t="str">
        <f ca="1">IFERROR(XLOOKUP(D376,'Spec_Single_H&amp;S'!B:B,'Spec_Single_H&amp;S'!F:F),
IFERROR(XLOOKUP(D376,#REF!,#REF!),""))</f>
        <v/>
      </c>
      <c r="L376" s="7" t="str">
        <f t="shared" ca="1" si="17"/>
        <v/>
      </c>
    </row>
    <row r="377" spans="5:12" x14ac:dyDescent="0.3">
      <c r="E377" s="7" t="str">
        <f t="shared" si="18"/>
        <v/>
      </c>
      <c r="H377" s="7" t="str">
        <f>IF(B377&lt;&gt;"Silicone","",IFERROR(XLOOKUP(D377,#REF!,#REF!),""))</f>
        <v/>
      </c>
      <c r="J377" s="7" t="str">
        <f ca="1">IFERROR(XLOOKUP(D377,'Spec_Single_H&amp;S'!B:B,'Spec_Single_H&amp;S'!E:E),
IFERROR(XLOOKUP(D377,#REF!,#REF!),""))</f>
        <v/>
      </c>
      <c r="K377" s="7" t="str">
        <f ca="1">IFERROR(XLOOKUP(D377,'Spec_Single_H&amp;S'!B:B,'Spec_Single_H&amp;S'!F:F),
IFERROR(XLOOKUP(D377,#REF!,#REF!),""))</f>
        <v/>
      </c>
      <c r="L377" s="7" t="str">
        <f t="shared" ca="1" si="17"/>
        <v/>
      </c>
    </row>
    <row r="378" spans="5:12" x14ac:dyDescent="0.3">
      <c r="E378" s="7" t="str">
        <f t="shared" si="18"/>
        <v/>
      </c>
      <c r="H378" s="7" t="str">
        <f>IF(B378&lt;&gt;"Silicone","",IFERROR(XLOOKUP(D378,#REF!,#REF!),""))</f>
        <v/>
      </c>
      <c r="J378" s="7" t="str">
        <f ca="1">IFERROR(XLOOKUP(D378,'Spec_Single_H&amp;S'!B:B,'Spec_Single_H&amp;S'!E:E),
IFERROR(XLOOKUP(D378,#REF!,#REF!),""))</f>
        <v/>
      </c>
      <c r="K378" s="7" t="str">
        <f ca="1">IFERROR(XLOOKUP(D378,'Spec_Single_H&amp;S'!B:B,'Spec_Single_H&amp;S'!F:F),
IFERROR(XLOOKUP(D378,#REF!,#REF!),""))</f>
        <v/>
      </c>
      <c r="L378" s="7" t="str">
        <f t="shared" ca="1" si="17"/>
        <v/>
      </c>
    </row>
    <row r="379" spans="5:12" x14ac:dyDescent="0.3">
      <c r="E379" s="7" t="str">
        <f t="shared" si="18"/>
        <v/>
      </c>
      <c r="H379" s="7" t="str">
        <f>IF(B379&lt;&gt;"Silicone","",IFERROR(XLOOKUP(D379,#REF!,#REF!),""))</f>
        <v/>
      </c>
      <c r="J379" s="7" t="str">
        <f ca="1">IFERROR(XLOOKUP(D379,'Spec_Single_H&amp;S'!B:B,'Spec_Single_H&amp;S'!E:E),
IFERROR(XLOOKUP(D379,#REF!,#REF!),""))</f>
        <v/>
      </c>
      <c r="K379" s="7" t="str">
        <f ca="1">IFERROR(XLOOKUP(D379,'Spec_Single_H&amp;S'!B:B,'Spec_Single_H&amp;S'!F:F),
IFERROR(XLOOKUP(D379,#REF!,#REF!),""))</f>
        <v/>
      </c>
      <c r="L379" s="7" t="str">
        <f t="shared" ca="1" si="17"/>
        <v/>
      </c>
    </row>
    <row r="380" spans="5:12" x14ac:dyDescent="0.3">
      <c r="E380" s="7" t="str">
        <f t="shared" si="18"/>
        <v/>
      </c>
      <c r="H380" s="7" t="str">
        <f>IF(B380&lt;&gt;"Silicone","",IFERROR(XLOOKUP(D380,#REF!,#REF!),""))</f>
        <v/>
      </c>
      <c r="J380" s="7" t="str">
        <f ca="1">IFERROR(XLOOKUP(D380,'Spec_Single_H&amp;S'!B:B,'Spec_Single_H&amp;S'!E:E),
IFERROR(XLOOKUP(D380,#REF!,#REF!),""))</f>
        <v/>
      </c>
      <c r="K380" s="7" t="str">
        <f ca="1">IFERROR(XLOOKUP(D380,'Spec_Single_H&amp;S'!B:B,'Spec_Single_H&amp;S'!F:F),
IFERROR(XLOOKUP(D380,#REF!,#REF!),""))</f>
        <v/>
      </c>
      <c r="L380" s="7" t="str">
        <f t="shared" ca="1" si="17"/>
        <v/>
      </c>
    </row>
    <row r="381" spans="5:12" x14ac:dyDescent="0.3">
      <c r="E381" s="7" t="str">
        <f t="shared" si="18"/>
        <v/>
      </c>
      <c r="H381" s="7" t="str">
        <f>IF(B381&lt;&gt;"Silicone","",IFERROR(XLOOKUP(D381,#REF!,#REF!),""))</f>
        <v/>
      </c>
      <c r="J381" s="7" t="str">
        <f ca="1">IFERROR(XLOOKUP(D381,'Spec_Single_H&amp;S'!B:B,'Spec_Single_H&amp;S'!E:E),
IFERROR(XLOOKUP(D381,#REF!,#REF!),""))</f>
        <v/>
      </c>
      <c r="K381" s="7" t="str">
        <f ca="1">IFERROR(XLOOKUP(D381,'Spec_Single_H&amp;S'!B:B,'Spec_Single_H&amp;S'!F:F),
IFERROR(XLOOKUP(D381,#REF!,#REF!),""))</f>
        <v/>
      </c>
      <c r="L381" s="7" t="str">
        <f t="shared" ca="1" si="17"/>
        <v/>
      </c>
    </row>
    <row r="382" spans="5:12" x14ac:dyDescent="0.3">
      <c r="E382" s="7" t="str">
        <f t="shared" si="18"/>
        <v/>
      </c>
      <c r="H382" s="7" t="str">
        <f>IF(B382&lt;&gt;"Silicone","",IFERROR(XLOOKUP(D382,#REF!,#REF!),""))</f>
        <v/>
      </c>
      <c r="J382" s="7" t="str">
        <f ca="1">IFERROR(XLOOKUP(D382,'Spec_Single_H&amp;S'!B:B,'Spec_Single_H&amp;S'!E:E),
IFERROR(XLOOKUP(D382,#REF!,#REF!),""))</f>
        <v/>
      </c>
      <c r="K382" s="7" t="str">
        <f ca="1">IFERROR(XLOOKUP(D382,'Spec_Single_H&amp;S'!B:B,'Spec_Single_H&amp;S'!F:F),
IFERROR(XLOOKUP(D382,#REF!,#REF!),""))</f>
        <v/>
      </c>
      <c r="L382" s="7" t="str">
        <f t="shared" ca="1" si="17"/>
        <v/>
      </c>
    </row>
    <row r="383" spans="5:12" x14ac:dyDescent="0.3">
      <c r="E383" s="7" t="str">
        <f t="shared" si="18"/>
        <v/>
      </c>
      <c r="H383" s="7" t="str">
        <f>IF(B383&lt;&gt;"Silicone","",IFERROR(XLOOKUP(D383,#REF!,#REF!),""))</f>
        <v/>
      </c>
      <c r="J383" s="7" t="str">
        <f ca="1">IFERROR(XLOOKUP(D383,'Spec_Single_H&amp;S'!B:B,'Spec_Single_H&amp;S'!E:E),
IFERROR(XLOOKUP(D383,#REF!,#REF!),""))</f>
        <v/>
      </c>
      <c r="K383" s="7" t="str">
        <f ca="1">IFERROR(XLOOKUP(D383,'Spec_Single_H&amp;S'!B:B,'Spec_Single_H&amp;S'!F:F),
IFERROR(XLOOKUP(D383,#REF!,#REF!),""))</f>
        <v/>
      </c>
      <c r="L383" s="7" t="str">
        <f t="shared" ca="1" si="17"/>
        <v/>
      </c>
    </row>
    <row r="384" spans="5:12" x14ac:dyDescent="0.3">
      <c r="E384" s="7" t="str">
        <f t="shared" si="18"/>
        <v/>
      </c>
      <c r="H384" s="7" t="str">
        <f>IF(B384&lt;&gt;"Silicone","",IFERROR(XLOOKUP(D384,#REF!,#REF!),""))</f>
        <v/>
      </c>
      <c r="J384" s="7" t="str">
        <f ca="1">IFERROR(XLOOKUP(D384,'Spec_Single_H&amp;S'!B:B,'Spec_Single_H&amp;S'!E:E),
IFERROR(XLOOKUP(D384,#REF!,#REF!),""))</f>
        <v/>
      </c>
      <c r="K384" s="7" t="str">
        <f ca="1">IFERROR(XLOOKUP(D384,'Spec_Single_H&amp;S'!B:B,'Spec_Single_H&amp;S'!F:F),
IFERROR(XLOOKUP(D384,#REF!,#REF!),""))</f>
        <v/>
      </c>
      <c r="L384" s="7" t="str">
        <f t="shared" ca="1" si="17"/>
        <v/>
      </c>
    </row>
    <row r="385" spans="5:12" x14ac:dyDescent="0.3">
      <c r="E385" s="7" t="str">
        <f t="shared" si="18"/>
        <v/>
      </c>
      <c r="H385" s="7" t="str">
        <f>IF(B385&lt;&gt;"Silicone","",IFERROR(XLOOKUP(D385,#REF!,#REF!),""))</f>
        <v/>
      </c>
      <c r="J385" s="7" t="str">
        <f ca="1">IFERROR(XLOOKUP(D385,'Spec_Single_H&amp;S'!B:B,'Spec_Single_H&amp;S'!E:E),
IFERROR(XLOOKUP(D385,#REF!,#REF!),""))</f>
        <v/>
      </c>
      <c r="K385" s="7" t="str">
        <f ca="1">IFERROR(XLOOKUP(D385,'Spec_Single_H&amp;S'!B:B,'Spec_Single_H&amp;S'!F:F),
IFERROR(XLOOKUP(D385,#REF!,#REF!),""))</f>
        <v/>
      </c>
      <c r="L385" s="7" t="str">
        <f t="shared" ca="1" si="17"/>
        <v/>
      </c>
    </row>
    <row r="386" spans="5:12" x14ac:dyDescent="0.3">
      <c r="E386" s="7" t="str">
        <f t="shared" si="18"/>
        <v/>
      </c>
      <c r="H386" s="7" t="str">
        <f>IF(B386&lt;&gt;"Silicone","",IFERROR(XLOOKUP(D386,#REF!,#REF!),""))</f>
        <v/>
      </c>
      <c r="J386" s="7" t="str">
        <f ca="1">IFERROR(XLOOKUP(D386,'Spec_Single_H&amp;S'!B:B,'Spec_Single_H&amp;S'!E:E),
IFERROR(XLOOKUP(D386,#REF!,#REF!),""))</f>
        <v/>
      </c>
      <c r="K386" s="7" t="str">
        <f ca="1">IFERROR(XLOOKUP(D386,'Spec_Single_H&amp;S'!B:B,'Spec_Single_H&amp;S'!F:F),
IFERROR(XLOOKUP(D386,#REF!,#REF!),""))</f>
        <v/>
      </c>
      <c r="L386" s="7" t="str">
        <f t="shared" ca="1" si="17"/>
        <v/>
      </c>
    </row>
    <row r="387" spans="5:12" x14ac:dyDescent="0.3">
      <c r="E387" s="7" t="str">
        <f t="shared" si="18"/>
        <v/>
      </c>
      <c r="H387" s="7" t="str">
        <f>IF(B387&lt;&gt;"Silicone","",IFERROR(XLOOKUP(D387,#REF!,#REF!),""))</f>
        <v/>
      </c>
      <c r="J387" s="7" t="str">
        <f ca="1">IFERROR(XLOOKUP(D387,'Spec_Single_H&amp;S'!B:B,'Spec_Single_H&amp;S'!E:E),
IFERROR(XLOOKUP(D387,#REF!,#REF!),""))</f>
        <v/>
      </c>
      <c r="K387" s="7" t="str">
        <f ca="1">IFERROR(XLOOKUP(D387,'Spec_Single_H&amp;S'!B:B,'Spec_Single_H&amp;S'!F:F),
IFERROR(XLOOKUP(D387,#REF!,#REF!),""))</f>
        <v/>
      </c>
      <c r="L387" s="7" t="str">
        <f t="shared" ca="1" si="17"/>
        <v/>
      </c>
    </row>
    <row r="388" spans="5:12" x14ac:dyDescent="0.3">
      <c r="E388" s="7" t="str">
        <f t="shared" si="18"/>
        <v/>
      </c>
      <c r="H388" s="7" t="str">
        <f>IF(B388&lt;&gt;"Silicone","",IFERROR(XLOOKUP(D388,#REF!,#REF!),""))</f>
        <v/>
      </c>
      <c r="J388" s="7" t="str">
        <f ca="1">IFERROR(XLOOKUP(D388,'Spec_Single_H&amp;S'!B:B,'Spec_Single_H&amp;S'!E:E),
IFERROR(XLOOKUP(D388,#REF!,#REF!),""))</f>
        <v/>
      </c>
      <c r="K388" s="7" t="str">
        <f ca="1">IFERROR(XLOOKUP(D388,'Spec_Single_H&amp;S'!B:B,'Spec_Single_H&amp;S'!F:F),
IFERROR(XLOOKUP(D388,#REF!,#REF!),""))</f>
        <v/>
      </c>
      <c r="L388" s="7" t="str">
        <f t="shared" ca="1" si="17"/>
        <v/>
      </c>
    </row>
    <row r="389" spans="5:12" x14ac:dyDescent="0.3">
      <c r="E389" s="7" t="str">
        <f t="shared" si="18"/>
        <v/>
      </c>
      <c r="H389" s="7" t="str">
        <f>IF(B389&lt;&gt;"Silicone","",IFERROR(XLOOKUP(D389,#REF!,#REF!),""))</f>
        <v/>
      </c>
      <c r="J389" s="7" t="str">
        <f ca="1">IFERROR(XLOOKUP(D389,'Spec_Single_H&amp;S'!B:B,'Spec_Single_H&amp;S'!E:E),
IFERROR(XLOOKUP(D389,#REF!,#REF!),""))</f>
        <v/>
      </c>
      <c r="K389" s="7" t="str">
        <f ca="1">IFERROR(XLOOKUP(D389,'Spec_Single_H&amp;S'!B:B,'Spec_Single_H&amp;S'!F:F),
IFERROR(XLOOKUP(D389,#REF!,#REF!),""))</f>
        <v/>
      </c>
      <c r="L389" s="7" t="str">
        <f t="shared" ca="1" si="17"/>
        <v/>
      </c>
    </row>
    <row r="390" spans="5:12" x14ac:dyDescent="0.3">
      <c r="E390" s="7" t="str">
        <f t="shared" si="18"/>
        <v/>
      </c>
      <c r="H390" s="7" t="str">
        <f>IF(B390&lt;&gt;"Silicone","",IFERROR(XLOOKUP(D390,#REF!,#REF!),""))</f>
        <v/>
      </c>
      <c r="J390" s="7" t="str">
        <f ca="1">IFERROR(XLOOKUP(D390,'Spec_Single_H&amp;S'!B:B,'Spec_Single_H&amp;S'!E:E),
IFERROR(XLOOKUP(D390,#REF!,#REF!),""))</f>
        <v/>
      </c>
      <c r="K390" s="7" t="str">
        <f ca="1">IFERROR(XLOOKUP(D390,'Spec_Single_H&amp;S'!B:B,'Spec_Single_H&amp;S'!F:F),
IFERROR(XLOOKUP(D390,#REF!,#REF!),""))</f>
        <v/>
      </c>
      <c r="L390" s="7" t="str">
        <f t="shared" ca="1" si="17"/>
        <v/>
      </c>
    </row>
    <row r="391" spans="5:12" x14ac:dyDescent="0.3">
      <c r="E391" s="7" t="str">
        <f t="shared" si="18"/>
        <v/>
      </c>
      <c r="H391" s="7" t="str">
        <f>IF(B391&lt;&gt;"Silicone","",IFERROR(XLOOKUP(D391,#REF!,#REF!),""))</f>
        <v/>
      </c>
      <c r="J391" s="7" t="str">
        <f ca="1">IFERROR(XLOOKUP(D391,'Spec_Single_H&amp;S'!B:B,'Spec_Single_H&amp;S'!E:E),
IFERROR(XLOOKUP(D391,#REF!,#REF!),""))</f>
        <v/>
      </c>
      <c r="K391" s="7" t="str">
        <f ca="1">IFERROR(XLOOKUP(D391,'Spec_Single_H&amp;S'!B:B,'Spec_Single_H&amp;S'!F:F),
IFERROR(XLOOKUP(D391,#REF!,#REF!),""))</f>
        <v/>
      </c>
      <c r="L391" s="7" t="str">
        <f t="shared" ca="1" si="17"/>
        <v/>
      </c>
    </row>
    <row r="392" spans="5:12" x14ac:dyDescent="0.3">
      <c r="E392" s="7" t="str">
        <f t="shared" si="18"/>
        <v/>
      </c>
      <c r="H392" s="7" t="str">
        <f>IF(B392&lt;&gt;"Silicone","",IFERROR(XLOOKUP(D392,#REF!,#REF!),""))</f>
        <v/>
      </c>
      <c r="J392" s="7" t="str">
        <f ca="1">IFERROR(XLOOKUP(D392,'Spec_Single_H&amp;S'!B:B,'Spec_Single_H&amp;S'!E:E),
IFERROR(XLOOKUP(D392,#REF!,#REF!),""))</f>
        <v/>
      </c>
      <c r="K392" s="7" t="str">
        <f ca="1">IFERROR(XLOOKUP(D392,'Spec_Single_H&amp;S'!B:B,'Spec_Single_H&amp;S'!F:F),
IFERROR(XLOOKUP(D392,#REF!,#REF!),""))</f>
        <v/>
      </c>
      <c r="L392" s="7" t="str">
        <f t="shared" ref="L392:L455" ca="1" si="19">IF(AND(NOT(ISBLANK(I392)),I392&gt;=J392,I392&lt;=K392),"적합",IF(ISBLANK(I392),"", "부적합"))</f>
        <v/>
      </c>
    </row>
    <row r="393" spans="5:12" x14ac:dyDescent="0.3">
      <c r="E393" s="7" t="str">
        <f t="shared" ref="E393:E456" si="20">IF(D393="","",IF(B393="Silicone", "SL" &amp; IF(C393="Black","B",IF(C393="White","W",IF(C393="Blue","U",IF(C393="Green","G",IF(C393="Yellow","Y",IF(C393="Red","R",IF(C393="Pink","P",""))))))) &amp; TEXT(A393,"yymmdd") &amp; "01",IF(LEFT(D393,3)="NPL","NPL","PL") &amp; IF(C393="Black","B",IF(C393="White","W",IF(C393="Blue","U",IF(C393="Green","G",IF(C393="Yellow","Y",IF(C393="Red","R",IF(C393="Pink","P",""))))))) &amp; TEXT(A393,"yymmdd") &amp; "01"))</f>
        <v/>
      </c>
      <c r="H393" s="7" t="str">
        <f>IF(B393&lt;&gt;"Silicone","",IFERROR(XLOOKUP(D393,#REF!,#REF!),""))</f>
        <v/>
      </c>
      <c r="J393" s="7" t="str">
        <f ca="1">IFERROR(XLOOKUP(D393,'Spec_Single_H&amp;S'!B:B,'Spec_Single_H&amp;S'!E:E),
IFERROR(XLOOKUP(D393,#REF!,#REF!),""))</f>
        <v/>
      </c>
      <c r="K393" s="7" t="str">
        <f ca="1">IFERROR(XLOOKUP(D393,'Spec_Single_H&amp;S'!B:B,'Spec_Single_H&amp;S'!F:F),
IFERROR(XLOOKUP(D393,#REF!,#REF!),""))</f>
        <v/>
      </c>
      <c r="L393" s="7" t="str">
        <f t="shared" ca="1" si="19"/>
        <v/>
      </c>
    </row>
    <row r="394" spans="5:12" x14ac:dyDescent="0.3">
      <c r="E394" s="7" t="str">
        <f t="shared" si="20"/>
        <v/>
      </c>
      <c r="H394" s="7" t="str">
        <f>IF(B394&lt;&gt;"Silicone","",IFERROR(XLOOKUP(D394,#REF!,#REF!),""))</f>
        <v/>
      </c>
      <c r="J394" s="7" t="str">
        <f ca="1">IFERROR(XLOOKUP(D394,'Spec_Single_H&amp;S'!B:B,'Spec_Single_H&amp;S'!E:E),
IFERROR(XLOOKUP(D394,#REF!,#REF!),""))</f>
        <v/>
      </c>
      <c r="K394" s="7" t="str">
        <f ca="1">IFERROR(XLOOKUP(D394,'Spec_Single_H&amp;S'!B:B,'Spec_Single_H&amp;S'!F:F),
IFERROR(XLOOKUP(D394,#REF!,#REF!),""))</f>
        <v/>
      </c>
      <c r="L394" s="7" t="str">
        <f t="shared" ca="1" si="19"/>
        <v/>
      </c>
    </row>
    <row r="395" spans="5:12" x14ac:dyDescent="0.3">
      <c r="E395" s="7" t="str">
        <f t="shared" si="20"/>
        <v/>
      </c>
      <c r="H395" s="7" t="str">
        <f>IF(B395&lt;&gt;"Silicone","",IFERROR(XLOOKUP(D395,#REF!,#REF!),""))</f>
        <v/>
      </c>
      <c r="J395" s="7" t="str">
        <f ca="1">IFERROR(XLOOKUP(D395,'Spec_Single_H&amp;S'!B:B,'Spec_Single_H&amp;S'!E:E),
IFERROR(XLOOKUP(D395,#REF!,#REF!),""))</f>
        <v/>
      </c>
      <c r="K395" s="7" t="str">
        <f ca="1">IFERROR(XLOOKUP(D395,'Spec_Single_H&amp;S'!B:B,'Spec_Single_H&amp;S'!F:F),
IFERROR(XLOOKUP(D395,#REF!,#REF!),""))</f>
        <v/>
      </c>
      <c r="L395" s="7" t="str">
        <f t="shared" ca="1" si="19"/>
        <v/>
      </c>
    </row>
    <row r="396" spans="5:12" x14ac:dyDescent="0.3">
      <c r="E396" s="7" t="str">
        <f t="shared" si="20"/>
        <v/>
      </c>
      <c r="H396" s="7" t="str">
        <f>IF(B396&lt;&gt;"Silicone","",IFERROR(XLOOKUP(D396,#REF!,#REF!),""))</f>
        <v/>
      </c>
      <c r="J396" s="7" t="str">
        <f ca="1">IFERROR(XLOOKUP(D396,'Spec_Single_H&amp;S'!B:B,'Spec_Single_H&amp;S'!E:E),
IFERROR(XLOOKUP(D396,#REF!,#REF!),""))</f>
        <v/>
      </c>
      <c r="K396" s="7" t="str">
        <f ca="1">IFERROR(XLOOKUP(D396,'Spec_Single_H&amp;S'!B:B,'Spec_Single_H&amp;S'!F:F),
IFERROR(XLOOKUP(D396,#REF!,#REF!),""))</f>
        <v/>
      </c>
      <c r="L396" s="7" t="str">
        <f t="shared" ca="1" si="19"/>
        <v/>
      </c>
    </row>
    <row r="397" spans="5:12" x14ac:dyDescent="0.3">
      <c r="E397" s="7" t="str">
        <f t="shared" si="20"/>
        <v/>
      </c>
      <c r="H397" s="7" t="str">
        <f>IF(B397&lt;&gt;"Silicone","",IFERROR(XLOOKUP(D397,#REF!,#REF!),""))</f>
        <v/>
      </c>
      <c r="J397" s="7" t="str">
        <f ca="1">IFERROR(XLOOKUP(D397,'Spec_Single_H&amp;S'!B:B,'Spec_Single_H&amp;S'!E:E),
IFERROR(XLOOKUP(D397,#REF!,#REF!),""))</f>
        <v/>
      </c>
      <c r="K397" s="7" t="str">
        <f ca="1">IFERROR(XLOOKUP(D397,'Spec_Single_H&amp;S'!B:B,'Spec_Single_H&amp;S'!F:F),
IFERROR(XLOOKUP(D397,#REF!,#REF!),""))</f>
        <v/>
      </c>
      <c r="L397" s="7" t="str">
        <f t="shared" ca="1" si="19"/>
        <v/>
      </c>
    </row>
    <row r="398" spans="5:12" x14ac:dyDescent="0.3">
      <c r="E398" s="7" t="str">
        <f t="shared" si="20"/>
        <v/>
      </c>
      <c r="H398" s="7" t="str">
        <f>IF(B398&lt;&gt;"Silicone","",IFERROR(XLOOKUP(D398,#REF!,#REF!),""))</f>
        <v/>
      </c>
      <c r="J398" s="7" t="str">
        <f ca="1">IFERROR(XLOOKUP(D398,'Spec_Single_H&amp;S'!B:B,'Spec_Single_H&amp;S'!E:E),
IFERROR(XLOOKUP(D398,#REF!,#REF!),""))</f>
        <v/>
      </c>
      <c r="K398" s="7" t="str">
        <f ca="1">IFERROR(XLOOKUP(D398,'Spec_Single_H&amp;S'!B:B,'Spec_Single_H&amp;S'!F:F),
IFERROR(XLOOKUP(D398,#REF!,#REF!),""))</f>
        <v/>
      </c>
      <c r="L398" s="7" t="str">
        <f t="shared" ca="1" si="19"/>
        <v/>
      </c>
    </row>
    <row r="399" spans="5:12" x14ac:dyDescent="0.3">
      <c r="E399" s="7" t="str">
        <f t="shared" si="20"/>
        <v/>
      </c>
      <c r="H399" s="7" t="str">
        <f>IF(B399&lt;&gt;"Silicone","",IFERROR(XLOOKUP(D399,#REF!,#REF!),""))</f>
        <v/>
      </c>
      <c r="J399" s="7" t="str">
        <f ca="1">IFERROR(XLOOKUP(D399,'Spec_Single_H&amp;S'!B:B,'Spec_Single_H&amp;S'!E:E),
IFERROR(XLOOKUP(D399,#REF!,#REF!),""))</f>
        <v/>
      </c>
      <c r="K399" s="7" t="str">
        <f ca="1">IFERROR(XLOOKUP(D399,'Spec_Single_H&amp;S'!B:B,'Spec_Single_H&amp;S'!F:F),
IFERROR(XLOOKUP(D399,#REF!,#REF!),""))</f>
        <v/>
      </c>
      <c r="L399" s="7" t="str">
        <f t="shared" ca="1" si="19"/>
        <v/>
      </c>
    </row>
    <row r="400" spans="5:12" x14ac:dyDescent="0.3">
      <c r="E400" s="7" t="str">
        <f t="shared" si="20"/>
        <v/>
      </c>
      <c r="H400" s="7" t="str">
        <f>IF(B400&lt;&gt;"Silicone","",IFERROR(XLOOKUP(D400,#REF!,#REF!),""))</f>
        <v/>
      </c>
      <c r="J400" s="7" t="str">
        <f ca="1">IFERROR(XLOOKUP(D400,'Spec_Single_H&amp;S'!B:B,'Spec_Single_H&amp;S'!E:E),
IFERROR(XLOOKUP(D400,#REF!,#REF!),""))</f>
        <v/>
      </c>
      <c r="K400" s="7" t="str">
        <f ca="1">IFERROR(XLOOKUP(D400,'Spec_Single_H&amp;S'!B:B,'Spec_Single_H&amp;S'!F:F),
IFERROR(XLOOKUP(D400,#REF!,#REF!),""))</f>
        <v/>
      </c>
      <c r="L400" s="7" t="str">
        <f t="shared" ca="1" si="19"/>
        <v/>
      </c>
    </row>
    <row r="401" spans="5:12" x14ac:dyDescent="0.3">
      <c r="E401" s="7" t="str">
        <f t="shared" si="20"/>
        <v/>
      </c>
      <c r="H401" s="7" t="str">
        <f>IF(B401&lt;&gt;"Silicone","",IFERROR(XLOOKUP(D401,#REF!,#REF!),""))</f>
        <v/>
      </c>
      <c r="J401" s="7" t="str">
        <f ca="1">IFERROR(XLOOKUP(D401,'Spec_Single_H&amp;S'!B:B,'Spec_Single_H&amp;S'!E:E),
IFERROR(XLOOKUP(D401,#REF!,#REF!),""))</f>
        <v/>
      </c>
      <c r="K401" s="7" t="str">
        <f ca="1">IFERROR(XLOOKUP(D401,'Spec_Single_H&amp;S'!B:B,'Spec_Single_H&amp;S'!F:F),
IFERROR(XLOOKUP(D401,#REF!,#REF!),""))</f>
        <v/>
      </c>
      <c r="L401" s="7" t="str">
        <f t="shared" ca="1" si="19"/>
        <v/>
      </c>
    </row>
    <row r="402" spans="5:12" x14ac:dyDescent="0.3">
      <c r="E402" s="7" t="str">
        <f t="shared" si="20"/>
        <v/>
      </c>
      <c r="H402" s="7" t="str">
        <f>IF(B402&lt;&gt;"Silicone","",IFERROR(XLOOKUP(D402,#REF!,#REF!),""))</f>
        <v/>
      </c>
      <c r="J402" s="7" t="str">
        <f ca="1">IFERROR(XLOOKUP(D402,'Spec_Single_H&amp;S'!B:B,'Spec_Single_H&amp;S'!E:E),
IFERROR(XLOOKUP(D402,#REF!,#REF!),""))</f>
        <v/>
      </c>
      <c r="K402" s="7" t="str">
        <f ca="1">IFERROR(XLOOKUP(D402,'Spec_Single_H&amp;S'!B:B,'Spec_Single_H&amp;S'!F:F),
IFERROR(XLOOKUP(D402,#REF!,#REF!),""))</f>
        <v/>
      </c>
      <c r="L402" s="7" t="str">
        <f t="shared" ca="1" si="19"/>
        <v/>
      </c>
    </row>
    <row r="403" spans="5:12" x14ac:dyDescent="0.3">
      <c r="E403" s="7" t="str">
        <f t="shared" si="20"/>
        <v/>
      </c>
      <c r="H403" s="7" t="str">
        <f>IF(B403&lt;&gt;"Silicone","",IFERROR(XLOOKUP(D403,#REF!,#REF!),""))</f>
        <v/>
      </c>
      <c r="J403" s="7" t="str">
        <f ca="1">IFERROR(XLOOKUP(D403,'Spec_Single_H&amp;S'!B:B,'Spec_Single_H&amp;S'!E:E),
IFERROR(XLOOKUP(D403,#REF!,#REF!),""))</f>
        <v/>
      </c>
      <c r="K403" s="7" t="str">
        <f ca="1">IFERROR(XLOOKUP(D403,'Spec_Single_H&amp;S'!B:B,'Spec_Single_H&amp;S'!F:F),
IFERROR(XLOOKUP(D403,#REF!,#REF!),""))</f>
        <v/>
      </c>
      <c r="L403" s="7" t="str">
        <f t="shared" ca="1" si="19"/>
        <v/>
      </c>
    </row>
    <row r="404" spans="5:12" x14ac:dyDescent="0.3">
      <c r="E404" s="7" t="str">
        <f t="shared" si="20"/>
        <v/>
      </c>
      <c r="H404" s="7" t="str">
        <f>IF(B404&lt;&gt;"Silicone","",IFERROR(XLOOKUP(D404,#REF!,#REF!),""))</f>
        <v/>
      </c>
      <c r="J404" s="7" t="str">
        <f ca="1">IFERROR(XLOOKUP(D404,'Spec_Single_H&amp;S'!B:B,'Spec_Single_H&amp;S'!E:E),
IFERROR(XLOOKUP(D404,#REF!,#REF!),""))</f>
        <v/>
      </c>
      <c r="K404" s="7" t="str">
        <f ca="1">IFERROR(XLOOKUP(D404,'Spec_Single_H&amp;S'!B:B,'Spec_Single_H&amp;S'!F:F),
IFERROR(XLOOKUP(D404,#REF!,#REF!),""))</f>
        <v/>
      </c>
      <c r="L404" s="7" t="str">
        <f t="shared" ca="1" si="19"/>
        <v/>
      </c>
    </row>
    <row r="405" spans="5:12" x14ac:dyDescent="0.3">
      <c r="E405" s="7" t="str">
        <f t="shared" si="20"/>
        <v/>
      </c>
      <c r="H405" s="7" t="str">
        <f>IF(B405&lt;&gt;"Silicone","",IFERROR(XLOOKUP(D405,#REF!,#REF!),""))</f>
        <v/>
      </c>
      <c r="J405" s="7" t="str">
        <f ca="1">IFERROR(XLOOKUP(D405,'Spec_Single_H&amp;S'!B:B,'Spec_Single_H&amp;S'!E:E),
IFERROR(XLOOKUP(D405,#REF!,#REF!),""))</f>
        <v/>
      </c>
      <c r="K405" s="7" t="str">
        <f ca="1">IFERROR(XLOOKUP(D405,'Spec_Single_H&amp;S'!B:B,'Spec_Single_H&amp;S'!F:F),
IFERROR(XLOOKUP(D405,#REF!,#REF!),""))</f>
        <v/>
      </c>
      <c r="L405" s="7" t="str">
        <f t="shared" ca="1" si="19"/>
        <v/>
      </c>
    </row>
    <row r="406" spans="5:12" x14ac:dyDescent="0.3">
      <c r="E406" s="7" t="str">
        <f t="shared" si="20"/>
        <v/>
      </c>
      <c r="H406" s="7" t="str">
        <f>IF(B406&lt;&gt;"Silicone","",IFERROR(XLOOKUP(D406,#REF!,#REF!),""))</f>
        <v/>
      </c>
      <c r="J406" s="7" t="str">
        <f ca="1">IFERROR(XLOOKUP(D406,'Spec_Single_H&amp;S'!B:B,'Spec_Single_H&amp;S'!E:E),
IFERROR(XLOOKUP(D406,#REF!,#REF!),""))</f>
        <v/>
      </c>
      <c r="K406" s="7" t="str">
        <f ca="1">IFERROR(XLOOKUP(D406,'Spec_Single_H&amp;S'!B:B,'Spec_Single_H&amp;S'!F:F),
IFERROR(XLOOKUP(D406,#REF!,#REF!),""))</f>
        <v/>
      </c>
      <c r="L406" s="7" t="str">
        <f t="shared" ca="1" si="19"/>
        <v/>
      </c>
    </row>
    <row r="407" spans="5:12" x14ac:dyDescent="0.3">
      <c r="E407" s="7" t="str">
        <f t="shared" si="20"/>
        <v/>
      </c>
      <c r="H407" s="7" t="str">
        <f>IF(B407&lt;&gt;"Silicone","",IFERROR(XLOOKUP(D407,#REF!,#REF!),""))</f>
        <v/>
      </c>
      <c r="J407" s="7" t="str">
        <f ca="1">IFERROR(XLOOKUP(D407,'Spec_Single_H&amp;S'!B:B,'Spec_Single_H&amp;S'!E:E),
IFERROR(XLOOKUP(D407,#REF!,#REF!),""))</f>
        <v/>
      </c>
      <c r="K407" s="7" t="str">
        <f ca="1">IFERROR(XLOOKUP(D407,'Spec_Single_H&amp;S'!B:B,'Spec_Single_H&amp;S'!F:F),
IFERROR(XLOOKUP(D407,#REF!,#REF!),""))</f>
        <v/>
      </c>
      <c r="L407" s="7" t="str">
        <f t="shared" ca="1" si="19"/>
        <v/>
      </c>
    </row>
    <row r="408" spans="5:12" x14ac:dyDescent="0.3">
      <c r="E408" s="7" t="str">
        <f t="shared" si="20"/>
        <v/>
      </c>
      <c r="H408" s="7" t="str">
        <f>IF(B408&lt;&gt;"Silicone","",IFERROR(XLOOKUP(D408,#REF!,#REF!),""))</f>
        <v/>
      </c>
      <c r="J408" s="7" t="str">
        <f ca="1">IFERROR(XLOOKUP(D408,'Spec_Single_H&amp;S'!B:B,'Spec_Single_H&amp;S'!E:E),
IFERROR(XLOOKUP(D408,#REF!,#REF!),""))</f>
        <v/>
      </c>
      <c r="K408" s="7" t="str">
        <f ca="1">IFERROR(XLOOKUP(D408,'Spec_Single_H&amp;S'!B:B,'Spec_Single_H&amp;S'!F:F),
IFERROR(XLOOKUP(D408,#REF!,#REF!),""))</f>
        <v/>
      </c>
      <c r="L408" s="7" t="str">
        <f t="shared" ca="1" si="19"/>
        <v/>
      </c>
    </row>
    <row r="409" spans="5:12" x14ac:dyDescent="0.3">
      <c r="E409" s="7" t="str">
        <f t="shared" si="20"/>
        <v/>
      </c>
      <c r="H409" s="7" t="str">
        <f>IF(B409&lt;&gt;"Silicone","",IFERROR(XLOOKUP(D409,#REF!,#REF!),""))</f>
        <v/>
      </c>
      <c r="J409" s="7" t="str">
        <f ca="1">IFERROR(XLOOKUP(D409,'Spec_Single_H&amp;S'!B:B,'Spec_Single_H&amp;S'!E:E),
IFERROR(XLOOKUP(D409,#REF!,#REF!),""))</f>
        <v/>
      </c>
      <c r="K409" s="7" t="str">
        <f ca="1">IFERROR(XLOOKUP(D409,'Spec_Single_H&amp;S'!B:B,'Spec_Single_H&amp;S'!F:F),
IFERROR(XLOOKUP(D409,#REF!,#REF!),""))</f>
        <v/>
      </c>
      <c r="L409" s="7" t="str">
        <f t="shared" ca="1" si="19"/>
        <v/>
      </c>
    </row>
    <row r="410" spans="5:12" x14ac:dyDescent="0.3">
      <c r="E410" s="7" t="str">
        <f t="shared" si="20"/>
        <v/>
      </c>
      <c r="H410" s="7" t="str">
        <f>IF(B410&lt;&gt;"Silicone","",IFERROR(XLOOKUP(D410,#REF!,#REF!),""))</f>
        <v/>
      </c>
      <c r="J410" s="7" t="str">
        <f ca="1">IFERROR(XLOOKUP(D410,'Spec_Single_H&amp;S'!B:B,'Spec_Single_H&amp;S'!E:E),
IFERROR(XLOOKUP(D410,#REF!,#REF!),""))</f>
        <v/>
      </c>
      <c r="K410" s="7" t="str">
        <f ca="1">IFERROR(XLOOKUP(D410,'Spec_Single_H&amp;S'!B:B,'Spec_Single_H&amp;S'!F:F),
IFERROR(XLOOKUP(D410,#REF!,#REF!),""))</f>
        <v/>
      </c>
      <c r="L410" s="7" t="str">
        <f t="shared" ca="1" si="19"/>
        <v/>
      </c>
    </row>
    <row r="411" spans="5:12" x14ac:dyDescent="0.3">
      <c r="E411" s="7" t="str">
        <f t="shared" si="20"/>
        <v/>
      </c>
      <c r="H411" s="7" t="str">
        <f>IF(B411&lt;&gt;"Silicone","",IFERROR(XLOOKUP(D411,#REF!,#REF!),""))</f>
        <v/>
      </c>
      <c r="J411" s="7" t="str">
        <f ca="1">IFERROR(XLOOKUP(D411,'Spec_Single_H&amp;S'!B:B,'Spec_Single_H&amp;S'!E:E),
IFERROR(XLOOKUP(D411,#REF!,#REF!),""))</f>
        <v/>
      </c>
      <c r="K411" s="7" t="str">
        <f ca="1">IFERROR(XLOOKUP(D411,'Spec_Single_H&amp;S'!B:B,'Spec_Single_H&amp;S'!F:F),
IFERROR(XLOOKUP(D411,#REF!,#REF!),""))</f>
        <v/>
      </c>
      <c r="L411" s="7" t="str">
        <f t="shared" ca="1" si="19"/>
        <v/>
      </c>
    </row>
    <row r="412" spans="5:12" x14ac:dyDescent="0.3">
      <c r="E412" s="7" t="str">
        <f t="shared" si="20"/>
        <v/>
      </c>
      <c r="H412" s="7" t="str">
        <f>IF(B412&lt;&gt;"Silicone","",IFERROR(XLOOKUP(D412,#REF!,#REF!),""))</f>
        <v/>
      </c>
      <c r="J412" s="7" t="str">
        <f ca="1">IFERROR(XLOOKUP(D412,'Spec_Single_H&amp;S'!B:B,'Spec_Single_H&amp;S'!E:E),
IFERROR(XLOOKUP(D412,#REF!,#REF!),""))</f>
        <v/>
      </c>
      <c r="K412" s="7" t="str">
        <f ca="1">IFERROR(XLOOKUP(D412,'Spec_Single_H&amp;S'!B:B,'Spec_Single_H&amp;S'!F:F),
IFERROR(XLOOKUP(D412,#REF!,#REF!),""))</f>
        <v/>
      </c>
      <c r="L412" s="7" t="str">
        <f t="shared" ca="1" si="19"/>
        <v/>
      </c>
    </row>
    <row r="413" spans="5:12" x14ac:dyDescent="0.3">
      <c r="E413" s="7" t="str">
        <f t="shared" si="20"/>
        <v/>
      </c>
      <c r="H413" s="7" t="str">
        <f>IF(B413&lt;&gt;"Silicone","",IFERROR(XLOOKUP(D413,#REF!,#REF!),""))</f>
        <v/>
      </c>
      <c r="J413" s="7" t="str">
        <f ca="1">IFERROR(XLOOKUP(D413,'Spec_Single_H&amp;S'!B:B,'Spec_Single_H&amp;S'!E:E),
IFERROR(XLOOKUP(D413,#REF!,#REF!),""))</f>
        <v/>
      </c>
      <c r="K413" s="7" t="str">
        <f ca="1">IFERROR(XLOOKUP(D413,'Spec_Single_H&amp;S'!B:B,'Spec_Single_H&amp;S'!F:F),
IFERROR(XLOOKUP(D413,#REF!,#REF!),""))</f>
        <v/>
      </c>
      <c r="L413" s="7" t="str">
        <f t="shared" ca="1" si="19"/>
        <v/>
      </c>
    </row>
    <row r="414" spans="5:12" x14ac:dyDescent="0.3">
      <c r="E414" s="7" t="str">
        <f t="shared" si="20"/>
        <v/>
      </c>
      <c r="H414" s="7" t="str">
        <f>IF(B414&lt;&gt;"Silicone","",IFERROR(XLOOKUP(D414,#REF!,#REF!),""))</f>
        <v/>
      </c>
      <c r="J414" s="7" t="str">
        <f ca="1">IFERROR(XLOOKUP(D414,'Spec_Single_H&amp;S'!B:B,'Spec_Single_H&amp;S'!E:E),
IFERROR(XLOOKUP(D414,#REF!,#REF!),""))</f>
        <v/>
      </c>
      <c r="K414" s="7" t="str">
        <f ca="1">IFERROR(XLOOKUP(D414,'Spec_Single_H&amp;S'!B:B,'Spec_Single_H&amp;S'!F:F),
IFERROR(XLOOKUP(D414,#REF!,#REF!),""))</f>
        <v/>
      </c>
      <c r="L414" s="7" t="str">
        <f t="shared" ca="1" si="19"/>
        <v/>
      </c>
    </row>
    <row r="415" spans="5:12" x14ac:dyDescent="0.3">
      <c r="E415" s="7" t="str">
        <f t="shared" si="20"/>
        <v/>
      </c>
      <c r="H415" s="7" t="str">
        <f>IF(B415&lt;&gt;"Silicone","",IFERROR(XLOOKUP(D415,#REF!,#REF!),""))</f>
        <v/>
      </c>
      <c r="J415" s="7" t="str">
        <f ca="1">IFERROR(XLOOKUP(D415,'Spec_Single_H&amp;S'!B:B,'Spec_Single_H&amp;S'!E:E),
IFERROR(XLOOKUP(D415,#REF!,#REF!),""))</f>
        <v/>
      </c>
      <c r="K415" s="7" t="str">
        <f ca="1">IFERROR(XLOOKUP(D415,'Spec_Single_H&amp;S'!B:B,'Spec_Single_H&amp;S'!F:F),
IFERROR(XLOOKUP(D415,#REF!,#REF!),""))</f>
        <v/>
      </c>
      <c r="L415" s="7" t="str">
        <f t="shared" ca="1" si="19"/>
        <v/>
      </c>
    </row>
    <row r="416" spans="5:12" x14ac:dyDescent="0.3">
      <c r="E416" s="7" t="str">
        <f t="shared" si="20"/>
        <v/>
      </c>
      <c r="H416" s="7" t="str">
        <f>IF(B416&lt;&gt;"Silicone","",IFERROR(XLOOKUP(D416,#REF!,#REF!),""))</f>
        <v/>
      </c>
      <c r="J416" s="7" t="str">
        <f ca="1">IFERROR(XLOOKUP(D416,'Spec_Single_H&amp;S'!B:B,'Spec_Single_H&amp;S'!E:E),
IFERROR(XLOOKUP(D416,#REF!,#REF!),""))</f>
        <v/>
      </c>
      <c r="K416" s="7" t="str">
        <f ca="1">IFERROR(XLOOKUP(D416,'Spec_Single_H&amp;S'!B:B,'Spec_Single_H&amp;S'!F:F),
IFERROR(XLOOKUP(D416,#REF!,#REF!),""))</f>
        <v/>
      </c>
      <c r="L416" s="7" t="str">
        <f t="shared" ca="1" si="19"/>
        <v/>
      </c>
    </row>
    <row r="417" spans="5:12" x14ac:dyDescent="0.3">
      <c r="E417" s="7" t="str">
        <f t="shared" si="20"/>
        <v/>
      </c>
      <c r="H417" s="7" t="str">
        <f>IF(B417&lt;&gt;"Silicone","",IFERROR(XLOOKUP(D417,#REF!,#REF!),""))</f>
        <v/>
      </c>
      <c r="J417" s="7" t="str">
        <f ca="1">IFERROR(XLOOKUP(D417,'Spec_Single_H&amp;S'!B:B,'Spec_Single_H&amp;S'!E:E),
IFERROR(XLOOKUP(D417,#REF!,#REF!),""))</f>
        <v/>
      </c>
      <c r="K417" s="7" t="str">
        <f ca="1">IFERROR(XLOOKUP(D417,'Spec_Single_H&amp;S'!B:B,'Spec_Single_H&amp;S'!F:F),
IFERROR(XLOOKUP(D417,#REF!,#REF!),""))</f>
        <v/>
      </c>
      <c r="L417" s="7" t="str">
        <f t="shared" ca="1" si="19"/>
        <v/>
      </c>
    </row>
    <row r="418" spans="5:12" x14ac:dyDescent="0.3">
      <c r="E418" s="7" t="str">
        <f t="shared" si="20"/>
        <v/>
      </c>
      <c r="H418" s="7" t="str">
        <f>IF(B418&lt;&gt;"Silicone","",IFERROR(XLOOKUP(D418,#REF!,#REF!),""))</f>
        <v/>
      </c>
      <c r="J418" s="7" t="str">
        <f ca="1">IFERROR(XLOOKUP(D418,'Spec_Single_H&amp;S'!B:B,'Spec_Single_H&amp;S'!E:E),
IFERROR(XLOOKUP(D418,#REF!,#REF!),""))</f>
        <v/>
      </c>
      <c r="K418" s="7" t="str">
        <f ca="1">IFERROR(XLOOKUP(D418,'Spec_Single_H&amp;S'!B:B,'Spec_Single_H&amp;S'!F:F),
IFERROR(XLOOKUP(D418,#REF!,#REF!),""))</f>
        <v/>
      </c>
      <c r="L418" s="7" t="str">
        <f t="shared" ca="1" si="19"/>
        <v/>
      </c>
    </row>
    <row r="419" spans="5:12" x14ac:dyDescent="0.3">
      <c r="E419" s="7" t="str">
        <f t="shared" si="20"/>
        <v/>
      </c>
      <c r="H419" s="7" t="str">
        <f>IF(B419&lt;&gt;"Silicone","",IFERROR(XLOOKUP(D419,#REF!,#REF!),""))</f>
        <v/>
      </c>
      <c r="J419" s="7" t="str">
        <f ca="1">IFERROR(XLOOKUP(D419,'Spec_Single_H&amp;S'!B:B,'Spec_Single_H&amp;S'!E:E),
IFERROR(XLOOKUP(D419,#REF!,#REF!),""))</f>
        <v/>
      </c>
      <c r="K419" s="7" t="str">
        <f ca="1">IFERROR(XLOOKUP(D419,'Spec_Single_H&amp;S'!B:B,'Spec_Single_H&amp;S'!F:F),
IFERROR(XLOOKUP(D419,#REF!,#REF!),""))</f>
        <v/>
      </c>
      <c r="L419" s="7" t="str">
        <f t="shared" ca="1" si="19"/>
        <v/>
      </c>
    </row>
    <row r="420" spans="5:12" x14ac:dyDescent="0.3">
      <c r="E420" s="7" t="str">
        <f t="shared" si="20"/>
        <v/>
      </c>
      <c r="H420" s="7" t="str">
        <f>IF(B420&lt;&gt;"Silicone","",IFERROR(XLOOKUP(D420,#REF!,#REF!),""))</f>
        <v/>
      </c>
      <c r="J420" s="7" t="str">
        <f ca="1">IFERROR(XLOOKUP(D420,'Spec_Single_H&amp;S'!B:B,'Spec_Single_H&amp;S'!E:E),
IFERROR(XLOOKUP(D420,#REF!,#REF!),""))</f>
        <v/>
      </c>
      <c r="K420" s="7" t="str">
        <f ca="1">IFERROR(XLOOKUP(D420,'Spec_Single_H&amp;S'!B:B,'Spec_Single_H&amp;S'!F:F),
IFERROR(XLOOKUP(D420,#REF!,#REF!),""))</f>
        <v/>
      </c>
      <c r="L420" s="7" t="str">
        <f t="shared" ca="1" si="19"/>
        <v/>
      </c>
    </row>
    <row r="421" spans="5:12" x14ac:dyDescent="0.3">
      <c r="E421" s="7" t="str">
        <f t="shared" si="20"/>
        <v/>
      </c>
      <c r="H421" s="7" t="str">
        <f>IF(B421&lt;&gt;"Silicone","",IFERROR(XLOOKUP(D421,#REF!,#REF!),""))</f>
        <v/>
      </c>
      <c r="J421" s="7" t="str">
        <f ca="1">IFERROR(XLOOKUP(D421,'Spec_Single_H&amp;S'!B:B,'Spec_Single_H&amp;S'!E:E),
IFERROR(XLOOKUP(D421,#REF!,#REF!),""))</f>
        <v/>
      </c>
      <c r="K421" s="7" t="str">
        <f ca="1">IFERROR(XLOOKUP(D421,'Spec_Single_H&amp;S'!B:B,'Spec_Single_H&amp;S'!F:F),
IFERROR(XLOOKUP(D421,#REF!,#REF!),""))</f>
        <v/>
      </c>
      <c r="L421" s="7" t="str">
        <f t="shared" ca="1" si="19"/>
        <v/>
      </c>
    </row>
    <row r="422" spans="5:12" x14ac:dyDescent="0.3">
      <c r="E422" s="7" t="str">
        <f t="shared" si="20"/>
        <v/>
      </c>
      <c r="H422" s="7" t="str">
        <f>IF(B422&lt;&gt;"Silicone","",IFERROR(XLOOKUP(D422,#REF!,#REF!),""))</f>
        <v/>
      </c>
      <c r="J422" s="7" t="str">
        <f ca="1">IFERROR(XLOOKUP(D422,'Spec_Single_H&amp;S'!B:B,'Spec_Single_H&amp;S'!E:E),
IFERROR(XLOOKUP(D422,#REF!,#REF!),""))</f>
        <v/>
      </c>
      <c r="K422" s="7" t="str">
        <f ca="1">IFERROR(XLOOKUP(D422,'Spec_Single_H&amp;S'!B:B,'Spec_Single_H&amp;S'!F:F),
IFERROR(XLOOKUP(D422,#REF!,#REF!),""))</f>
        <v/>
      </c>
      <c r="L422" s="7" t="str">
        <f t="shared" ca="1" si="19"/>
        <v/>
      </c>
    </row>
    <row r="423" spans="5:12" x14ac:dyDescent="0.3">
      <c r="E423" s="7" t="str">
        <f t="shared" si="20"/>
        <v/>
      </c>
      <c r="H423" s="7" t="str">
        <f>IF(B423&lt;&gt;"Silicone","",IFERROR(XLOOKUP(D423,#REF!,#REF!),""))</f>
        <v/>
      </c>
      <c r="J423" s="7" t="str">
        <f ca="1">IFERROR(XLOOKUP(D423,'Spec_Single_H&amp;S'!B:B,'Spec_Single_H&amp;S'!E:E),
IFERROR(XLOOKUP(D423,#REF!,#REF!),""))</f>
        <v/>
      </c>
      <c r="K423" s="7" t="str">
        <f ca="1">IFERROR(XLOOKUP(D423,'Spec_Single_H&amp;S'!B:B,'Spec_Single_H&amp;S'!F:F),
IFERROR(XLOOKUP(D423,#REF!,#REF!),""))</f>
        <v/>
      </c>
      <c r="L423" s="7" t="str">
        <f t="shared" ca="1" si="19"/>
        <v/>
      </c>
    </row>
    <row r="424" spans="5:12" x14ac:dyDescent="0.3">
      <c r="E424" s="7" t="str">
        <f t="shared" si="20"/>
        <v/>
      </c>
      <c r="H424" s="7" t="str">
        <f>IF(B424&lt;&gt;"Silicone","",IFERROR(XLOOKUP(D424,#REF!,#REF!),""))</f>
        <v/>
      </c>
      <c r="J424" s="7" t="str">
        <f ca="1">IFERROR(XLOOKUP(D424,'Spec_Single_H&amp;S'!B:B,'Spec_Single_H&amp;S'!E:E),
IFERROR(XLOOKUP(D424,#REF!,#REF!),""))</f>
        <v/>
      </c>
      <c r="K424" s="7" t="str">
        <f ca="1">IFERROR(XLOOKUP(D424,'Spec_Single_H&amp;S'!B:B,'Spec_Single_H&amp;S'!F:F),
IFERROR(XLOOKUP(D424,#REF!,#REF!),""))</f>
        <v/>
      </c>
      <c r="L424" s="7" t="str">
        <f t="shared" ca="1" si="19"/>
        <v/>
      </c>
    </row>
    <row r="425" spans="5:12" x14ac:dyDescent="0.3">
      <c r="E425" s="7" t="str">
        <f t="shared" si="20"/>
        <v/>
      </c>
      <c r="H425" s="7" t="str">
        <f>IF(B425&lt;&gt;"Silicone","",IFERROR(XLOOKUP(D425,#REF!,#REF!),""))</f>
        <v/>
      </c>
      <c r="J425" s="7" t="str">
        <f ca="1">IFERROR(XLOOKUP(D425,'Spec_Single_H&amp;S'!B:B,'Spec_Single_H&amp;S'!E:E),
IFERROR(XLOOKUP(D425,#REF!,#REF!),""))</f>
        <v/>
      </c>
      <c r="K425" s="7" t="str">
        <f ca="1">IFERROR(XLOOKUP(D425,'Spec_Single_H&amp;S'!B:B,'Spec_Single_H&amp;S'!F:F),
IFERROR(XLOOKUP(D425,#REF!,#REF!),""))</f>
        <v/>
      </c>
      <c r="L425" s="7" t="str">
        <f t="shared" ca="1" si="19"/>
        <v/>
      </c>
    </row>
    <row r="426" spans="5:12" x14ac:dyDescent="0.3">
      <c r="E426" s="7" t="str">
        <f t="shared" si="20"/>
        <v/>
      </c>
      <c r="H426" s="7" t="str">
        <f>IF(B426&lt;&gt;"Silicone","",IFERROR(XLOOKUP(D426,#REF!,#REF!),""))</f>
        <v/>
      </c>
      <c r="J426" s="7" t="str">
        <f ca="1">IFERROR(XLOOKUP(D426,'Spec_Single_H&amp;S'!B:B,'Spec_Single_H&amp;S'!E:E),
IFERROR(XLOOKUP(D426,#REF!,#REF!),""))</f>
        <v/>
      </c>
      <c r="K426" s="7" t="str">
        <f ca="1">IFERROR(XLOOKUP(D426,'Spec_Single_H&amp;S'!B:B,'Spec_Single_H&amp;S'!F:F),
IFERROR(XLOOKUP(D426,#REF!,#REF!),""))</f>
        <v/>
      </c>
      <c r="L426" s="7" t="str">
        <f t="shared" ca="1" si="19"/>
        <v/>
      </c>
    </row>
    <row r="427" spans="5:12" x14ac:dyDescent="0.3">
      <c r="E427" s="7" t="str">
        <f t="shared" si="20"/>
        <v/>
      </c>
      <c r="H427" s="7" t="str">
        <f>IF(B427&lt;&gt;"Silicone","",IFERROR(XLOOKUP(D427,#REF!,#REF!),""))</f>
        <v/>
      </c>
      <c r="J427" s="7" t="str">
        <f ca="1">IFERROR(XLOOKUP(D427,'Spec_Single_H&amp;S'!B:B,'Spec_Single_H&amp;S'!E:E),
IFERROR(XLOOKUP(D427,#REF!,#REF!),""))</f>
        <v/>
      </c>
      <c r="K427" s="7" t="str">
        <f ca="1">IFERROR(XLOOKUP(D427,'Spec_Single_H&amp;S'!B:B,'Spec_Single_H&amp;S'!F:F),
IFERROR(XLOOKUP(D427,#REF!,#REF!),""))</f>
        <v/>
      </c>
      <c r="L427" s="7" t="str">
        <f t="shared" ca="1" si="19"/>
        <v/>
      </c>
    </row>
    <row r="428" spans="5:12" x14ac:dyDescent="0.3">
      <c r="E428" s="7" t="str">
        <f t="shared" si="20"/>
        <v/>
      </c>
      <c r="H428" s="7" t="str">
        <f>IF(B428&lt;&gt;"Silicone","",IFERROR(XLOOKUP(D428,#REF!,#REF!),""))</f>
        <v/>
      </c>
      <c r="J428" s="7" t="str">
        <f ca="1">IFERROR(XLOOKUP(D428,'Spec_Single_H&amp;S'!B:B,'Spec_Single_H&amp;S'!E:E),
IFERROR(XLOOKUP(D428,#REF!,#REF!),""))</f>
        <v/>
      </c>
      <c r="K428" s="7" t="str">
        <f ca="1">IFERROR(XLOOKUP(D428,'Spec_Single_H&amp;S'!B:B,'Spec_Single_H&amp;S'!F:F),
IFERROR(XLOOKUP(D428,#REF!,#REF!),""))</f>
        <v/>
      </c>
      <c r="L428" s="7" t="str">
        <f t="shared" ca="1" si="19"/>
        <v/>
      </c>
    </row>
    <row r="429" spans="5:12" x14ac:dyDescent="0.3">
      <c r="E429" s="7" t="str">
        <f t="shared" si="20"/>
        <v/>
      </c>
      <c r="H429" s="7" t="str">
        <f>IF(B429&lt;&gt;"Silicone","",IFERROR(XLOOKUP(D429,#REF!,#REF!),""))</f>
        <v/>
      </c>
      <c r="J429" s="7" t="str">
        <f ca="1">IFERROR(XLOOKUP(D429,'Spec_Single_H&amp;S'!B:B,'Spec_Single_H&amp;S'!E:E),
IFERROR(XLOOKUP(D429,#REF!,#REF!),""))</f>
        <v/>
      </c>
      <c r="K429" s="7" t="str">
        <f ca="1">IFERROR(XLOOKUP(D429,'Spec_Single_H&amp;S'!B:B,'Spec_Single_H&amp;S'!F:F),
IFERROR(XLOOKUP(D429,#REF!,#REF!),""))</f>
        <v/>
      </c>
      <c r="L429" s="7" t="str">
        <f t="shared" ca="1" si="19"/>
        <v/>
      </c>
    </row>
    <row r="430" spans="5:12" x14ac:dyDescent="0.3">
      <c r="E430" s="7" t="str">
        <f t="shared" si="20"/>
        <v/>
      </c>
      <c r="H430" s="7" t="str">
        <f>IF(B430&lt;&gt;"Silicone","",IFERROR(XLOOKUP(D430,#REF!,#REF!),""))</f>
        <v/>
      </c>
      <c r="J430" s="7" t="str">
        <f ca="1">IFERROR(XLOOKUP(D430,'Spec_Single_H&amp;S'!B:B,'Spec_Single_H&amp;S'!E:E),
IFERROR(XLOOKUP(D430,#REF!,#REF!),""))</f>
        <v/>
      </c>
      <c r="K430" s="7" t="str">
        <f ca="1">IFERROR(XLOOKUP(D430,'Spec_Single_H&amp;S'!B:B,'Spec_Single_H&amp;S'!F:F),
IFERROR(XLOOKUP(D430,#REF!,#REF!),""))</f>
        <v/>
      </c>
      <c r="L430" s="7" t="str">
        <f t="shared" ca="1" si="19"/>
        <v/>
      </c>
    </row>
    <row r="431" spans="5:12" x14ac:dyDescent="0.3">
      <c r="E431" s="7" t="str">
        <f t="shared" si="20"/>
        <v/>
      </c>
      <c r="H431" s="7" t="str">
        <f>IF(B431&lt;&gt;"Silicone","",IFERROR(XLOOKUP(D431,#REF!,#REF!),""))</f>
        <v/>
      </c>
      <c r="J431" s="7" t="str">
        <f ca="1">IFERROR(XLOOKUP(D431,'Spec_Single_H&amp;S'!B:B,'Spec_Single_H&amp;S'!E:E),
IFERROR(XLOOKUP(D431,#REF!,#REF!),""))</f>
        <v/>
      </c>
      <c r="K431" s="7" t="str">
        <f ca="1">IFERROR(XLOOKUP(D431,'Spec_Single_H&amp;S'!B:B,'Spec_Single_H&amp;S'!F:F),
IFERROR(XLOOKUP(D431,#REF!,#REF!),""))</f>
        <v/>
      </c>
      <c r="L431" s="7" t="str">
        <f t="shared" ca="1" si="19"/>
        <v/>
      </c>
    </row>
    <row r="432" spans="5:12" x14ac:dyDescent="0.3">
      <c r="E432" s="7" t="str">
        <f t="shared" si="20"/>
        <v/>
      </c>
      <c r="H432" s="7" t="str">
        <f>IF(B432&lt;&gt;"Silicone","",IFERROR(XLOOKUP(D432,#REF!,#REF!),""))</f>
        <v/>
      </c>
      <c r="J432" s="7" t="str">
        <f ca="1">IFERROR(XLOOKUP(D432,'Spec_Single_H&amp;S'!B:B,'Spec_Single_H&amp;S'!E:E),
IFERROR(XLOOKUP(D432,#REF!,#REF!),""))</f>
        <v/>
      </c>
      <c r="K432" s="7" t="str">
        <f ca="1">IFERROR(XLOOKUP(D432,'Spec_Single_H&amp;S'!B:B,'Spec_Single_H&amp;S'!F:F),
IFERROR(XLOOKUP(D432,#REF!,#REF!),""))</f>
        <v/>
      </c>
      <c r="L432" s="7" t="str">
        <f t="shared" ca="1" si="19"/>
        <v/>
      </c>
    </row>
    <row r="433" spans="5:12" x14ac:dyDescent="0.3">
      <c r="E433" s="7" t="str">
        <f t="shared" si="20"/>
        <v/>
      </c>
      <c r="H433" s="7" t="str">
        <f>IF(B433&lt;&gt;"Silicone","",IFERROR(XLOOKUP(D433,#REF!,#REF!),""))</f>
        <v/>
      </c>
      <c r="J433" s="7" t="str">
        <f ca="1">IFERROR(XLOOKUP(D433,'Spec_Single_H&amp;S'!B:B,'Spec_Single_H&amp;S'!E:E),
IFERROR(XLOOKUP(D433,#REF!,#REF!),""))</f>
        <v/>
      </c>
      <c r="K433" s="7" t="str">
        <f ca="1">IFERROR(XLOOKUP(D433,'Spec_Single_H&amp;S'!B:B,'Spec_Single_H&amp;S'!F:F),
IFERROR(XLOOKUP(D433,#REF!,#REF!),""))</f>
        <v/>
      </c>
      <c r="L433" s="7" t="str">
        <f t="shared" ca="1" si="19"/>
        <v/>
      </c>
    </row>
    <row r="434" spans="5:12" x14ac:dyDescent="0.3">
      <c r="E434" s="7" t="str">
        <f t="shared" si="20"/>
        <v/>
      </c>
      <c r="H434" s="7" t="str">
        <f>IF(B434&lt;&gt;"Silicone","",IFERROR(XLOOKUP(D434,#REF!,#REF!),""))</f>
        <v/>
      </c>
      <c r="J434" s="7" t="str">
        <f ca="1">IFERROR(XLOOKUP(D434,'Spec_Single_H&amp;S'!B:B,'Spec_Single_H&amp;S'!E:E),
IFERROR(XLOOKUP(D434,#REF!,#REF!),""))</f>
        <v/>
      </c>
      <c r="K434" s="7" t="str">
        <f ca="1">IFERROR(XLOOKUP(D434,'Spec_Single_H&amp;S'!B:B,'Spec_Single_H&amp;S'!F:F),
IFERROR(XLOOKUP(D434,#REF!,#REF!),""))</f>
        <v/>
      </c>
      <c r="L434" s="7" t="str">
        <f t="shared" ca="1" si="19"/>
        <v/>
      </c>
    </row>
    <row r="435" spans="5:12" x14ac:dyDescent="0.3">
      <c r="E435" s="7" t="str">
        <f t="shared" si="20"/>
        <v/>
      </c>
      <c r="H435" s="7" t="str">
        <f>IF(B435&lt;&gt;"Silicone","",IFERROR(XLOOKUP(D435,#REF!,#REF!),""))</f>
        <v/>
      </c>
      <c r="J435" s="7" t="str">
        <f ca="1">IFERROR(XLOOKUP(D435,'Spec_Single_H&amp;S'!B:B,'Spec_Single_H&amp;S'!E:E),
IFERROR(XLOOKUP(D435,#REF!,#REF!),""))</f>
        <v/>
      </c>
      <c r="K435" s="7" t="str">
        <f ca="1">IFERROR(XLOOKUP(D435,'Spec_Single_H&amp;S'!B:B,'Spec_Single_H&amp;S'!F:F),
IFERROR(XLOOKUP(D435,#REF!,#REF!),""))</f>
        <v/>
      </c>
      <c r="L435" s="7" t="str">
        <f t="shared" ca="1" si="19"/>
        <v/>
      </c>
    </row>
    <row r="436" spans="5:12" x14ac:dyDescent="0.3">
      <c r="E436" s="7" t="str">
        <f t="shared" si="20"/>
        <v/>
      </c>
      <c r="H436" s="7" t="str">
        <f>IF(B436&lt;&gt;"Silicone","",IFERROR(XLOOKUP(D436,#REF!,#REF!),""))</f>
        <v/>
      </c>
      <c r="J436" s="7" t="str">
        <f ca="1">IFERROR(XLOOKUP(D436,'Spec_Single_H&amp;S'!B:B,'Spec_Single_H&amp;S'!E:E),
IFERROR(XLOOKUP(D436,#REF!,#REF!),""))</f>
        <v/>
      </c>
      <c r="K436" s="7" t="str">
        <f ca="1">IFERROR(XLOOKUP(D436,'Spec_Single_H&amp;S'!B:B,'Spec_Single_H&amp;S'!F:F),
IFERROR(XLOOKUP(D436,#REF!,#REF!),""))</f>
        <v/>
      </c>
      <c r="L436" s="7" t="str">
        <f t="shared" ca="1" si="19"/>
        <v/>
      </c>
    </row>
    <row r="437" spans="5:12" x14ac:dyDescent="0.3">
      <c r="E437" s="7" t="str">
        <f t="shared" si="20"/>
        <v/>
      </c>
      <c r="H437" s="7" t="str">
        <f>IF(B437&lt;&gt;"Silicone","",IFERROR(XLOOKUP(D437,#REF!,#REF!),""))</f>
        <v/>
      </c>
      <c r="J437" s="7" t="str">
        <f ca="1">IFERROR(XLOOKUP(D437,'Spec_Single_H&amp;S'!B:B,'Spec_Single_H&amp;S'!E:E),
IFERROR(XLOOKUP(D437,#REF!,#REF!),""))</f>
        <v/>
      </c>
      <c r="K437" s="7" t="str">
        <f ca="1">IFERROR(XLOOKUP(D437,'Spec_Single_H&amp;S'!B:B,'Spec_Single_H&amp;S'!F:F),
IFERROR(XLOOKUP(D437,#REF!,#REF!),""))</f>
        <v/>
      </c>
      <c r="L437" s="7" t="str">
        <f t="shared" ca="1" si="19"/>
        <v/>
      </c>
    </row>
    <row r="438" spans="5:12" x14ac:dyDescent="0.3">
      <c r="E438" s="7" t="str">
        <f t="shared" si="20"/>
        <v/>
      </c>
      <c r="H438" s="7" t="str">
        <f>IF(B438&lt;&gt;"Silicone","",IFERROR(XLOOKUP(D438,#REF!,#REF!),""))</f>
        <v/>
      </c>
      <c r="J438" s="7" t="str">
        <f ca="1">IFERROR(XLOOKUP(D438,'Spec_Single_H&amp;S'!B:B,'Spec_Single_H&amp;S'!E:E),
IFERROR(XLOOKUP(D438,#REF!,#REF!),""))</f>
        <v/>
      </c>
      <c r="K438" s="7" t="str">
        <f ca="1">IFERROR(XLOOKUP(D438,'Spec_Single_H&amp;S'!B:B,'Spec_Single_H&amp;S'!F:F),
IFERROR(XLOOKUP(D438,#REF!,#REF!),""))</f>
        <v/>
      </c>
      <c r="L438" s="7" t="str">
        <f t="shared" ca="1" si="19"/>
        <v/>
      </c>
    </row>
    <row r="439" spans="5:12" x14ac:dyDescent="0.3">
      <c r="E439" s="7" t="str">
        <f t="shared" si="20"/>
        <v/>
      </c>
      <c r="H439" s="7" t="str">
        <f>IF(B439&lt;&gt;"Silicone","",IFERROR(XLOOKUP(D439,#REF!,#REF!),""))</f>
        <v/>
      </c>
      <c r="J439" s="7" t="str">
        <f ca="1">IFERROR(XLOOKUP(D439,'Spec_Single_H&amp;S'!B:B,'Spec_Single_H&amp;S'!E:E),
IFERROR(XLOOKUP(D439,#REF!,#REF!),""))</f>
        <v/>
      </c>
      <c r="K439" s="7" t="str">
        <f ca="1">IFERROR(XLOOKUP(D439,'Spec_Single_H&amp;S'!B:B,'Spec_Single_H&amp;S'!F:F),
IFERROR(XLOOKUP(D439,#REF!,#REF!),""))</f>
        <v/>
      </c>
      <c r="L439" s="7" t="str">
        <f t="shared" ca="1" si="19"/>
        <v/>
      </c>
    </row>
    <row r="440" spans="5:12" x14ac:dyDescent="0.3">
      <c r="E440" s="7" t="str">
        <f t="shared" si="20"/>
        <v/>
      </c>
      <c r="H440" s="7" t="str">
        <f>IF(B440&lt;&gt;"Silicone","",IFERROR(XLOOKUP(D440,#REF!,#REF!),""))</f>
        <v/>
      </c>
      <c r="J440" s="7" t="str">
        <f ca="1">IFERROR(XLOOKUP(D440,'Spec_Single_H&amp;S'!B:B,'Spec_Single_H&amp;S'!E:E),
IFERROR(XLOOKUP(D440,#REF!,#REF!),""))</f>
        <v/>
      </c>
      <c r="K440" s="7" t="str">
        <f ca="1">IFERROR(XLOOKUP(D440,'Spec_Single_H&amp;S'!B:B,'Spec_Single_H&amp;S'!F:F),
IFERROR(XLOOKUP(D440,#REF!,#REF!),""))</f>
        <v/>
      </c>
      <c r="L440" s="7" t="str">
        <f t="shared" ca="1" si="19"/>
        <v/>
      </c>
    </row>
    <row r="441" spans="5:12" x14ac:dyDescent="0.3">
      <c r="E441" s="7" t="str">
        <f t="shared" si="20"/>
        <v/>
      </c>
      <c r="H441" s="7" t="str">
        <f>IF(B441&lt;&gt;"Silicone","",IFERROR(XLOOKUP(D441,#REF!,#REF!),""))</f>
        <v/>
      </c>
      <c r="J441" s="7" t="str">
        <f ca="1">IFERROR(XLOOKUP(D441,'Spec_Single_H&amp;S'!B:B,'Spec_Single_H&amp;S'!E:E),
IFERROR(XLOOKUP(D441,#REF!,#REF!),""))</f>
        <v/>
      </c>
      <c r="K441" s="7" t="str">
        <f ca="1">IFERROR(XLOOKUP(D441,'Spec_Single_H&amp;S'!B:B,'Spec_Single_H&amp;S'!F:F),
IFERROR(XLOOKUP(D441,#REF!,#REF!),""))</f>
        <v/>
      </c>
      <c r="L441" s="7" t="str">
        <f t="shared" ca="1" si="19"/>
        <v/>
      </c>
    </row>
    <row r="442" spans="5:12" x14ac:dyDescent="0.3">
      <c r="E442" s="7" t="str">
        <f t="shared" si="20"/>
        <v/>
      </c>
      <c r="H442" s="7" t="str">
        <f>IF(B442&lt;&gt;"Silicone","",IFERROR(XLOOKUP(D442,#REF!,#REF!),""))</f>
        <v/>
      </c>
      <c r="J442" s="7" t="str">
        <f ca="1">IFERROR(XLOOKUP(D442,'Spec_Single_H&amp;S'!B:B,'Spec_Single_H&amp;S'!E:E),
IFERROR(XLOOKUP(D442,#REF!,#REF!),""))</f>
        <v/>
      </c>
      <c r="K442" s="7" t="str">
        <f ca="1">IFERROR(XLOOKUP(D442,'Spec_Single_H&amp;S'!B:B,'Spec_Single_H&amp;S'!F:F),
IFERROR(XLOOKUP(D442,#REF!,#REF!),""))</f>
        <v/>
      </c>
      <c r="L442" s="7" t="str">
        <f t="shared" ca="1" si="19"/>
        <v/>
      </c>
    </row>
    <row r="443" spans="5:12" x14ac:dyDescent="0.3">
      <c r="E443" s="7" t="str">
        <f t="shared" si="20"/>
        <v/>
      </c>
      <c r="H443" s="7" t="str">
        <f>IF(B443&lt;&gt;"Silicone","",IFERROR(XLOOKUP(D443,#REF!,#REF!),""))</f>
        <v/>
      </c>
      <c r="J443" s="7" t="str">
        <f ca="1">IFERROR(XLOOKUP(D443,'Spec_Single_H&amp;S'!B:B,'Spec_Single_H&amp;S'!E:E),
IFERROR(XLOOKUP(D443,#REF!,#REF!),""))</f>
        <v/>
      </c>
      <c r="K443" s="7" t="str">
        <f ca="1">IFERROR(XLOOKUP(D443,'Spec_Single_H&amp;S'!B:B,'Spec_Single_H&amp;S'!F:F),
IFERROR(XLOOKUP(D443,#REF!,#REF!),""))</f>
        <v/>
      </c>
      <c r="L443" s="7" t="str">
        <f t="shared" ca="1" si="19"/>
        <v/>
      </c>
    </row>
    <row r="444" spans="5:12" x14ac:dyDescent="0.3">
      <c r="E444" s="7" t="str">
        <f t="shared" si="20"/>
        <v/>
      </c>
      <c r="H444" s="7" t="str">
        <f>IF(B444&lt;&gt;"Silicone","",IFERROR(XLOOKUP(D444,#REF!,#REF!),""))</f>
        <v/>
      </c>
      <c r="J444" s="7" t="str">
        <f ca="1">IFERROR(XLOOKUP(D444,'Spec_Single_H&amp;S'!B:B,'Spec_Single_H&amp;S'!E:E),
IFERROR(XLOOKUP(D444,#REF!,#REF!),""))</f>
        <v/>
      </c>
      <c r="K444" s="7" t="str">
        <f ca="1">IFERROR(XLOOKUP(D444,'Spec_Single_H&amp;S'!B:B,'Spec_Single_H&amp;S'!F:F),
IFERROR(XLOOKUP(D444,#REF!,#REF!),""))</f>
        <v/>
      </c>
      <c r="L444" s="7" t="str">
        <f t="shared" ca="1" si="19"/>
        <v/>
      </c>
    </row>
    <row r="445" spans="5:12" x14ac:dyDescent="0.3">
      <c r="E445" s="7" t="str">
        <f t="shared" si="20"/>
        <v/>
      </c>
      <c r="H445" s="7" t="str">
        <f>IF(B445&lt;&gt;"Silicone","",IFERROR(XLOOKUP(D445,#REF!,#REF!),""))</f>
        <v/>
      </c>
      <c r="J445" s="7" t="str">
        <f ca="1">IFERROR(XLOOKUP(D445,'Spec_Single_H&amp;S'!B:B,'Spec_Single_H&amp;S'!E:E),
IFERROR(XLOOKUP(D445,#REF!,#REF!),""))</f>
        <v/>
      </c>
      <c r="K445" s="7" t="str">
        <f ca="1">IFERROR(XLOOKUP(D445,'Spec_Single_H&amp;S'!B:B,'Spec_Single_H&amp;S'!F:F),
IFERROR(XLOOKUP(D445,#REF!,#REF!),""))</f>
        <v/>
      </c>
      <c r="L445" s="7" t="str">
        <f t="shared" ca="1" si="19"/>
        <v/>
      </c>
    </row>
    <row r="446" spans="5:12" x14ac:dyDescent="0.3">
      <c r="E446" s="7" t="str">
        <f t="shared" si="20"/>
        <v/>
      </c>
      <c r="H446" s="7" t="str">
        <f>IF(B446&lt;&gt;"Silicone","",IFERROR(XLOOKUP(D446,#REF!,#REF!),""))</f>
        <v/>
      </c>
      <c r="J446" s="7" t="str">
        <f ca="1">IFERROR(XLOOKUP(D446,'Spec_Single_H&amp;S'!B:B,'Spec_Single_H&amp;S'!E:E),
IFERROR(XLOOKUP(D446,#REF!,#REF!),""))</f>
        <v/>
      </c>
      <c r="K446" s="7" t="str">
        <f ca="1">IFERROR(XLOOKUP(D446,'Spec_Single_H&amp;S'!B:B,'Spec_Single_H&amp;S'!F:F),
IFERROR(XLOOKUP(D446,#REF!,#REF!),""))</f>
        <v/>
      </c>
      <c r="L446" s="7" t="str">
        <f t="shared" ca="1" si="19"/>
        <v/>
      </c>
    </row>
    <row r="447" spans="5:12" x14ac:dyDescent="0.3">
      <c r="E447" s="7" t="str">
        <f t="shared" si="20"/>
        <v/>
      </c>
      <c r="H447" s="7" t="str">
        <f>IF(B447&lt;&gt;"Silicone","",IFERROR(XLOOKUP(D447,#REF!,#REF!),""))</f>
        <v/>
      </c>
      <c r="J447" s="7" t="str">
        <f ca="1">IFERROR(XLOOKUP(D447,'Spec_Single_H&amp;S'!B:B,'Spec_Single_H&amp;S'!E:E),
IFERROR(XLOOKUP(D447,#REF!,#REF!),""))</f>
        <v/>
      </c>
      <c r="K447" s="7" t="str">
        <f ca="1">IFERROR(XLOOKUP(D447,'Spec_Single_H&amp;S'!B:B,'Spec_Single_H&amp;S'!F:F),
IFERROR(XLOOKUP(D447,#REF!,#REF!),""))</f>
        <v/>
      </c>
      <c r="L447" s="7" t="str">
        <f t="shared" ca="1" si="19"/>
        <v/>
      </c>
    </row>
    <row r="448" spans="5:12" x14ac:dyDescent="0.3">
      <c r="E448" s="7" t="str">
        <f t="shared" si="20"/>
        <v/>
      </c>
      <c r="H448" s="7" t="str">
        <f>IF(B448&lt;&gt;"Silicone","",IFERROR(XLOOKUP(D448,#REF!,#REF!),""))</f>
        <v/>
      </c>
      <c r="J448" s="7" t="str">
        <f ca="1">IFERROR(XLOOKUP(D448,'Spec_Single_H&amp;S'!B:B,'Spec_Single_H&amp;S'!E:E),
IFERROR(XLOOKUP(D448,#REF!,#REF!),""))</f>
        <v/>
      </c>
      <c r="K448" s="7" t="str">
        <f ca="1">IFERROR(XLOOKUP(D448,'Spec_Single_H&amp;S'!B:B,'Spec_Single_H&amp;S'!F:F),
IFERROR(XLOOKUP(D448,#REF!,#REF!),""))</f>
        <v/>
      </c>
      <c r="L448" s="7" t="str">
        <f t="shared" ca="1" si="19"/>
        <v/>
      </c>
    </row>
    <row r="449" spans="5:12" x14ac:dyDescent="0.3">
      <c r="E449" s="7" t="str">
        <f t="shared" si="20"/>
        <v/>
      </c>
      <c r="H449" s="7" t="str">
        <f>IF(B449&lt;&gt;"Silicone","",IFERROR(XLOOKUP(D449,#REF!,#REF!),""))</f>
        <v/>
      </c>
      <c r="J449" s="7" t="str">
        <f ca="1">IFERROR(XLOOKUP(D449,'Spec_Single_H&amp;S'!B:B,'Spec_Single_H&amp;S'!E:E),
IFERROR(XLOOKUP(D449,#REF!,#REF!),""))</f>
        <v/>
      </c>
      <c r="K449" s="7" t="str">
        <f ca="1">IFERROR(XLOOKUP(D449,'Spec_Single_H&amp;S'!B:B,'Spec_Single_H&amp;S'!F:F),
IFERROR(XLOOKUP(D449,#REF!,#REF!),""))</f>
        <v/>
      </c>
      <c r="L449" s="7" t="str">
        <f t="shared" ca="1" si="19"/>
        <v/>
      </c>
    </row>
    <row r="450" spans="5:12" x14ac:dyDescent="0.3">
      <c r="E450" s="7" t="str">
        <f t="shared" si="20"/>
        <v/>
      </c>
      <c r="H450" s="7" t="str">
        <f>IF(B450&lt;&gt;"Silicone","",IFERROR(XLOOKUP(D450,#REF!,#REF!),""))</f>
        <v/>
      </c>
      <c r="J450" s="7" t="str">
        <f ca="1">IFERROR(XLOOKUP(D450,'Spec_Single_H&amp;S'!B:B,'Spec_Single_H&amp;S'!E:E),
IFERROR(XLOOKUP(D450,#REF!,#REF!),""))</f>
        <v/>
      </c>
      <c r="K450" s="7" t="str">
        <f ca="1">IFERROR(XLOOKUP(D450,'Spec_Single_H&amp;S'!B:B,'Spec_Single_H&amp;S'!F:F),
IFERROR(XLOOKUP(D450,#REF!,#REF!),""))</f>
        <v/>
      </c>
      <c r="L450" s="7" t="str">
        <f t="shared" ca="1" si="19"/>
        <v/>
      </c>
    </row>
    <row r="451" spans="5:12" x14ac:dyDescent="0.3">
      <c r="E451" s="7" t="str">
        <f t="shared" si="20"/>
        <v/>
      </c>
      <c r="H451" s="7" t="str">
        <f>IF(B451&lt;&gt;"Silicone","",IFERROR(XLOOKUP(D451,#REF!,#REF!),""))</f>
        <v/>
      </c>
      <c r="J451" s="7" t="str">
        <f ca="1">IFERROR(XLOOKUP(D451,'Spec_Single_H&amp;S'!B:B,'Spec_Single_H&amp;S'!E:E),
IFERROR(XLOOKUP(D451,#REF!,#REF!),""))</f>
        <v/>
      </c>
      <c r="K451" s="7" t="str">
        <f ca="1">IFERROR(XLOOKUP(D451,'Spec_Single_H&amp;S'!B:B,'Spec_Single_H&amp;S'!F:F),
IFERROR(XLOOKUP(D451,#REF!,#REF!),""))</f>
        <v/>
      </c>
      <c r="L451" s="7" t="str">
        <f t="shared" ca="1" si="19"/>
        <v/>
      </c>
    </row>
    <row r="452" spans="5:12" x14ac:dyDescent="0.3">
      <c r="E452" s="7" t="str">
        <f t="shared" si="20"/>
        <v/>
      </c>
      <c r="H452" s="7" t="str">
        <f>IF(B452&lt;&gt;"Silicone","",IFERROR(XLOOKUP(D452,#REF!,#REF!),""))</f>
        <v/>
      </c>
      <c r="J452" s="7" t="str">
        <f ca="1">IFERROR(XLOOKUP(D452,'Spec_Single_H&amp;S'!B:B,'Spec_Single_H&amp;S'!E:E),
IFERROR(XLOOKUP(D452,#REF!,#REF!),""))</f>
        <v/>
      </c>
      <c r="K452" s="7" t="str">
        <f ca="1">IFERROR(XLOOKUP(D452,'Spec_Single_H&amp;S'!B:B,'Spec_Single_H&amp;S'!F:F),
IFERROR(XLOOKUP(D452,#REF!,#REF!),""))</f>
        <v/>
      </c>
      <c r="L452" s="7" t="str">
        <f t="shared" ca="1" si="19"/>
        <v/>
      </c>
    </row>
    <row r="453" spans="5:12" x14ac:dyDescent="0.3">
      <c r="E453" s="7" t="str">
        <f t="shared" si="20"/>
        <v/>
      </c>
      <c r="H453" s="7" t="str">
        <f>IF(B453&lt;&gt;"Silicone","",IFERROR(XLOOKUP(D453,#REF!,#REF!),""))</f>
        <v/>
      </c>
      <c r="J453" s="7" t="str">
        <f ca="1">IFERROR(XLOOKUP(D453,'Spec_Single_H&amp;S'!B:B,'Spec_Single_H&amp;S'!E:E),
IFERROR(XLOOKUP(D453,#REF!,#REF!),""))</f>
        <v/>
      </c>
      <c r="K453" s="7" t="str">
        <f ca="1">IFERROR(XLOOKUP(D453,'Spec_Single_H&amp;S'!B:B,'Spec_Single_H&amp;S'!F:F),
IFERROR(XLOOKUP(D453,#REF!,#REF!),""))</f>
        <v/>
      </c>
      <c r="L453" s="7" t="str">
        <f t="shared" ca="1" si="19"/>
        <v/>
      </c>
    </row>
    <row r="454" spans="5:12" x14ac:dyDescent="0.3">
      <c r="E454" s="7" t="str">
        <f t="shared" si="20"/>
        <v/>
      </c>
      <c r="H454" s="7" t="str">
        <f>IF(B454&lt;&gt;"Silicone","",IFERROR(XLOOKUP(D454,#REF!,#REF!),""))</f>
        <v/>
      </c>
      <c r="J454" s="7" t="str">
        <f ca="1">IFERROR(XLOOKUP(D454,'Spec_Single_H&amp;S'!B:B,'Spec_Single_H&amp;S'!E:E),
IFERROR(XLOOKUP(D454,#REF!,#REF!),""))</f>
        <v/>
      </c>
      <c r="K454" s="7" t="str">
        <f ca="1">IFERROR(XLOOKUP(D454,'Spec_Single_H&amp;S'!B:B,'Spec_Single_H&amp;S'!F:F),
IFERROR(XLOOKUP(D454,#REF!,#REF!),""))</f>
        <v/>
      </c>
      <c r="L454" s="7" t="str">
        <f t="shared" ca="1" si="19"/>
        <v/>
      </c>
    </row>
    <row r="455" spans="5:12" x14ac:dyDescent="0.3">
      <c r="E455" s="7" t="str">
        <f t="shared" si="20"/>
        <v/>
      </c>
      <c r="H455" s="7" t="str">
        <f>IF(B455&lt;&gt;"Silicone","",IFERROR(XLOOKUP(D455,#REF!,#REF!),""))</f>
        <v/>
      </c>
      <c r="J455" s="7" t="str">
        <f ca="1">IFERROR(XLOOKUP(D455,'Spec_Single_H&amp;S'!B:B,'Spec_Single_H&amp;S'!E:E),
IFERROR(XLOOKUP(D455,#REF!,#REF!),""))</f>
        <v/>
      </c>
      <c r="K455" s="7" t="str">
        <f ca="1">IFERROR(XLOOKUP(D455,'Spec_Single_H&amp;S'!B:B,'Spec_Single_H&amp;S'!F:F),
IFERROR(XLOOKUP(D455,#REF!,#REF!),""))</f>
        <v/>
      </c>
      <c r="L455" s="7" t="str">
        <f t="shared" ca="1" si="19"/>
        <v/>
      </c>
    </row>
    <row r="456" spans="5:12" x14ac:dyDescent="0.3">
      <c r="E456" s="7" t="str">
        <f t="shared" si="20"/>
        <v/>
      </c>
      <c r="H456" s="7" t="str">
        <f>IF(B456&lt;&gt;"Silicone","",IFERROR(XLOOKUP(D456,#REF!,#REF!),""))</f>
        <v/>
      </c>
      <c r="J456" s="7" t="str">
        <f ca="1">IFERROR(XLOOKUP(D456,'Spec_Single_H&amp;S'!B:B,'Spec_Single_H&amp;S'!E:E),
IFERROR(XLOOKUP(D456,#REF!,#REF!),""))</f>
        <v/>
      </c>
      <c r="K456" s="7" t="str">
        <f ca="1">IFERROR(XLOOKUP(D456,'Spec_Single_H&amp;S'!B:B,'Spec_Single_H&amp;S'!F:F),
IFERROR(XLOOKUP(D456,#REF!,#REF!),""))</f>
        <v/>
      </c>
      <c r="L456" s="7" t="str">
        <f t="shared" ref="L456:L519" ca="1" si="21">IF(AND(NOT(ISBLANK(I456)),I456&gt;=J456,I456&lt;=K456),"적합",IF(ISBLANK(I456),"", "부적합"))</f>
        <v/>
      </c>
    </row>
    <row r="457" spans="5:12" x14ac:dyDescent="0.3">
      <c r="E457" s="7" t="str">
        <f t="shared" ref="E457:E520" si="22">IF(D457="","",IF(B457="Silicone", "SL" &amp; IF(C457="Black","B",IF(C457="White","W",IF(C457="Blue","U",IF(C457="Green","G",IF(C457="Yellow","Y",IF(C457="Red","R",IF(C457="Pink","P",""))))))) &amp; TEXT(A457,"yymmdd") &amp; "01",IF(LEFT(D457,3)="NPL","NPL","PL") &amp; IF(C457="Black","B",IF(C457="White","W",IF(C457="Blue","U",IF(C457="Green","G",IF(C457="Yellow","Y",IF(C457="Red","R",IF(C457="Pink","P",""))))))) &amp; TEXT(A457,"yymmdd") &amp; "01"))</f>
        <v/>
      </c>
      <c r="H457" s="7" t="str">
        <f>IF(B457&lt;&gt;"Silicone","",IFERROR(XLOOKUP(D457,#REF!,#REF!),""))</f>
        <v/>
      </c>
      <c r="J457" s="7" t="str">
        <f ca="1">IFERROR(XLOOKUP(D457,'Spec_Single_H&amp;S'!B:B,'Spec_Single_H&amp;S'!E:E),
IFERROR(XLOOKUP(D457,#REF!,#REF!),""))</f>
        <v/>
      </c>
      <c r="K457" s="7" t="str">
        <f ca="1">IFERROR(XLOOKUP(D457,'Spec_Single_H&amp;S'!B:B,'Spec_Single_H&amp;S'!F:F),
IFERROR(XLOOKUP(D457,#REF!,#REF!),""))</f>
        <v/>
      </c>
      <c r="L457" s="7" t="str">
        <f t="shared" ca="1" si="21"/>
        <v/>
      </c>
    </row>
    <row r="458" spans="5:12" x14ac:dyDescent="0.3">
      <c r="E458" s="7" t="str">
        <f t="shared" si="22"/>
        <v/>
      </c>
      <c r="H458" s="7" t="str">
        <f>IF(B458&lt;&gt;"Silicone","",IFERROR(XLOOKUP(D458,#REF!,#REF!),""))</f>
        <v/>
      </c>
      <c r="J458" s="7" t="str">
        <f ca="1">IFERROR(XLOOKUP(D458,'Spec_Single_H&amp;S'!B:B,'Spec_Single_H&amp;S'!E:E),
IFERROR(XLOOKUP(D458,#REF!,#REF!),""))</f>
        <v/>
      </c>
      <c r="K458" s="7" t="str">
        <f ca="1">IFERROR(XLOOKUP(D458,'Spec_Single_H&amp;S'!B:B,'Spec_Single_H&amp;S'!F:F),
IFERROR(XLOOKUP(D458,#REF!,#REF!),""))</f>
        <v/>
      </c>
      <c r="L458" s="7" t="str">
        <f t="shared" ca="1" si="21"/>
        <v/>
      </c>
    </row>
    <row r="459" spans="5:12" x14ac:dyDescent="0.3">
      <c r="E459" s="7" t="str">
        <f t="shared" si="22"/>
        <v/>
      </c>
      <c r="H459" s="7" t="str">
        <f>IF(B459&lt;&gt;"Silicone","",IFERROR(XLOOKUP(D459,#REF!,#REF!),""))</f>
        <v/>
      </c>
      <c r="J459" s="7" t="str">
        <f ca="1">IFERROR(XLOOKUP(D459,'Spec_Single_H&amp;S'!B:B,'Spec_Single_H&amp;S'!E:E),
IFERROR(XLOOKUP(D459,#REF!,#REF!),""))</f>
        <v/>
      </c>
      <c r="K459" s="7" t="str">
        <f ca="1">IFERROR(XLOOKUP(D459,'Spec_Single_H&amp;S'!B:B,'Spec_Single_H&amp;S'!F:F),
IFERROR(XLOOKUP(D459,#REF!,#REF!),""))</f>
        <v/>
      </c>
      <c r="L459" s="7" t="str">
        <f t="shared" ca="1" si="21"/>
        <v/>
      </c>
    </row>
    <row r="460" spans="5:12" x14ac:dyDescent="0.3">
      <c r="E460" s="7" t="str">
        <f t="shared" si="22"/>
        <v/>
      </c>
      <c r="H460" s="7" t="str">
        <f>IF(B460&lt;&gt;"Silicone","",IFERROR(XLOOKUP(D460,#REF!,#REF!),""))</f>
        <v/>
      </c>
      <c r="J460" s="7" t="str">
        <f ca="1">IFERROR(XLOOKUP(D460,'Spec_Single_H&amp;S'!B:B,'Spec_Single_H&amp;S'!E:E),
IFERROR(XLOOKUP(D460,#REF!,#REF!),""))</f>
        <v/>
      </c>
      <c r="K460" s="7" t="str">
        <f ca="1">IFERROR(XLOOKUP(D460,'Spec_Single_H&amp;S'!B:B,'Spec_Single_H&amp;S'!F:F),
IFERROR(XLOOKUP(D460,#REF!,#REF!),""))</f>
        <v/>
      </c>
      <c r="L460" s="7" t="str">
        <f t="shared" ca="1" si="21"/>
        <v/>
      </c>
    </row>
    <row r="461" spans="5:12" x14ac:dyDescent="0.3">
      <c r="E461" s="7" t="str">
        <f t="shared" si="22"/>
        <v/>
      </c>
      <c r="H461" s="7" t="str">
        <f>IF(B461&lt;&gt;"Silicone","",IFERROR(XLOOKUP(D461,#REF!,#REF!),""))</f>
        <v/>
      </c>
      <c r="J461" s="7" t="str">
        <f ca="1">IFERROR(XLOOKUP(D461,'Spec_Single_H&amp;S'!B:B,'Spec_Single_H&amp;S'!E:E),
IFERROR(XLOOKUP(D461,#REF!,#REF!),""))</f>
        <v/>
      </c>
      <c r="K461" s="7" t="str">
        <f ca="1">IFERROR(XLOOKUP(D461,'Spec_Single_H&amp;S'!B:B,'Spec_Single_H&amp;S'!F:F),
IFERROR(XLOOKUP(D461,#REF!,#REF!),""))</f>
        <v/>
      </c>
      <c r="L461" s="7" t="str">
        <f t="shared" ca="1" si="21"/>
        <v/>
      </c>
    </row>
    <row r="462" spans="5:12" x14ac:dyDescent="0.3">
      <c r="E462" s="7" t="str">
        <f t="shared" si="22"/>
        <v/>
      </c>
      <c r="H462" s="7" t="str">
        <f>IF(B462&lt;&gt;"Silicone","",IFERROR(XLOOKUP(D462,#REF!,#REF!),""))</f>
        <v/>
      </c>
      <c r="J462" s="7" t="str">
        <f ca="1">IFERROR(XLOOKUP(D462,'Spec_Single_H&amp;S'!B:B,'Spec_Single_H&amp;S'!E:E),
IFERROR(XLOOKUP(D462,#REF!,#REF!),""))</f>
        <v/>
      </c>
      <c r="K462" s="7" t="str">
        <f ca="1">IFERROR(XLOOKUP(D462,'Spec_Single_H&amp;S'!B:B,'Spec_Single_H&amp;S'!F:F),
IFERROR(XLOOKUP(D462,#REF!,#REF!),""))</f>
        <v/>
      </c>
      <c r="L462" s="7" t="str">
        <f t="shared" ca="1" si="21"/>
        <v/>
      </c>
    </row>
    <row r="463" spans="5:12" x14ac:dyDescent="0.3">
      <c r="E463" s="7" t="str">
        <f t="shared" si="22"/>
        <v/>
      </c>
      <c r="H463" s="7" t="str">
        <f>IF(B463&lt;&gt;"Silicone","",IFERROR(XLOOKUP(D463,#REF!,#REF!),""))</f>
        <v/>
      </c>
      <c r="J463" s="7" t="str">
        <f ca="1">IFERROR(XLOOKUP(D463,'Spec_Single_H&amp;S'!B:B,'Spec_Single_H&amp;S'!E:E),
IFERROR(XLOOKUP(D463,#REF!,#REF!),""))</f>
        <v/>
      </c>
      <c r="K463" s="7" t="str">
        <f ca="1">IFERROR(XLOOKUP(D463,'Spec_Single_H&amp;S'!B:B,'Spec_Single_H&amp;S'!F:F),
IFERROR(XLOOKUP(D463,#REF!,#REF!),""))</f>
        <v/>
      </c>
      <c r="L463" s="7" t="str">
        <f t="shared" ca="1" si="21"/>
        <v/>
      </c>
    </row>
    <row r="464" spans="5:12" x14ac:dyDescent="0.3">
      <c r="E464" s="7" t="str">
        <f t="shared" si="22"/>
        <v/>
      </c>
      <c r="H464" s="7" t="str">
        <f>IF(B464&lt;&gt;"Silicone","",IFERROR(XLOOKUP(D464,#REF!,#REF!),""))</f>
        <v/>
      </c>
      <c r="J464" s="7" t="str">
        <f ca="1">IFERROR(XLOOKUP(D464,'Spec_Single_H&amp;S'!B:B,'Spec_Single_H&amp;S'!E:E),
IFERROR(XLOOKUP(D464,#REF!,#REF!),""))</f>
        <v/>
      </c>
      <c r="K464" s="7" t="str">
        <f ca="1">IFERROR(XLOOKUP(D464,'Spec_Single_H&amp;S'!B:B,'Spec_Single_H&amp;S'!F:F),
IFERROR(XLOOKUP(D464,#REF!,#REF!),""))</f>
        <v/>
      </c>
      <c r="L464" s="7" t="str">
        <f t="shared" ca="1" si="21"/>
        <v/>
      </c>
    </row>
    <row r="465" spans="5:12" x14ac:dyDescent="0.3">
      <c r="E465" s="7" t="str">
        <f t="shared" si="22"/>
        <v/>
      </c>
      <c r="H465" s="7" t="str">
        <f>IF(B465&lt;&gt;"Silicone","",IFERROR(XLOOKUP(D465,#REF!,#REF!),""))</f>
        <v/>
      </c>
      <c r="J465" s="7" t="str">
        <f ca="1">IFERROR(XLOOKUP(D465,'Spec_Single_H&amp;S'!B:B,'Spec_Single_H&amp;S'!E:E),
IFERROR(XLOOKUP(D465,#REF!,#REF!),""))</f>
        <v/>
      </c>
      <c r="K465" s="7" t="str">
        <f ca="1">IFERROR(XLOOKUP(D465,'Spec_Single_H&amp;S'!B:B,'Spec_Single_H&amp;S'!F:F),
IFERROR(XLOOKUP(D465,#REF!,#REF!),""))</f>
        <v/>
      </c>
      <c r="L465" s="7" t="str">
        <f t="shared" ca="1" si="21"/>
        <v/>
      </c>
    </row>
    <row r="466" spans="5:12" x14ac:dyDescent="0.3">
      <c r="E466" s="7" t="str">
        <f t="shared" si="22"/>
        <v/>
      </c>
      <c r="H466" s="7" t="str">
        <f>IF(B466&lt;&gt;"Silicone","",IFERROR(XLOOKUP(D466,#REF!,#REF!),""))</f>
        <v/>
      </c>
      <c r="J466" s="7" t="str">
        <f ca="1">IFERROR(XLOOKUP(D466,'Spec_Single_H&amp;S'!B:B,'Spec_Single_H&amp;S'!E:E),
IFERROR(XLOOKUP(D466,#REF!,#REF!),""))</f>
        <v/>
      </c>
      <c r="K466" s="7" t="str">
        <f ca="1">IFERROR(XLOOKUP(D466,'Spec_Single_H&amp;S'!B:B,'Spec_Single_H&amp;S'!F:F),
IFERROR(XLOOKUP(D466,#REF!,#REF!),""))</f>
        <v/>
      </c>
      <c r="L466" s="7" t="str">
        <f t="shared" ca="1" si="21"/>
        <v/>
      </c>
    </row>
    <row r="467" spans="5:12" x14ac:dyDescent="0.3">
      <c r="E467" s="7" t="str">
        <f t="shared" si="22"/>
        <v/>
      </c>
      <c r="H467" s="7" t="str">
        <f>IF(B467&lt;&gt;"Silicone","",IFERROR(XLOOKUP(D467,#REF!,#REF!),""))</f>
        <v/>
      </c>
      <c r="J467" s="7" t="str">
        <f ca="1">IFERROR(XLOOKUP(D467,'Spec_Single_H&amp;S'!B:B,'Spec_Single_H&amp;S'!E:E),
IFERROR(XLOOKUP(D467,#REF!,#REF!),""))</f>
        <v/>
      </c>
      <c r="K467" s="7" t="str">
        <f ca="1">IFERROR(XLOOKUP(D467,'Spec_Single_H&amp;S'!B:B,'Spec_Single_H&amp;S'!F:F),
IFERROR(XLOOKUP(D467,#REF!,#REF!),""))</f>
        <v/>
      </c>
      <c r="L467" s="7" t="str">
        <f t="shared" ca="1" si="21"/>
        <v/>
      </c>
    </row>
    <row r="468" spans="5:12" x14ac:dyDescent="0.3">
      <c r="E468" s="7" t="str">
        <f t="shared" si="22"/>
        <v/>
      </c>
      <c r="H468" s="7" t="str">
        <f>IF(B468&lt;&gt;"Silicone","",IFERROR(XLOOKUP(D468,#REF!,#REF!),""))</f>
        <v/>
      </c>
      <c r="J468" s="7" t="str">
        <f ca="1">IFERROR(XLOOKUP(D468,'Spec_Single_H&amp;S'!B:B,'Spec_Single_H&amp;S'!E:E),
IFERROR(XLOOKUP(D468,#REF!,#REF!),""))</f>
        <v/>
      </c>
      <c r="K468" s="7" t="str">
        <f ca="1">IFERROR(XLOOKUP(D468,'Spec_Single_H&amp;S'!B:B,'Spec_Single_H&amp;S'!F:F),
IFERROR(XLOOKUP(D468,#REF!,#REF!),""))</f>
        <v/>
      </c>
      <c r="L468" s="7" t="str">
        <f t="shared" ca="1" si="21"/>
        <v/>
      </c>
    </row>
    <row r="469" spans="5:12" x14ac:dyDescent="0.3">
      <c r="E469" s="7" t="str">
        <f t="shared" si="22"/>
        <v/>
      </c>
      <c r="H469" s="7" t="str">
        <f>IF(B469&lt;&gt;"Silicone","",IFERROR(XLOOKUP(D469,#REF!,#REF!),""))</f>
        <v/>
      </c>
      <c r="J469" s="7" t="str">
        <f ca="1">IFERROR(XLOOKUP(D469,'Spec_Single_H&amp;S'!B:B,'Spec_Single_H&amp;S'!E:E),
IFERROR(XLOOKUP(D469,#REF!,#REF!),""))</f>
        <v/>
      </c>
      <c r="K469" s="7" t="str">
        <f ca="1">IFERROR(XLOOKUP(D469,'Spec_Single_H&amp;S'!B:B,'Spec_Single_H&amp;S'!F:F),
IFERROR(XLOOKUP(D469,#REF!,#REF!),""))</f>
        <v/>
      </c>
      <c r="L469" s="7" t="str">
        <f t="shared" ca="1" si="21"/>
        <v/>
      </c>
    </row>
    <row r="470" spans="5:12" x14ac:dyDescent="0.3">
      <c r="E470" s="7" t="str">
        <f t="shared" si="22"/>
        <v/>
      </c>
      <c r="H470" s="7" t="str">
        <f>IF(B470&lt;&gt;"Silicone","",IFERROR(XLOOKUP(D470,#REF!,#REF!),""))</f>
        <v/>
      </c>
      <c r="J470" s="7" t="str">
        <f ca="1">IFERROR(XLOOKUP(D470,'Spec_Single_H&amp;S'!B:B,'Spec_Single_H&amp;S'!E:E),
IFERROR(XLOOKUP(D470,#REF!,#REF!),""))</f>
        <v/>
      </c>
      <c r="K470" s="7" t="str">
        <f ca="1">IFERROR(XLOOKUP(D470,'Spec_Single_H&amp;S'!B:B,'Spec_Single_H&amp;S'!F:F),
IFERROR(XLOOKUP(D470,#REF!,#REF!),""))</f>
        <v/>
      </c>
      <c r="L470" s="7" t="str">
        <f t="shared" ca="1" si="21"/>
        <v/>
      </c>
    </row>
    <row r="471" spans="5:12" x14ac:dyDescent="0.3">
      <c r="E471" s="7" t="str">
        <f t="shared" si="22"/>
        <v/>
      </c>
      <c r="H471" s="7" t="str">
        <f>IF(B471&lt;&gt;"Silicone","",IFERROR(XLOOKUP(D471,#REF!,#REF!),""))</f>
        <v/>
      </c>
      <c r="J471" s="7" t="str">
        <f ca="1">IFERROR(XLOOKUP(D471,'Spec_Single_H&amp;S'!B:B,'Spec_Single_H&amp;S'!E:E),
IFERROR(XLOOKUP(D471,#REF!,#REF!),""))</f>
        <v/>
      </c>
      <c r="K471" s="7" t="str">
        <f ca="1">IFERROR(XLOOKUP(D471,'Spec_Single_H&amp;S'!B:B,'Spec_Single_H&amp;S'!F:F),
IFERROR(XLOOKUP(D471,#REF!,#REF!),""))</f>
        <v/>
      </c>
      <c r="L471" s="7" t="str">
        <f t="shared" ca="1" si="21"/>
        <v/>
      </c>
    </row>
    <row r="472" spans="5:12" x14ac:dyDescent="0.3">
      <c r="E472" s="7" t="str">
        <f t="shared" si="22"/>
        <v/>
      </c>
      <c r="H472" s="7" t="str">
        <f>IF(B472&lt;&gt;"Silicone","",IFERROR(XLOOKUP(D472,#REF!,#REF!),""))</f>
        <v/>
      </c>
      <c r="J472" s="7" t="str">
        <f ca="1">IFERROR(XLOOKUP(D472,'Spec_Single_H&amp;S'!B:B,'Spec_Single_H&amp;S'!E:E),
IFERROR(XLOOKUP(D472,#REF!,#REF!),""))</f>
        <v/>
      </c>
      <c r="K472" s="7" t="str">
        <f ca="1">IFERROR(XLOOKUP(D472,'Spec_Single_H&amp;S'!B:B,'Spec_Single_H&amp;S'!F:F),
IFERROR(XLOOKUP(D472,#REF!,#REF!),""))</f>
        <v/>
      </c>
      <c r="L472" s="7" t="str">
        <f t="shared" ca="1" si="21"/>
        <v/>
      </c>
    </row>
    <row r="473" spans="5:12" x14ac:dyDescent="0.3">
      <c r="E473" s="7" t="str">
        <f t="shared" si="22"/>
        <v/>
      </c>
      <c r="H473" s="7" t="str">
        <f>IF(B473&lt;&gt;"Silicone","",IFERROR(XLOOKUP(D473,#REF!,#REF!),""))</f>
        <v/>
      </c>
      <c r="J473" s="7" t="str">
        <f ca="1">IFERROR(XLOOKUP(D473,'Spec_Single_H&amp;S'!B:B,'Spec_Single_H&amp;S'!E:E),
IFERROR(XLOOKUP(D473,#REF!,#REF!),""))</f>
        <v/>
      </c>
      <c r="K473" s="7" t="str">
        <f ca="1">IFERROR(XLOOKUP(D473,'Spec_Single_H&amp;S'!B:B,'Spec_Single_H&amp;S'!F:F),
IFERROR(XLOOKUP(D473,#REF!,#REF!),""))</f>
        <v/>
      </c>
      <c r="L473" s="7" t="str">
        <f t="shared" ca="1" si="21"/>
        <v/>
      </c>
    </row>
    <row r="474" spans="5:12" x14ac:dyDescent="0.3">
      <c r="E474" s="7" t="str">
        <f t="shared" si="22"/>
        <v/>
      </c>
      <c r="H474" s="7" t="str">
        <f>IF(B474&lt;&gt;"Silicone","",IFERROR(XLOOKUP(D474,#REF!,#REF!),""))</f>
        <v/>
      </c>
      <c r="J474" s="7" t="str">
        <f ca="1">IFERROR(XLOOKUP(D474,'Spec_Single_H&amp;S'!B:B,'Spec_Single_H&amp;S'!E:E),
IFERROR(XLOOKUP(D474,#REF!,#REF!),""))</f>
        <v/>
      </c>
      <c r="K474" s="7" t="str">
        <f ca="1">IFERROR(XLOOKUP(D474,'Spec_Single_H&amp;S'!B:B,'Spec_Single_H&amp;S'!F:F),
IFERROR(XLOOKUP(D474,#REF!,#REF!),""))</f>
        <v/>
      </c>
      <c r="L474" s="7" t="str">
        <f t="shared" ca="1" si="21"/>
        <v/>
      </c>
    </row>
    <row r="475" spans="5:12" x14ac:dyDescent="0.3">
      <c r="E475" s="7" t="str">
        <f t="shared" si="22"/>
        <v/>
      </c>
      <c r="H475" s="7" t="str">
        <f>IF(B475&lt;&gt;"Silicone","",IFERROR(XLOOKUP(D475,#REF!,#REF!),""))</f>
        <v/>
      </c>
      <c r="J475" s="7" t="str">
        <f ca="1">IFERROR(XLOOKUP(D475,'Spec_Single_H&amp;S'!B:B,'Spec_Single_H&amp;S'!E:E),
IFERROR(XLOOKUP(D475,#REF!,#REF!),""))</f>
        <v/>
      </c>
      <c r="K475" s="7" t="str">
        <f ca="1">IFERROR(XLOOKUP(D475,'Spec_Single_H&amp;S'!B:B,'Spec_Single_H&amp;S'!F:F),
IFERROR(XLOOKUP(D475,#REF!,#REF!),""))</f>
        <v/>
      </c>
      <c r="L475" s="7" t="str">
        <f t="shared" ca="1" si="21"/>
        <v/>
      </c>
    </row>
    <row r="476" spans="5:12" x14ac:dyDescent="0.3">
      <c r="E476" s="7" t="str">
        <f t="shared" si="22"/>
        <v/>
      </c>
      <c r="H476" s="7" t="str">
        <f>IF(B476&lt;&gt;"Silicone","",IFERROR(XLOOKUP(D476,#REF!,#REF!),""))</f>
        <v/>
      </c>
      <c r="J476" s="7" t="str">
        <f ca="1">IFERROR(XLOOKUP(D476,'Spec_Single_H&amp;S'!B:B,'Spec_Single_H&amp;S'!E:E),
IFERROR(XLOOKUP(D476,#REF!,#REF!),""))</f>
        <v/>
      </c>
      <c r="K476" s="7" t="str">
        <f ca="1">IFERROR(XLOOKUP(D476,'Spec_Single_H&amp;S'!B:B,'Spec_Single_H&amp;S'!F:F),
IFERROR(XLOOKUP(D476,#REF!,#REF!),""))</f>
        <v/>
      </c>
      <c r="L476" s="7" t="str">
        <f t="shared" ca="1" si="21"/>
        <v/>
      </c>
    </row>
    <row r="477" spans="5:12" x14ac:dyDescent="0.3">
      <c r="E477" s="7" t="str">
        <f t="shared" si="22"/>
        <v/>
      </c>
      <c r="H477" s="7" t="str">
        <f>IF(B477&lt;&gt;"Silicone","",IFERROR(XLOOKUP(D477,#REF!,#REF!),""))</f>
        <v/>
      </c>
      <c r="J477" s="7" t="str">
        <f ca="1">IFERROR(XLOOKUP(D477,'Spec_Single_H&amp;S'!B:B,'Spec_Single_H&amp;S'!E:E),
IFERROR(XLOOKUP(D477,#REF!,#REF!),""))</f>
        <v/>
      </c>
      <c r="K477" s="7" t="str">
        <f ca="1">IFERROR(XLOOKUP(D477,'Spec_Single_H&amp;S'!B:B,'Spec_Single_H&amp;S'!F:F),
IFERROR(XLOOKUP(D477,#REF!,#REF!),""))</f>
        <v/>
      </c>
      <c r="L477" s="7" t="str">
        <f t="shared" ca="1" si="21"/>
        <v/>
      </c>
    </row>
    <row r="478" spans="5:12" x14ac:dyDescent="0.3">
      <c r="E478" s="7" t="str">
        <f t="shared" si="22"/>
        <v/>
      </c>
      <c r="H478" s="7" t="str">
        <f>IF(B478&lt;&gt;"Silicone","",IFERROR(XLOOKUP(D478,#REF!,#REF!),""))</f>
        <v/>
      </c>
      <c r="J478" s="7" t="str">
        <f ca="1">IFERROR(XLOOKUP(D478,'Spec_Single_H&amp;S'!B:B,'Spec_Single_H&amp;S'!E:E),
IFERROR(XLOOKUP(D478,#REF!,#REF!),""))</f>
        <v/>
      </c>
      <c r="K478" s="7" t="str">
        <f ca="1">IFERROR(XLOOKUP(D478,'Spec_Single_H&amp;S'!B:B,'Spec_Single_H&amp;S'!F:F),
IFERROR(XLOOKUP(D478,#REF!,#REF!),""))</f>
        <v/>
      </c>
      <c r="L478" s="7" t="str">
        <f t="shared" ca="1" si="21"/>
        <v/>
      </c>
    </row>
    <row r="479" spans="5:12" x14ac:dyDescent="0.3">
      <c r="E479" s="7" t="str">
        <f t="shared" si="22"/>
        <v/>
      </c>
      <c r="H479" s="7" t="str">
        <f>IF(B479&lt;&gt;"Silicone","",IFERROR(XLOOKUP(D479,#REF!,#REF!),""))</f>
        <v/>
      </c>
      <c r="J479" s="7" t="str">
        <f ca="1">IFERROR(XLOOKUP(D479,'Spec_Single_H&amp;S'!B:B,'Spec_Single_H&amp;S'!E:E),
IFERROR(XLOOKUP(D479,#REF!,#REF!),""))</f>
        <v/>
      </c>
      <c r="K479" s="7" t="str">
        <f ca="1">IFERROR(XLOOKUP(D479,'Spec_Single_H&amp;S'!B:B,'Spec_Single_H&amp;S'!F:F),
IFERROR(XLOOKUP(D479,#REF!,#REF!),""))</f>
        <v/>
      </c>
      <c r="L479" s="7" t="str">
        <f t="shared" ca="1" si="21"/>
        <v/>
      </c>
    </row>
    <row r="480" spans="5:12" x14ac:dyDescent="0.3">
      <c r="E480" s="7" t="str">
        <f t="shared" si="22"/>
        <v/>
      </c>
      <c r="H480" s="7" t="str">
        <f>IF(B480&lt;&gt;"Silicone","",IFERROR(XLOOKUP(D480,#REF!,#REF!),""))</f>
        <v/>
      </c>
      <c r="J480" s="7" t="str">
        <f ca="1">IFERROR(XLOOKUP(D480,'Spec_Single_H&amp;S'!B:B,'Spec_Single_H&amp;S'!E:E),
IFERROR(XLOOKUP(D480,#REF!,#REF!),""))</f>
        <v/>
      </c>
      <c r="K480" s="7" t="str">
        <f ca="1">IFERROR(XLOOKUP(D480,'Spec_Single_H&amp;S'!B:B,'Spec_Single_H&amp;S'!F:F),
IFERROR(XLOOKUP(D480,#REF!,#REF!),""))</f>
        <v/>
      </c>
      <c r="L480" s="7" t="str">
        <f t="shared" ca="1" si="21"/>
        <v/>
      </c>
    </row>
    <row r="481" spans="5:12" x14ac:dyDescent="0.3">
      <c r="E481" s="7" t="str">
        <f t="shared" si="22"/>
        <v/>
      </c>
      <c r="H481" s="7" t="str">
        <f>IF(B481&lt;&gt;"Silicone","",IFERROR(XLOOKUP(D481,#REF!,#REF!),""))</f>
        <v/>
      </c>
      <c r="J481" s="7" t="str">
        <f ca="1">IFERROR(XLOOKUP(D481,'Spec_Single_H&amp;S'!B:B,'Spec_Single_H&amp;S'!E:E),
IFERROR(XLOOKUP(D481,#REF!,#REF!),""))</f>
        <v/>
      </c>
      <c r="K481" s="7" t="str">
        <f ca="1">IFERROR(XLOOKUP(D481,'Spec_Single_H&amp;S'!B:B,'Spec_Single_H&amp;S'!F:F),
IFERROR(XLOOKUP(D481,#REF!,#REF!),""))</f>
        <v/>
      </c>
      <c r="L481" s="7" t="str">
        <f t="shared" ca="1" si="21"/>
        <v/>
      </c>
    </row>
    <row r="482" spans="5:12" x14ac:dyDescent="0.3">
      <c r="E482" s="7" t="str">
        <f t="shared" si="22"/>
        <v/>
      </c>
      <c r="H482" s="7" t="str">
        <f>IF(B482&lt;&gt;"Silicone","",IFERROR(XLOOKUP(D482,#REF!,#REF!),""))</f>
        <v/>
      </c>
      <c r="J482" s="7" t="str">
        <f ca="1">IFERROR(XLOOKUP(D482,'Spec_Single_H&amp;S'!B:B,'Spec_Single_H&amp;S'!E:E),
IFERROR(XLOOKUP(D482,#REF!,#REF!),""))</f>
        <v/>
      </c>
      <c r="K482" s="7" t="str">
        <f ca="1">IFERROR(XLOOKUP(D482,'Spec_Single_H&amp;S'!B:B,'Spec_Single_H&amp;S'!F:F),
IFERROR(XLOOKUP(D482,#REF!,#REF!),""))</f>
        <v/>
      </c>
      <c r="L482" s="7" t="str">
        <f t="shared" ca="1" si="21"/>
        <v/>
      </c>
    </row>
    <row r="483" spans="5:12" x14ac:dyDescent="0.3">
      <c r="E483" s="7" t="str">
        <f t="shared" si="22"/>
        <v/>
      </c>
      <c r="H483" s="7" t="str">
        <f>IF(B483&lt;&gt;"Silicone","",IFERROR(XLOOKUP(D483,#REF!,#REF!),""))</f>
        <v/>
      </c>
      <c r="J483" s="7" t="str">
        <f ca="1">IFERROR(XLOOKUP(D483,'Spec_Single_H&amp;S'!B:B,'Spec_Single_H&amp;S'!E:E),
IFERROR(XLOOKUP(D483,#REF!,#REF!),""))</f>
        <v/>
      </c>
      <c r="K483" s="7" t="str">
        <f ca="1">IFERROR(XLOOKUP(D483,'Spec_Single_H&amp;S'!B:B,'Spec_Single_H&amp;S'!F:F),
IFERROR(XLOOKUP(D483,#REF!,#REF!),""))</f>
        <v/>
      </c>
      <c r="L483" s="7" t="str">
        <f t="shared" ca="1" si="21"/>
        <v/>
      </c>
    </row>
    <row r="484" spans="5:12" x14ac:dyDescent="0.3">
      <c r="E484" s="7" t="str">
        <f t="shared" si="22"/>
        <v/>
      </c>
      <c r="H484" s="7" t="str">
        <f>IF(B484&lt;&gt;"Silicone","",IFERROR(XLOOKUP(D484,#REF!,#REF!),""))</f>
        <v/>
      </c>
      <c r="J484" s="7" t="str">
        <f ca="1">IFERROR(XLOOKUP(D484,'Spec_Single_H&amp;S'!B:B,'Spec_Single_H&amp;S'!E:E),
IFERROR(XLOOKUP(D484,#REF!,#REF!),""))</f>
        <v/>
      </c>
      <c r="K484" s="7" t="str">
        <f ca="1">IFERROR(XLOOKUP(D484,'Spec_Single_H&amp;S'!B:B,'Spec_Single_H&amp;S'!F:F),
IFERROR(XLOOKUP(D484,#REF!,#REF!),""))</f>
        <v/>
      </c>
      <c r="L484" s="7" t="str">
        <f t="shared" ca="1" si="21"/>
        <v/>
      </c>
    </row>
    <row r="485" spans="5:12" x14ac:dyDescent="0.3">
      <c r="E485" s="7" t="str">
        <f t="shared" si="22"/>
        <v/>
      </c>
      <c r="H485" s="7" t="str">
        <f>IF(B485&lt;&gt;"Silicone","",IFERROR(XLOOKUP(D485,#REF!,#REF!),""))</f>
        <v/>
      </c>
      <c r="J485" s="7" t="str">
        <f ca="1">IFERROR(XLOOKUP(D485,'Spec_Single_H&amp;S'!B:B,'Spec_Single_H&amp;S'!E:E),
IFERROR(XLOOKUP(D485,#REF!,#REF!),""))</f>
        <v/>
      </c>
      <c r="K485" s="7" t="str">
        <f ca="1">IFERROR(XLOOKUP(D485,'Spec_Single_H&amp;S'!B:B,'Spec_Single_H&amp;S'!F:F),
IFERROR(XLOOKUP(D485,#REF!,#REF!),""))</f>
        <v/>
      </c>
      <c r="L485" s="7" t="str">
        <f t="shared" ca="1" si="21"/>
        <v/>
      </c>
    </row>
    <row r="486" spans="5:12" x14ac:dyDescent="0.3">
      <c r="E486" s="7" t="str">
        <f t="shared" si="22"/>
        <v/>
      </c>
      <c r="H486" s="7" t="str">
        <f>IF(B486&lt;&gt;"Silicone","",IFERROR(XLOOKUP(D486,#REF!,#REF!),""))</f>
        <v/>
      </c>
      <c r="J486" s="7" t="str">
        <f ca="1">IFERROR(XLOOKUP(D486,'Spec_Single_H&amp;S'!B:B,'Spec_Single_H&amp;S'!E:E),
IFERROR(XLOOKUP(D486,#REF!,#REF!),""))</f>
        <v/>
      </c>
      <c r="K486" s="7" t="str">
        <f ca="1">IFERROR(XLOOKUP(D486,'Spec_Single_H&amp;S'!B:B,'Spec_Single_H&amp;S'!F:F),
IFERROR(XLOOKUP(D486,#REF!,#REF!),""))</f>
        <v/>
      </c>
      <c r="L486" s="7" t="str">
        <f t="shared" ca="1" si="21"/>
        <v/>
      </c>
    </row>
    <row r="487" spans="5:12" x14ac:dyDescent="0.3">
      <c r="E487" s="7" t="str">
        <f t="shared" si="22"/>
        <v/>
      </c>
      <c r="H487" s="7" t="str">
        <f>IF(B487&lt;&gt;"Silicone","",IFERROR(XLOOKUP(D487,#REF!,#REF!),""))</f>
        <v/>
      </c>
      <c r="J487" s="7" t="str">
        <f ca="1">IFERROR(XLOOKUP(D487,'Spec_Single_H&amp;S'!B:B,'Spec_Single_H&amp;S'!E:E),
IFERROR(XLOOKUP(D487,#REF!,#REF!),""))</f>
        <v/>
      </c>
      <c r="K487" s="7" t="str">
        <f ca="1">IFERROR(XLOOKUP(D487,'Spec_Single_H&amp;S'!B:B,'Spec_Single_H&amp;S'!F:F),
IFERROR(XLOOKUP(D487,#REF!,#REF!),""))</f>
        <v/>
      </c>
      <c r="L487" s="7" t="str">
        <f t="shared" ca="1" si="21"/>
        <v/>
      </c>
    </row>
    <row r="488" spans="5:12" x14ac:dyDescent="0.3">
      <c r="E488" s="7" t="str">
        <f t="shared" si="22"/>
        <v/>
      </c>
      <c r="H488" s="7" t="str">
        <f>IF(B488&lt;&gt;"Silicone","",IFERROR(XLOOKUP(D488,#REF!,#REF!),""))</f>
        <v/>
      </c>
      <c r="J488" s="7" t="str">
        <f ca="1">IFERROR(XLOOKUP(D488,'Spec_Single_H&amp;S'!B:B,'Spec_Single_H&amp;S'!E:E),
IFERROR(XLOOKUP(D488,#REF!,#REF!),""))</f>
        <v/>
      </c>
      <c r="K488" s="7" t="str">
        <f ca="1">IFERROR(XLOOKUP(D488,'Spec_Single_H&amp;S'!B:B,'Spec_Single_H&amp;S'!F:F),
IFERROR(XLOOKUP(D488,#REF!,#REF!),""))</f>
        <v/>
      </c>
      <c r="L488" s="7" t="str">
        <f t="shared" ca="1" si="21"/>
        <v/>
      </c>
    </row>
    <row r="489" spans="5:12" x14ac:dyDescent="0.3">
      <c r="E489" s="7" t="str">
        <f t="shared" si="22"/>
        <v/>
      </c>
      <c r="H489" s="7" t="str">
        <f>IF(B489&lt;&gt;"Silicone","",IFERROR(XLOOKUP(D489,#REF!,#REF!),""))</f>
        <v/>
      </c>
      <c r="J489" s="7" t="str">
        <f ca="1">IFERROR(XLOOKUP(D489,'Spec_Single_H&amp;S'!B:B,'Spec_Single_H&amp;S'!E:E),
IFERROR(XLOOKUP(D489,#REF!,#REF!),""))</f>
        <v/>
      </c>
      <c r="K489" s="7" t="str">
        <f ca="1">IFERROR(XLOOKUP(D489,'Spec_Single_H&amp;S'!B:B,'Spec_Single_H&amp;S'!F:F),
IFERROR(XLOOKUP(D489,#REF!,#REF!),""))</f>
        <v/>
      </c>
      <c r="L489" s="7" t="str">
        <f t="shared" ca="1" si="21"/>
        <v/>
      </c>
    </row>
    <row r="490" spans="5:12" x14ac:dyDescent="0.3">
      <c r="E490" s="7" t="str">
        <f t="shared" si="22"/>
        <v/>
      </c>
      <c r="H490" s="7" t="str">
        <f>IF(B490&lt;&gt;"Silicone","",IFERROR(XLOOKUP(D490,#REF!,#REF!),""))</f>
        <v/>
      </c>
      <c r="J490" s="7" t="str">
        <f ca="1">IFERROR(XLOOKUP(D490,'Spec_Single_H&amp;S'!B:B,'Spec_Single_H&amp;S'!E:E),
IFERROR(XLOOKUP(D490,#REF!,#REF!),""))</f>
        <v/>
      </c>
      <c r="K490" s="7" t="str">
        <f ca="1">IFERROR(XLOOKUP(D490,'Spec_Single_H&amp;S'!B:B,'Spec_Single_H&amp;S'!F:F),
IFERROR(XLOOKUP(D490,#REF!,#REF!),""))</f>
        <v/>
      </c>
      <c r="L490" s="7" t="str">
        <f t="shared" ca="1" si="21"/>
        <v/>
      </c>
    </row>
    <row r="491" spans="5:12" x14ac:dyDescent="0.3">
      <c r="E491" s="7" t="str">
        <f t="shared" si="22"/>
        <v/>
      </c>
      <c r="H491" s="7" t="str">
        <f>IF(B491&lt;&gt;"Silicone","",IFERROR(XLOOKUP(D491,#REF!,#REF!),""))</f>
        <v/>
      </c>
      <c r="J491" s="7" t="str">
        <f ca="1">IFERROR(XLOOKUP(D491,'Spec_Single_H&amp;S'!B:B,'Spec_Single_H&amp;S'!E:E),
IFERROR(XLOOKUP(D491,#REF!,#REF!),""))</f>
        <v/>
      </c>
      <c r="K491" s="7" t="str">
        <f ca="1">IFERROR(XLOOKUP(D491,'Spec_Single_H&amp;S'!B:B,'Spec_Single_H&amp;S'!F:F),
IFERROR(XLOOKUP(D491,#REF!,#REF!),""))</f>
        <v/>
      </c>
      <c r="L491" s="7" t="str">
        <f t="shared" ca="1" si="21"/>
        <v/>
      </c>
    </row>
    <row r="492" spans="5:12" x14ac:dyDescent="0.3">
      <c r="E492" s="7" t="str">
        <f t="shared" si="22"/>
        <v/>
      </c>
      <c r="H492" s="7" t="str">
        <f>IF(B492&lt;&gt;"Silicone","",IFERROR(XLOOKUP(D492,#REF!,#REF!),""))</f>
        <v/>
      </c>
      <c r="J492" s="7" t="str">
        <f ca="1">IFERROR(XLOOKUP(D492,'Spec_Single_H&amp;S'!B:B,'Spec_Single_H&amp;S'!E:E),
IFERROR(XLOOKUP(D492,#REF!,#REF!),""))</f>
        <v/>
      </c>
      <c r="K492" s="7" t="str">
        <f ca="1">IFERROR(XLOOKUP(D492,'Spec_Single_H&amp;S'!B:B,'Spec_Single_H&amp;S'!F:F),
IFERROR(XLOOKUP(D492,#REF!,#REF!),""))</f>
        <v/>
      </c>
      <c r="L492" s="7" t="str">
        <f t="shared" ca="1" si="21"/>
        <v/>
      </c>
    </row>
    <row r="493" spans="5:12" x14ac:dyDescent="0.3">
      <c r="E493" s="7" t="str">
        <f t="shared" si="22"/>
        <v/>
      </c>
      <c r="H493" s="7" t="str">
        <f>IF(B493&lt;&gt;"Silicone","",IFERROR(XLOOKUP(D493,#REF!,#REF!),""))</f>
        <v/>
      </c>
      <c r="J493" s="7" t="str">
        <f ca="1">IFERROR(XLOOKUP(D493,'Spec_Single_H&amp;S'!B:B,'Spec_Single_H&amp;S'!E:E),
IFERROR(XLOOKUP(D493,#REF!,#REF!),""))</f>
        <v/>
      </c>
      <c r="K493" s="7" t="str">
        <f ca="1">IFERROR(XLOOKUP(D493,'Spec_Single_H&amp;S'!B:B,'Spec_Single_H&amp;S'!F:F),
IFERROR(XLOOKUP(D493,#REF!,#REF!),""))</f>
        <v/>
      </c>
      <c r="L493" s="7" t="str">
        <f t="shared" ca="1" si="21"/>
        <v/>
      </c>
    </row>
    <row r="494" spans="5:12" x14ac:dyDescent="0.3">
      <c r="E494" s="7" t="str">
        <f t="shared" si="22"/>
        <v/>
      </c>
      <c r="H494" s="7" t="str">
        <f>IF(B494&lt;&gt;"Silicone","",IFERROR(XLOOKUP(D494,#REF!,#REF!),""))</f>
        <v/>
      </c>
      <c r="J494" s="7" t="str">
        <f ca="1">IFERROR(XLOOKUP(D494,'Spec_Single_H&amp;S'!B:B,'Spec_Single_H&amp;S'!E:E),
IFERROR(XLOOKUP(D494,#REF!,#REF!),""))</f>
        <v/>
      </c>
      <c r="K494" s="7" t="str">
        <f ca="1">IFERROR(XLOOKUP(D494,'Spec_Single_H&amp;S'!B:B,'Spec_Single_H&amp;S'!F:F),
IFERROR(XLOOKUP(D494,#REF!,#REF!),""))</f>
        <v/>
      </c>
      <c r="L494" s="7" t="str">
        <f t="shared" ca="1" si="21"/>
        <v/>
      </c>
    </row>
    <row r="495" spans="5:12" x14ac:dyDescent="0.3">
      <c r="E495" s="7" t="str">
        <f t="shared" si="22"/>
        <v/>
      </c>
      <c r="H495" s="7" t="str">
        <f>IF(B495&lt;&gt;"Silicone","",IFERROR(XLOOKUP(D495,#REF!,#REF!),""))</f>
        <v/>
      </c>
      <c r="J495" s="7" t="str">
        <f ca="1">IFERROR(XLOOKUP(D495,'Spec_Single_H&amp;S'!B:B,'Spec_Single_H&amp;S'!E:E),
IFERROR(XLOOKUP(D495,#REF!,#REF!),""))</f>
        <v/>
      </c>
      <c r="K495" s="7" t="str">
        <f ca="1">IFERROR(XLOOKUP(D495,'Spec_Single_H&amp;S'!B:B,'Spec_Single_H&amp;S'!F:F),
IFERROR(XLOOKUP(D495,#REF!,#REF!),""))</f>
        <v/>
      </c>
      <c r="L495" s="7" t="str">
        <f t="shared" ca="1" si="21"/>
        <v/>
      </c>
    </row>
    <row r="496" spans="5:12" x14ac:dyDescent="0.3">
      <c r="E496" s="7" t="str">
        <f t="shared" si="22"/>
        <v/>
      </c>
      <c r="H496" s="7" t="str">
        <f>IF(B496&lt;&gt;"Silicone","",IFERROR(XLOOKUP(D496,#REF!,#REF!),""))</f>
        <v/>
      </c>
      <c r="J496" s="7" t="str">
        <f ca="1">IFERROR(XLOOKUP(D496,'Spec_Single_H&amp;S'!B:B,'Spec_Single_H&amp;S'!E:E),
IFERROR(XLOOKUP(D496,#REF!,#REF!),""))</f>
        <v/>
      </c>
      <c r="K496" s="7" t="str">
        <f ca="1">IFERROR(XLOOKUP(D496,'Spec_Single_H&amp;S'!B:B,'Spec_Single_H&amp;S'!F:F),
IFERROR(XLOOKUP(D496,#REF!,#REF!),""))</f>
        <v/>
      </c>
      <c r="L496" s="7" t="str">
        <f t="shared" ca="1" si="21"/>
        <v/>
      </c>
    </row>
    <row r="497" spans="5:12" x14ac:dyDescent="0.3">
      <c r="E497" s="7" t="str">
        <f t="shared" si="22"/>
        <v/>
      </c>
      <c r="H497" s="7" t="str">
        <f>IF(B497&lt;&gt;"Silicone","",IFERROR(XLOOKUP(D497,#REF!,#REF!),""))</f>
        <v/>
      </c>
      <c r="J497" s="7" t="str">
        <f ca="1">IFERROR(XLOOKUP(D497,'Spec_Single_H&amp;S'!B:B,'Spec_Single_H&amp;S'!E:E),
IFERROR(XLOOKUP(D497,#REF!,#REF!),""))</f>
        <v/>
      </c>
      <c r="K497" s="7" t="str">
        <f ca="1">IFERROR(XLOOKUP(D497,'Spec_Single_H&amp;S'!B:B,'Spec_Single_H&amp;S'!F:F),
IFERROR(XLOOKUP(D497,#REF!,#REF!),""))</f>
        <v/>
      </c>
      <c r="L497" s="7" t="str">
        <f t="shared" ca="1" si="21"/>
        <v/>
      </c>
    </row>
    <row r="498" spans="5:12" x14ac:dyDescent="0.3">
      <c r="E498" s="7" t="str">
        <f t="shared" si="22"/>
        <v/>
      </c>
      <c r="H498" s="7" t="str">
        <f>IF(B498&lt;&gt;"Silicone","",IFERROR(XLOOKUP(D498,#REF!,#REF!),""))</f>
        <v/>
      </c>
      <c r="J498" s="7" t="str">
        <f ca="1">IFERROR(XLOOKUP(D498,'Spec_Single_H&amp;S'!B:B,'Spec_Single_H&amp;S'!E:E),
IFERROR(XLOOKUP(D498,#REF!,#REF!),""))</f>
        <v/>
      </c>
      <c r="K498" s="7" t="str">
        <f ca="1">IFERROR(XLOOKUP(D498,'Spec_Single_H&amp;S'!B:B,'Spec_Single_H&amp;S'!F:F),
IFERROR(XLOOKUP(D498,#REF!,#REF!),""))</f>
        <v/>
      </c>
      <c r="L498" s="7" t="str">
        <f t="shared" ca="1" si="21"/>
        <v/>
      </c>
    </row>
    <row r="499" spans="5:12" x14ac:dyDescent="0.3">
      <c r="E499" s="7" t="str">
        <f t="shared" si="22"/>
        <v/>
      </c>
      <c r="H499" s="7" t="str">
        <f>IF(B499&lt;&gt;"Silicone","",IFERROR(XLOOKUP(D499,#REF!,#REF!),""))</f>
        <v/>
      </c>
      <c r="J499" s="7" t="str">
        <f ca="1">IFERROR(XLOOKUP(D499,'Spec_Single_H&amp;S'!B:B,'Spec_Single_H&amp;S'!E:E),
IFERROR(XLOOKUP(D499,#REF!,#REF!),""))</f>
        <v/>
      </c>
      <c r="K499" s="7" t="str">
        <f ca="1">IFERROR(XLOOKUP(D499,'Spec_Single_H&amp;S'!B:B,'Spec_Single_H&amp;S'!F:F),
IFERROR(XLOOKUP(D499,#REF!,#REF!),""))</f>
        <v/>
      </c>
      <c r="L499" s="7" t="str">
        <f t="shared" ca="1" si="21"/>
        <v/>
      </c>
    </row>
    <row r="500" spans="5:12" x14ac:dyDescent="0.3">
      <c r="E500" s="7" t="str">
        <f t="shared" si="22"/>
        <v/>
      </c>
      <c r="H500" s="7" t="str">
        <f>IF(B500&lt;&gt;"Silicone","",IFERROR(XLOOKUP(D500,#REF!,#REF!),""))</f>
        <v/>
      </c>
      <c r="J500" s="7" t="str">
        <f ca="1">IFERROR(XLOOKUP(D500,'Spec_Single_H&amp;S'!B:B,'Spec_Single_H&amp;S'!E:E),
IFERROR(XLOOKUP(D500,#REF!,#REF!),""))</f>
        <v/>
      </c>
      <c r="K500" s="7" t="str">
        <f ca="1">IFERROR(XLOOKUP(D500,'Spec_Single_H&amp;S'!B:B,'Spec_Single_H&amp;S'!F:F),
IFERROR(XLOOKUP(D500,#REF!,#REF!),""))</f>
        <v/>
      </c>
      <c r="L500" s="7" t="str">
        <f t="shared" ca="1" si="21"/>
        <v/>
      </c>
    </row>
    <row r="501" spans="5:12" x14ac:dyDescent="0.3">
      <c r="E501" s="7" t="str">
        <f t="shared" si="22"/>
        <v/>
      </c>
      <c r="H501" s="7" t="str">
        <f>IF(B501&lt;&gt;"Silicone","",IFERROR(XLOOKUP(D501,#REF!,#REF!),""))</f>
        <v/>
      </c>
      <c r="J501" s="7" t="str">
        <f ca="1">IFERROR(XLOOKUP(D501,'Spec_Single_H&amp;S'!B:B,'Spec_Single_H&amp;S'!E:E),
IFERROR(XLOOKUP(D501,#REF!,#REF!),""))</f>
        <v/>
      </c>
      <c r="K501" s="7" t="str">
        <f ca="1">IFERROR(XLOOKUP(D501,'Spec_Single_H&amp;S'!B:B,'Spec_Single_H&amp;S'!F:F),
IFERROR(XLOOKUP(D501,#REF!,#REF!),""))</f>
        <v/>
      </c>
      <c r="L501" s="7" t="str">
        <f t="shared" ca="1" si="21"/>
        <v/>
      </c>
    </row>
    <row r="502" spans="5:12" x14ac:dyDescent="0.3">
      <c r="E502" s="7" t="str">
        <f t="shared" si="22"/>
        <v/>
      </c>
      <c r="H502" s="7" t="str">
        <f>IF(B502&lt;&gt;"Silicone","",IFERROR(XLOOKUP(D502,#REF!,#REF!),""))</f>
        <v/>
      </c>
      <c r="J502" s="7" t="str">
        <f ca="1">IFERROR(XLOOKUP(D502,'Spec_Single_H&amp;S'!B:B,'Spec_Single_H&amp;S'!E:E),
IFERROR(XLOOKUP(D502,#REF!,#REF!),""))</f>
        <v/>
      </c>
      <c r="K502" s="7" t="str">
        <f ca="1">IFERROR(XLOOKUP(D502,'Spec_Single_H&amp;S'!B:B,'Spec_Single_H&amp;S'!F:F),
IFERROR(XLOOKUP(D502,#REF!,#REF!),""))</f>
        <v/>
      </c>
      <c r="L502" s="7" t="str">
        <f t="shared" ca="1" si="21"/>
        <v/>
      </c>
    </row>
    <row r="503" spans="5:12" x14ac:dyDescent="0.3">
      <c r="E503" s="7" t="str">
        <f t="shared" si="22"/>
        <v/>
      </c>
      <c r="H503" s="7" t="str">
        <f>IF(B503&lt;&gt;"Silicone","",IFERROR(XLOOKUP(D503,#REF!,#REF!),""))</f>
        <v/>
      </c>
      <c r="J503" s="7" t="str">
        <f ca="1">IFERROR(XLOOKUP(D503,'Spec_Single_H&amp;S'!B:B,'Spec_Single_H&amp;S'!E:E),
IFERROR(XLOOKUP(D503,#REF!,#REF!),""))</f>
        <v/>
      </c>
      <c r="K503" s="7" t="str">
        <f ca="1">IFERROR(XLOOKUP(D503,'Spec_Single_H&amp;S'!B:B,'Spec_Single_H&amp;S'!F:F),
IFERROR(XLOOKUP(D503,#REF!,#REF!),""))</f>
        <v/>
      </c>
      <c r="L503" s="7" t="str">
        <f t="shared" ca="1" si="21"/>
        <v/>
      </c>
    </row>
    <row r="504" spans="5:12" x14ac:dyDescent="0.3">
      <c r="E504" s="7" t="str">
        <f t="shared" si="22"/>
        <v/>
      </c>
      <c r="H504" s="7" t="str">
        <f>IF(B504&lt;&gt;"Silicone","",IFERROR(XLOOKUP(D504,#REF!,#REF!),""))</f>
        <v/>
      </c>
      <c r="J504" s="7" t="str">
        <f ca="1">IFERROR(XLOOKUP(D504,'Spec_Single_H&amp;S'!B:B,'Spec_Single_H&amp;S'!E:E),
IFERROR(XLOOKUP(D504,#REF!,#REF!),""))</f>
        <v/>
      </c>
      <c r="K504" s="7" t="str">
        <f ca="1">IFERROR(XLOOKUP(D504,'Spec_Single_H&amp;S'!B:B,'Spec_Single_H&amp;S'!F:F),
IFERROR(XLOOKUP(D504,#REF!,#REF!),""))</f>
        <v/>
      </c>
      <c r="L504" s="7" t="str">
        <f t="shared" ca="1" si="21"/>
        <v/>
      </c>
    </row>
    <row r="505" spans="5:12" x14ac:dyDescent="0.3">
      <c r="E505" s="7" t="str">
        <f t="shared" si="22"/>
        <v/>
      </c>
      <c r="H505" s="7" t="str">
        <f>IF(B505&lt;&gt;"Silicone","",IFERROR(XLOOKUP(D505,#REF!,#REF!),""))</f>
        <v/>
      </c>
      <c r="J505" s="7" t="str">
        <f ca="1">IFERROR(XLOOKUP(D505,'Spec_Single_H&amp;S'!B:B,'Spec_Single_H&amp;S'!E:E),
IFERROR(XLOOKUP(D505,#REF!,#REF!),""))</f>
        <v/>
      </c>
      <c r="K505" s="7" t="str">
        <f ca="1">IFERROR(XLOOKUP(D505,'Spec_Single_H&amp;S'!B:B,'Spec_Single_H&amp;S'!F:F),
IFERROR(XLOOKUP(D505,#REF!,#REF!),""))</f>
        <v/>
      </c>
      <c r="L505" s="7" t="str">
        <f t="shared" ca="1" si="21"/>
        <v/>
      </c>
    </row>
    <row r="506" spans="5:12" x14ac:dyDescent="0.3">
      <c r="E506" s="7" t="str">
        <f t="shared" si="22"/>
        <v/>
      </c>
      <c r="H506" s="7" t="str">
        <f>IF(B506&lt;&gt;"Silicone","",IFERROR(XLOOKUP(D506,#REF!,#REF!),""))</f>
        <v/>
      </c>
      <c r="J506" s="7" t="str">
        <f ca="1">IFERROR(XLOOKUP(D506,'Spec_Single_H&amp;S'!B:B,'Spec_Single_H&amp;S'!E:E),
IFERROR(XLOOKUP(D506,#REF!,#REF!),""))</f>
        <v/>
      </c>
      <c r="K506" s="7" t="str">
        <f ca="1">IFERROR(XLOOKUP(D506,'Spec_Single_H&amp;S'!B:B,'Spec_Single_H&amp;S'!F:F),
IFERROR(XLOOKUP(D506,#REF!,#REF!),""))</f>
        <v/>
      </c>
      <c r="L506" s="7" t="str">
        <f t="shared" ca="1" si="21"/>
        <v/>
      </c>
    </row>
    <row r="507" spans="5:12" x14ac:dyDescent="0.3">
      <c r="E507" s="7" t="str">
        <f t="shared" si="22"/>
        <v/>
      </c>
      <c r="H507" s="7" t="str">
        <f>IF(B507&lt;&gt;"Silicone","",IFERROR(XLOOKUP(D507,#REF!,#REF!),""))</f>
        <v/>
      </c>
      <c r="J507" s="7" t="str">
        <f ca="1">IFERROR(XLOOKUP(D507,'Spec_Single_H&amp;S'!B:B,'Spec_Single_H&amp;S'!E:E),
IFERROR(XLOOKUP(D507,#REF!,#REF!),""))</f>
        <v/>
      </c>
      <c r="K507" s="7" t="str">
        <f ca="1">IFERROR(XLOOKUP(D507,'Spec_Single_H&amp;S'!B:B,'Spec_Single_H&amp;S'!F:F),
IFERROR(XLOOKUP(D507,#REF!,#REF!),""))</f>
        <v/>
      </c>
      <c r="L507" s="7" t="str">
        <f t="shared" ca="1" si="21"/>
        <v/>
      </c>
    </row>
    <row r="508" spans="5:12" x14ac:dyDescent="0.3">
      <c r="E508" s="7" t="str">
        <f t="shared" si="22"/>
        <v/>
      </c>
      <c r="H508" s="7" t="str">
        <f>IF(B508&lt;&gt;"Silicone","",IFERROR(XLOOKUP(D508,#REF!,#REF!),""))</f>
        <v/>
      </c>
      <c r="J508" s="7" t="str">
        <f ca="1">IFERROR(XLOOKUP(D508,'Spec_Single_H&amp;S'!B:B,'Spec_Single_H&amp;S'!E:E),
IFERROR(XLOOKUP(D508,#REF!,#REF!),""))</f>
        <v/>
      </c>
      <c r="K508" s="7" t="str">
        <f ca="1">IFERROR(XLOOKUP(D508,'Spec_Single_H&amp;S'!B:B,'Spec_Single_H&amp;S'!F:F),
IFERROR(XLOOKUP(D508,#REF!,#REF!),""))</f>
        <v/>
      </c>
      <c r="L508" s="7" t="str">
        <f t="shared" ca="1" si="21"/>
        <v/>
      </c>
    </row>
    <row r="509" spans="5:12" x14ac:dyDescent="0.3">
      <c r="E509" s="7" t="str">
        <f t="shared" si="22"/>
        <v/>
      </c>
      <c r="H509" s="7" t="str">
        <f>IF(B509&lt;&gt;"Silicone","",IFERROR(XLOOKUP(D509,#REF!,#REF!),""))</f>
        <v/>
      </c>
      <c r="J509" s="7" t="str">
        <f ca="1">IFERROR(XLOOKUP(D509,'Spec_Single_H&amp;S'!B:B,'Spec_Single_H&amp;S'!E:E),
IFERROR(XLOOKUP(D509,#REF!,#REF!),""))</f>
        <v/>
      </c>
      <c r="K509" s="7" t="str">
        <f ca="1">IFERROR(XLOOKUP(D509,'Spec_Single_H&amp;S'!B:B,'Spec_Single_H&amp;S'!F:F),
IFERROR(XLOOKUP(D509,#REF!,#REF!),""))</f>
        <v/>
      </c>
      <c r="L509" s="7" t="str">
        <f t="shared" ca="1" si="21"/>
        <v/>
      </c>
    </row>
    <row r="510" spans="5:12" x14ac:dyDescent="0.3">
      <c r="E510" s="7" t="str">
        <f t="shared" si="22"/>
        <v/>
      </c>
      <c r="H510" s="7" t="str">
        <f>IF(B510&lt;&gt;"Silicone","",IFERROR(XLOOKUP(D510,#REF!,#REF!),""))</f>
        <v/>
      </c>
      <c r="J510" s="7" t="str">
        <f ca="1">IFERROR(XLOOKUP(D510,'Spec_Single_H&amp;S'!B:B,'Spec_Single_H&amp;S'!E:E),
IFERROR(XLOOKUP(D510,#REF!,#REF!),""))</f>
        <v/>
      </c>
      <c r="K510" s="7" t="str">
        <f ca="1">IFERROR(XLOOKUP(D510,'Spec_Single_H&amp;S'!B:B,'Spec_Single_H&amp;S'!F:F),
IFERROR(XLOOKUP(D510,#REF!,#REF!),""))</f>
        <v/>
      </c>
      <c r="L510" s="7" t="str">
        <f t="shared" ca="1" si="21"/>
        <v/>
      </c>
    </row>
    <row r="511" spans="5:12" x14ac:dyDescent="0.3">
      <c r="E511" s="7" t="str">
        <f t="shared" si="22"/>
        <v/>
      </c>
      <c r="H511" s="7" t="str">
        <f>IF(B511&lt;&gt;"Silicone","",IFERROR(XLOOKUP(D511,#REF!,#REF!),""))</f>
        <v/>
      </c>
      <c r="J511" s="7" t="str">
        <f ca="1">IFERROR(XLOOKUP(D511,'Spec_Single_H&amp;S'!B:B,'Spec_Single_H&amp;S'!E:E),
IFERROR(XLOOKUP(D511,#REF!,#REF!),""))</f>
        <v/>
      </c>
      <c r="K511" s="7" t="str">
        <f ca="1">IFERROR(XLOOKUP(D511,'Spec_Single_H&amp;S'!B:B,'Spec_Single_H&amp;S'!F:F),
IFERROR(XLOOKUP(D511,#REF!,#REF!),""))</f>
        <v/>
      </c>
      <c r="L511" s="7" t="str">
        <f t="shared" ca="1" si="21"/>
        <v/>
      </c>
    </row>
    <row r="512" spans="5:12" x14ac:dyDescent="0.3">
      <c r="E512" s="7" t="str">
        <f t="shared" si="22"/>
        <v/>
      </c>
      <c r="H512" s="7" t="str">
        <f>IF(B512&lt;&gt;"Silicone","",IFERROR(XLOOKUP(D512,#REF!,#REF!),""))</f>
        <v/>
      </c>
      <c r="J512" s="7" t="str">
        <f ca="1">IFERROR(XLOOKUP(D512,'Spec_Single_H&amp;S'!B:B,'Spec_Single_H&amp;S'!E:E),
IFERROR(XLOOKUP(D512,#REF!,#REF!),""))</f>
        <v/>
      </c>
      <c r="K512" s="7" t="str">
        <f ca="1">IFERROR(XLOOKUP(D512,'Spec_Single_H&amp;S'!B:B,'Spec_Single_H&amp;S'!F:F),
IFERROR(XLOOKUP(D512,#REF!,#REF!),""))</f>
        <v/>
      </c>
      <c r="L512" s="7" t="str">
        <f t="shared" ca="1" si="21"/>
        <v/>
      </c>
    </row>
    <row r="513" spans="5:12" x14ac:dyDescent="0.3">
      <c r="E513" s="7" t="str">
        <f t="shared" si="22"/>
        <v/>
      </c>
      <c r="H513" s="7" t="str">
        <f>IF(B513&lt;&gt;"Silicone","",IFERROR(XLOOKUP(D513,#REF!,#REF!),""))</f>
        <v/>
      </c>
      <c r="J513" s="7" t="str">
        <f ca="1">IFERROR(XLOOKUP(D513,'Spec_Single_H&amp;S'!B:B,'Spec_Single_H&amp;S'!E:E),
IFERROR(XLOOKUP(D513,#REF!,#REF!),""))</f>
        <v/>
      </c>
      <c r="K513" s="7" t="str">
        <f ca="1">IFERROR(XLOOKUP(D513,'Spec_Single_H&amp;S'!B:B,'Spec_Single_H&amp;S'!F:F),
IFERROR(XLOOKUP(D513,#REF!,#REF!),""))</f>
        <v/>
      </c>
      <c r="L513" s="7" t="str">
        <f t="shared" ca="1" si="21"/>
        <v/>
      </c>
    </row>
    <row r="514" spans="5:12" x14ac:dyDescent="0.3">
      <c r="E514" s="7" t="str">
        <f t="shared" si="22"/>
        <v/>
      </c>
      <c r="H514" s="7" t="str">
        <f>IF(B514&lt;&gt;"Silicone","",IFERROR(XLOOKUP(D514,#REF!,#REF!),""))</f>
        <v/>
      </c>
      <c r="J514" s="7" t="str">
        <f ca="1">IFERROR(XLOOKUP(D514,'Spec_Single_H&amp;S'!B:B,'Spec_Single_H&amp;S'!E:E),
IFERROR(XLOOKUP(D514,#REF!,#REF!),""))</f>
        <v/>
      </c>
      <c r="K514" s="7" t="str">
        <f ca="1">IFERROR(XLOOKUP(D514,'Spec_Single_H&amp;S'!B:B,'Spec_Single_H&amp;S'!F:F),
IFERROR(XLOOKUP(D514,#REF!,#REF!),""))</f>
        <v/>
      </c>
      <c r="L514" s="7" t="str">
        <f t="shared" ca="1" si="21"/>
        <v/>
      </c>
    </row>
    <row r="515" spans="5:12" x14ac:dyDescent="0.3">
      <c r="E515" s="7" t="str">
        <f t="shared" si="22"/>
        <v/>
      </c>
      <c r="H515" s="7" t="str">
        <f>IF(B515&lt;&gt;"Silicone","",IFERROR(XLOOKUP(D515,#REF!,#REF!),""))</f>
        <v/>
      </c>
      <c r="J515" s="7" t="str">
        <f ca="1">IFERROR(XLOOKUP(D515,'Spec_Single_H&amp;S'!B:B,'Spec_Single_H&amp;S'!E:E),
IFERROR(XLOOKUP(D515,#REF!,#REF!),""))</f>
        <v/>
      </c>
      <c r="K515" s="7" t="str">
        <f ca="1">IFERROR(XLOOKUP(D515,'Spec_Single_H&amp;S'!B:B,'Spec_Single_H&amp;S'!F:F),
IFERROR(XLOOKUP(D515,#REF!,#REF!),""))</f>
        <v/>
      </c>
      <c r="L515" s="7" t="str">
        <f t="shared" ca="1" si="21"/>
        <v/>
      </c>
    </row>
    <row r="516" spans="5:12" x14ac:dyDescent="0.3">
      <c r="E516" s="7" t="str">
        <f t="shared" si="22"/>
        <v/>
      </c>
      <c r="H516" s="7" t="str">
        <f>IF(B516&lt;&gt;"Silicone","",IFERROR(XLOOKUP(D516,#REF!,#REF!),""))</f>
        <v/>
      </c>
      <c r="J516" s="7" t="str">
        <f ca="1">IFERROR(XLOOKUP(D516,'Spec_Single_H&amp;S'!B:B,'Spec_Single_H&amp;S'!E:E),
IFERROR(XLOOKUP(D516,#REF!,#REF!),""))</f>
        <v/>
      </c>
      <c r="K516" s="7" t="str">
        <f ca="1">IFERROR(XLOOKUP(D516,'Spec_Single_H&amp;S'!B:B,'Spec_Single_H&amp;S'!F:F),
IFERROR(XLOOKUP(D516,#REF!,#REF!),""))</f>
        <v/>
      </c>
      <c r="L516" s="7" t="str">
        <f t="shared" ca="1" si="21"/>
        <v/>
      </c>
    </row>
    <row r="517" spans="5:12" x14ac:dyDescent="0.3">
      <c r="E517" s="7" t="str">
        <f t="shared" si="22"/>
        <v/>
      </c>
      <c r="H517" s="7" t="str">
        <f>IF(B517&lt;&gt;"Silicone","",IFERROR(XLOOKUP(D517,#REF!,#REF!),""))</f>
        <v/>
      </c>
      <c r="J517" s="7" t="str">
        <f ca="1">IFERROR(XLOOKUP(D517,'Spec_Single_H&amp;S'!B:B,'Spec_Single_H&amp;S'!E:E),
IFERROR(XLOOKUP(D517,#REF!,#REF!),""))</f>
        <v/>
      </c>
      <c r="K517" s="7" t="str">
        <f ca="1">IFERROR(XLOOKUP(D517,'Spec_Single_H&amp;S'!B:B,'Spec_Single_H&amp;S'!F:F),
IFERROR(XLOOKUP(D517,#REF!,#REF!),""))</f>
        <v/>
      </c>
      <c r="L517" s="7" t="str">
        <f t="shared" ca="1" si="21"/>
        <v/>
      </c>
    </row>
    <row r="518" spans="5:12" x14ac:dyDescent="0.3">
      <c r="E518" s="7" t="str">
        <f t="shared" si="22"/>
        <v/>
      </c>
      <c r="H518" s="7" t="str">
        <f>IF(B518&lt;&gt;"Silicone","",IFERROR(XLOOKUP(D518,#REF!,#REF!),""))</f>
        <v/>
      </c>
      <c r="J518" s="7" t="str">
        <f ca="1">IFERROR(XLOOKUP(D518,'Spec_Single_H&amp;S'!B:B,'Spec_Single_H&amp;S'!E:E),
IFERROR(XLOOKUP(D518,#REF!,#REF!),""))</f>
        <v/>
      </c>
      <c r="K518" s="7" t="str">
        <f ca="1">IFERROR(XLOOKUP(D518,'Spec_Single_H&amp;S'!B:B,'Spec_Single_H&amp;S'!F:F),
IFERROR(XLOOKUP(D518,#REF!,#REF!),""))</f>
        <v/>
      </c>
      <c r="L518" s="7" t="str">
        <f t="shared" ca="1" si="21"/>
        <v/>
      </c>
    </row>
    <row r="519" spans="5:12" x14ac:dyDescent="0.3">
      <c r="E519" s="7" t="str">
        <f t="shared" si="22"/>
        <v/>
      </c>
      <c r="H519" s="7" t="str">
        <f>IF(B519&lt;&gt;"Silicone","",IFERROR(XLOOKUP(D519,#REF!,#REF!),""))</f>
        <v/>
      </c>
      <c r="J519" s="7" t="str">
        <f ca="1">IFERROR(XLOOKUP(D519,'Spec_Single_H&amp;S'!B:B,'Spec_Single_H&amp;S'!E:E),
IFERROR(XLOOKUP(D519,#REF!,#REF!),""))</f>
        <v/>
      </c>
      <c r="K519" s="7" t="str">
        <f ca="1">IFERROR(XLOOKUP(D519,'Spec_Single_H&amp;S'!B:B,'Spec_Single_H&amp;S'!F:F),
IFERROR(XLOOKUP(D519,#REF!,#REF!),""))</f>
        <v/>
      </c>
      <c r="L519" s="7" t="str">
        <f t="shared" ca="1" si="21"/>
        <v/>
      </c>
    </row>
    <row r="520" spans="5:12" x14ac:dyDescent="0.3">
      <c r="E520" s="7" t="str">
        <f t="shared" si="22"/>
        <v/>
      </c>
      <c r="H520" s="7" t="str">
        <f>IF(B520&lt;&gt;"Silicone","",IFERROR(XLOOKUP(D520,#REF!,#REF!),""))</f>
        <v/>
      </c>
      <c r="J520" s="7" t="str">
        <f ca="1">IFERROR(XLOOKUP(D520,'Spec_Single_H&amp;S'!B:B,'Spec_Single_H&amp;S'!E:E),
IFERROR(XLOOKUP(D520,#REF!,#REF!),""))</f>
        <v/>
      </c>
      <c r="K520" s="7" t="str">
        <f ca="1">IFERROR(XLOOKUP(D520,'Spec_Single_H&amp;S'!B:B,'Spec_Single_H&amp;S'!F:F),
IFERROR(XLOOKUP(D520,#REF!,#REF!),""))</f>
        <v/>
      </c>
      <c r="L520" s="7" t="str">
        <f t="shared" ref="L520:L583" ca="1" si="23">IF(AND(NOT(ISBLANK(I520)),I520&gt;=J520,I520&lt;=K520),"적합",IF(ISBLANK(I520),"", "부적합"))</f>
        <v/>
      </c>
    </row>
    <row r="521" spans="5:12" x14ac:dyDescent="0.3">
      <c r="E521" s="7" t="str">
        <f t="shared" ref="E521:E584" si="24">IF(D521="","",IF(B521="Silicone", "SL" &amp; IF(C521="Black","B",IF(C521="White","W",IF(C521="Blue","U",IF(C521="Green","G",IF(C521="Yellow","Y",IF(C521="Red","R",IF(C521="Pink","P",""))))))) &amp; TEXT(A521,"yymmdd") &amp; "01",IF(LEFT(D521,3)="NPL","NPL","PL") &amp; IF(C521="Black","B",IF(C521="White","W",IF(C521="Blue","U",IF(C521="Green","G",IF(C521="Yellow","Y",IF(C521="Red","R",IF(C521="Pink","P",""))))))) &amp; TEXT(A521,"yymmdd") &amp; "01"))</f>
        <v/>
      </c>
      <c r="H521" s="7" t="str">
        <f>IF(B521&lt;&gt;"Silicone","",IFERROR(XLOOKUP(D521,#REF!,#REF!),""))</f>
        <v/>
      </c>
      <c r="J521" s="7" t="str">
        <f ca="1">IFERROR(XLOOKUP(D521,'Spec_Single_H&amp;S'!B:B,'Spec_Single_H&amp;S'!E:E),
IFERROR(XLOOKUP(D521,#REF!,#REF!),""))</f>
        <v/>
      </c>
      <c r="K521" s="7" t="str">
        <f ca="1">IFERROR(XLOOKUP(D521,'Spec_Single_H&amp;S'!B:B,'Spec_Single_H&amp;S'!F:F),
IFERROR(XLOOKUP(D521,#REF!,#REF!),""))</f>
        <v/>
      </c>
      <c r="L521" s="7" t="str">
        <f t="shared" ca="1" si="23"/>
        <v/>
      </c>
    </row>
    <row r="522" spans="5:12" x14ac:dyDescent="0.3">
      <c r="E522" s="7" t="str">
        <f t="shared" si="24"/>
        <v/>
      </c>
      <c r="H522" s="7" t="str">
        <f>IF(B522&lt;&gt;"Silicone","",IFERROR(XLOOKUP(D522,#REF!,#REF!),""))</f>
        <v/>
      </c>
      <c r="J522" s="7" t="str">
        <f ca="1">IFERROR(XLOOKUP(D522,'Spec_Single_H&amp;S'!B:B,'Spec_Single_H&amp;S'!E:E),
IFERROR(XLOOKUP(D522,#REF!,#REF!),""))</f>
        <v/>
      </c>
      <c r="K522" s="7" t="str">
        <f ca="1">IFERROR(XLOOKUP(D522,'Spec_Single_H&amp;S'!B:B,'Spec_Single_H&amp;S'!F:F),
IFERROR(XLOOKUP(D522,#REF!,#REF!),""))</f>
        <v/>
      </c>
      <c r="L522" s="7" t="str">
        <f t="shared" ca="1" si="23"/>
        <v/>
      </c>
    </row>
    <row r="523" spans="5:12" x14ac:dyDescent="0.3">
      <c r="E523" s="7" t="str">
        <f t="shared" si="24"/>
        <v/>
      </c>
      <c r="H523" s="7" t="str">
        <f>IF(B523&lt;&gt;"Silicone","",IFERROR(XLOOKUP(D523,#REF!,#REF!),""))</f>
        <v/>
      </c>
      <c r="J523" s="7" t="str">
        <f ca="1">IFERROR(XLOOKUP(D523,'Spec_Single_H&amp;S'!B:B,'Spec_Single_H&amp;S'!E:E),
IFERROR(XLOOKUP(D523,#REF!,#REF!),""))</f>
        <v/>
      </c>
      <c r="K523" s="7" t="str">
        <f ca="1">IFERROR(XLOOKUP(D523,'Spec_Single_H&amp;S'!B:B,'Spec_Single_H&amp;S'!F:F),
IFERROR(XLOOKUP(D523,#REF!,#REF!),""))</f>
        <v/>
      </c>
      <c r="L523" s="7" t="str">
        <f t="shared" ca="1" si="23"/>
        <v/>
      </c>
    </row>
    <row r="524" spans="5:12" x14ac:dyDescent="0.3">
      <c r="E524" s="7" t="str">
        <f t="shared" si="24"/>
        <v/>
      </c>
      <c r="H524" s="7" t="str">
        <f>IF(B524&lt;&gt;"Silicone","",IFERROR(XLOOKUP(D524,#REF!,#REF!),""))</f>
        <v/>
      </c>
      <c r="J524" s="7" t="str">
        <f ca="1">IFERROR(XLOOKUP(D524,'Spec_Single_H&amp;S'!B:B,'Spec_Single_H&amp;S'!E:E),
IFERROR(XLOOKUP(D524,#REF!,#REF!),""))</f>
        <v/>
      </c>
      <c r="K524" s="7" t="str">
        <f ca="1">IFERROR(XLOOKUP(D524,'Spec_Single_H&amp;S'!B:B,'Spec_Single_H&amp;S'!F:F),
IFERROR(XLOOKUP(D524,#REF!,#REF!),""))</f>
        <v/>
      </c>
      <c r="L524" s="7" t="str">
        <f t="shared" ca="1" si="23"/>
        <v/>
      </c>
    </row>
    <row r="525" spans="5:12" x14ac:dyDescent="0.3">
      <c r="E525" s="7" t="str">
        <f t="shared" si="24"/>
        <v/>
      </c>
      <c r="H525" s="7" t="str">
        <f>IF(B525&lt;&gt;"Silicone","",IFERROR(XLOOKUP(D525,#REF!,#REF!),""))</f>
        <v/>
      </c>
      <c r="J525" s="7" t="str">
        <f ca="1">IFERROR(XLOOKUP(D525,'Spec_Single_H&amp;S'!B:B,'Spec_Single_H&amp;S'!E:E),
IFERROR(XLOOKUP(D525,#REF!,#REF!),""))</f>
        <v/>
      </c>
      <c r="K525" s="7" t="str">
        <f ca="1">IFERROR(XLOOKUP(D525,'Spec_Single_H&amp;S'!B:B,'Spec_Single_H&amp;S'!F:F),
IFERROR(XLOOKUP(D525,#REF!,#REF!),""))</f>
        <v/>
      </c>
      <c r="L525" s="7" t="str">
        <f t="shared" ca="1" si="23"/>
        <v/>
      </c>
    </row>
    <row r="526" spans="5:12" x14ac:dyDescent="0.3">
      <c r="E526" s="7" t="str">
        <f t="shared" si="24"/>
        <v/>
      </c>
      <c r="H526" s="7" t="str">
        <f>IF(B526&lt;&gt;"Silicone","",IFERROR(XLOOKUP(D526,#REF!,#REF!),""))</f>
        <v/>
      </c>
      <c r="J526" s="7" t="str">
        <f ca="1">IFERROR(XLOOKUP(D526,'Spec_Single_H&amp;S'!B:B,'Spec_Single_H&amp;S'!E:E),
IFERROR(XLOOKUP(D526,#REF!,#REF!),""))</f>
        <v/>
      </c>
      <c r="K526" s="7" t="str">
        <f ca="1">IFERROR(XLOOKUP(D526,'Spec_Single_H&amp;S'!B:B,'Spec_Single_H&amp;S'!F:F),
IFERROR(XLOOKUP(D526,#REF!,#REF!),""))</f>
        <v/>
      </c>
      <c r="L526" s="7" t="str">
        <f t="shared" ca="1" si="23"/>
        <v/>
      </c>
    </row>
    <row r="527" spans="5:12" x14ac:dyDescent="0.3">
      <c r="E527" s="7" t="str">
        <f t="shared" si="24"/>
        <v/>
      </c>
      <c r="H527" s="7" t="str">
        <f>IF(B527&lt;&gt;"Silicone","",IFERROR(XLOOKUP(D527,#REF!,#REF!),""))</f>
        <v/>
      </c>
      <c r="J527" s="7" t="str">
        <f ca="1">IFERROR(XLOOKUP(D527,'Spec_Single_H&amp;S'!B:B,'Spec_Single_H&amp;S'!E:E),
IFERROR(XLOOKUP(D527,#REF!,#REF!),""))</f>
        <v/>
      </c>
      <c r="K527" s="7" t="str">
        <f ca="1">IFERROR(XLOOKUP(D527,'Spec_Single_H&amp;S'!B:B,'Spec_Single_H&amp;S'!F:F),
IFERROR(XLOOKUP(D527,#REF!,#REF!),""))</f>
        <v/>
      </c>
      <c r="L527" s="7" t="str">
        <f t="shared" ca="1" si="23"/>
        <v/>
      </c>
    </row>
    <row r="528" spans="5:12" x14ac:dyDescent="0.3">
      <c r="E528" s="7" t="str">
        <f t="shared" si="24"/>
        <v/>
      </c>
      <c r="H528" s="7" t="str">
        <f>IF(B528&lt;&gt;"Silicone","",IFERROR(XLOOKUP(D528,#REF!,#REF!),""))</f>
        <v/>
      </c>
      <c r="J528" s="7" t="str">
        <f ca="1">IFERROR(XLOOKUP(D528,'Spec_Single_H&amp;S'!B:B,'Spec_Single_H&amp;S'!E:E),
IFERROR(XLOOKUP(D528,#REF!,#REF!),""))</f>
        <v/>
      </c>
      <c r="K528" s="7" t="str">
        <f ca="1">IFERROR(XLOOKUP(D528,'Spec_Single_H&amp;S'!B:B,'Spec_Single_H&amp;S'!F:F),
IFERROR(XLOOKUP(D528,#REF!,#REF!),""))</f>
        <v/>
      </c>
      <c r="L528" s="7" t="str">
        <f t="shared" ca="1" si="23"/>
        <v/>
      </c>
    </row>
    <row r="529" spans="5:12" x14ac:dyDescent="0.3">
      <c r="E529" s="7" t="str">
        <f t="shared" si="24"/>
        <v/>
      </c>
      <c r="H529" s="7" t="str">
        <f>IF(B529&lt;&gt;"Silicone","",IFERROR(XLOOKUP(D529,#REF!,#REF!),""))</f>
        <v/>
      </c>
      <c r="J529" s="7" t="str">
        <f ca="1">IFERROR(XLOOKUP(D529,'Spec_Single_H&amp;S'!B:B,'Spec_Single_H&amp;S'!E:E),
IFERROR(XLOOKUP(D529,#REF!,#REF!),""))</f>
        <v/>
      </c>
      <c r="K529" s="7" t="str">
        <f ca="1">IFERROR(XLOOKUP(D529,'Spec_Single_H&amp;S'!B:B,'Spec_Single_H&amp;S'!F:F),
IFERROR(XLOOKUP(D529,#REF!,#REF!),""))</f>
        <v/>
      </c>
      <c r="L529" s="7" t="str">
        <f t="shared" ca="1" si="23"/>
        <v/>
      </c>
    </row>
    <row r="530" spans="5:12" x14ac:dyDescent="0.3">
      <c r="E530" s="7" t="str">
        <f t="shared" si="24"/>
        <v/>
      </c>
      <c r="H530" s="7" t="str">
        <f>IF(B530&lt;&gt;"Silicone","",IFERROR(XLOOKUP(D530,#REF!,#REF!),""))</f>
        <v/>
      </c>
      <c r="J530" s="7" t="str">
        <f ca="1">IFERROR(XLOOKUP(D530,'Spec_Single_H&amp;S'!B:B,'Spec_Single_H&amp;S'!E:E),
IFERROR(XLOOKUP(D530,#REF!,#REF!),""))</f>
        <v/>
      </c>
      <c r="K530" s="7" t="str">
        <f ca="1">IFERROR(XLOOKUP(D530,'Spec_Single_H&amp;S'!B:B,'Spec_Single_H&amp;S'!F:F),
IFERROR(XLOOKUP(D530,#REF!,#REF!),""))</f>
        <v/>
      </c>
      <c r="L530" s="7" t="str">
        <f t="shared" ca="1" si="23"/>
        <v/>
      </c>
    </row>
    <row r="531" spans="5:12" x14ac:dyDescent="0.3">
      <c r="E531" s="7" t="str">
        <f t="shared" si="24"/>
        <v/>
      </c>
      <c r="H531" s="7" t="str">
        <f>IF(B531&lt;&gt;"Silicone","",IFERROR(XLOOKUP(D531,#REF!,#REF!),""))</f>
        <v/>
      </c>
      <c r="J531" s="7" t="str">
        <f ca="1">IFERROR(XLOOKUP(D531,'Spec_Single_H&amp;S'!B:B,'Spec_Single_H&amp;S'!E:E),
IFERROR(XLOOKUP(D531,#REF!,#REF!),""))</f>
        <v/>
      </c>
      <c r="K531" s="7" t="str">
        <f ca="1">IFERROR(XLOOKUP(D531,'Spec_Single_H&amp;S'!B:B,'Spec_Single_H&amp;S'!F:F),
IFERROR(XLOOKUP(D531,#REF!,#REF!),""))</f>
        <v/>
      </c>
      <c r="L531" s="7" t="str">
        <f t="shared" ca="1" si="23"/>
        <v/>
      </c>
    </row>
    <row r="532" spans="5:12" x14ac:dyDescent="0.3">
      <c r="E532" s="7" t="str">
        <f t="shared" si="24"/>
        <v/>
      </c>
      <c r="H532" s="7" t="str">
        <f>IF(B532&lt;&gt;"Silicone","",IFERROR(XLOOKUP(D532,#REF!,#REF!),""))</f>
        <v/>
      </c>
      <c r="J532" s="7" t="str">
        <f ca="1">IFERROR(XLOOKUP(D532,'Spec_Single_H&amp;S'!B:B,'Spec_Single_H&amp;S'!E:E),
IFERROR(XLOOKUP(D532,#REF!,#REF!),""))</f>
        <v/>
      </c>
      <c r="K532" s="7" t="str">
        <f ca="1">IFERROR(XLOOKUP(D532,'Spec_Single_H&amp;S'!B:B,'Spec_Single_H&amp;S'!F:F),
IFERROR(XLOOKUP(D532,#REF!,#REF!),""))</f>
        <v/>
      </c>
      <c r="L532" s="7" t="str">
        <f t="shared" ca="1" si="23"/>
        <v/>
      </c>
    </row>
    <row r="533" spans="5:12" x14ac:dyDescent="0.3">
      <c r="E533" s="7" t="str">
        <f t="shared" si="24"/>
        <v/>
      </c>
      <c r="H533" s="7" t="str">
        <f>IF(B533&lt;&gt;"Silicone","",IFERROR(XLOOKUP(D533,#REF!,#REF!),""))</f>
        <v/>
      </c>
      <c r="J533" s="7" t="str">
        <f ca="1">IFERROR(XLOOKUP(D533,'Spec_Single_H&amp;S'!B:B,'Spec_Single_H&amp;S'!E:E),
IFERROR(XLOOKUP(D533,#REF!,#REF!),""))</f>
        <v/>
      </c>
      <c r="K533" s="7" t="str">
        <f ca="1">IFERROR(XLOOKUP(D533,'Spec_Single_H&amp;S'!B:B,'Spec_Single_H&amp;S'!F:F),
IFERROR(XLOOKUP(D533,#REF!,#REF!),""))</f>
        <v/>
      </c>
      <c r="L533" s="7" t="str">
        <f t="shared" ca="1" si="23"/>
        <v/>
      </c>
    </row>
    <row r="534" spans="5:12" x14ac:dyDescent="0.3">
      <c r="E534" s="7" t="str">
        <f t="shared" si="24"/>
        <v/>
      </c>
      <c r="H534" s="7" t="str">
        <f>IF(B534&lt;&gt;"Silicone","",IFERROR(XLOOKUP(D534,#REF!,#REF!),""))</f>
        <v/>
      </c>
      <c r="J534" s="7" t="str">
        <f ca="1">IFERROR(XLOOKUP(D534,'Spec_Single_H&amp;S'!B:B,'Spec_Single_H&amp;S'!E:E),
IFERROR(XLOOKUP(D534,#REF!,#REF!),""))</f>
        <v/>
      </c>
      <c r="K534" s="7" t="str">
        <f ca="1">IFERROR(XLOOKUP(D534,'Spec_Single_H&amp;S'!B:B,'Spec_Single_H&amp;S'!F:F),
IFERROR(XLOOKUP(D534,#REF!,#REF!),""))</f>
        <v/>
      </c>
      <c r="L534" s="7" t="str">
        <f t="shared" ca="1" si="23"/>
        <v/>
      </c>
    </row>
    <row r="535" spans="5:12" x14ac:dyDescent="0.3">
      <c r="E535" s="7" t="str">
        <f t="shared" si="24"/>
        <v/>
      </c>
      <c r="H535" s="7" t="str">
        <f>IF(B535&lt;&gt;"Silicone","",IFERROR(XLOOKUP(D535,#REF!,#REF!),""))</f>
        <v/>
      </c>
      <c r="J535" s="7" t="str">
        <f ca="1">IFERROR(XLOOKUP(D535,'Spec_Single_H&amp;S'!B:B,'Spec_Single_H&amp;S'!E:E),
IFERROR(XLOOKUP(D535,#REF!,#REF!),""))</f>
        <v/>
      </c>
      <c r="K535" s="7" t="str">
        <f ca="1">IFERROR(XLOOKUP(D535,'Spec_Single_H&amp;S'!B:B,'Spec_Single_H&amp;S'!F:F),
IFERROR(XLOOKUP(D535,#REF!,#REF!),""))</f>
        <v/>
      </c>
      <c r="L535" s="7" t="str">
        <f t="shared" ca="1" si="23"/>
        <v/>
      </c>
    </row>
    <row r="536" spans="5:12" x14ac:dyDescent="0.3">
      <c r="E536" s="7" t="str">
        <f t="shared" si="24"/>
        <v/>
      </c>
      <c r="H536" s="7" t="str">
        <f>IF(B536&lt;&gt;"Silicone","",IFERROR(XLOOKUP(D536,#REF!,#REF!),""))</f>
        <v/>
      </c>
      <c r="J536" s="7" t="str">
        <f ca="1">IFERROR(XLOOKUP(D536,'Spec_Single_H&amp;S'!B:B,'Spec_Single_H&amp;S'!E:E),
IFERROR(XLOOKUP(D536,#REF!,#REF!),""))</f>
        <v/>
      </c>
      <c r="K536" s="7" t="str">
        <f ca="1">IFERROR(XLOOKUP(D536,'Spec_Single_H&amp;S'!B:B,'Spec_Single_H&amp;S'!F:F),
IFERROR(XLOOKUP(D536,#REF!,#REF!),""))</f>
        <v/>
      </c>
      <c r="L536" s="7" t="str">
        <f t="shared" ca="1" si="23"/>
        <v/>
      </c>
    </row>
    <row r="537" spans="5:12" x14ac:dyDescent="0.3">
      <c r="E537" s="7" t="str">
        <f t="shared" si="24"/>
        <v/>
      </c>
      <c r="H537" s="7" t="str">
        <f>IF(B537&lt;&gt;"Silicone","",IFERROR(XLOOKUP(D537,#REF!,#REF!),""))</f>
        <v/>
      </c>
      <c r="J537" s="7" t="str">
        <f ca="1">IFERROR(XLOOKUP(D537,'Spec_Single_H&amp;S'!B:B,'Spec_Single_H&amp;S'!E:E),
IFERROR(XLOOKUP(D537,#REF!,#REF!),""))</f>
        <v/>
      </c>
      <c r="K537" s="7" t="str">
        <f ca="1">IFERROR(XLOOKUP(D537,'Spec_Single_H&amp;S'!B:B,'Spec_Single_H&amp;S'!F:F),
IFERROR(XLOOKUP(D537,#REF!,#REF!),""))</f>
        <v/>
      </c>
      <c r="L537" s="7" t="str">
        <f t="shared" ca="1" si="23"/>
        <v/>
      </c>
    </row>
    <row r="538" spans="5:12" x14ac:dyDescent="0.3">
      <c r="E538" s="7" t="str">
        <f t="shared" si="24"/>
        <v/>
      </c>
      <c r="H538" s="7" t="str">
        <f>IF(B538&lt;&gt;"Silicone","",IFERROR(XLOOKUP(D538,#REF!,#REF!),""))</f>
        <v/>
      </c>
      <c r="J538" s="7" t="str">
        <f ca="1">IFERROR(XLOOKUP(D538,'Spec_Single_H&amp;S'!B:B,'Spec_Single_H&amp;S'!E:E),
IFERROR(XLOOKUP(D538,#REF!,#REF!),""))</f>
        <v/>
      </c>
      <c r="K538" s="7" t="str">
        <f ca="1">IFERROR(XLOOKUP(D538,'Spec_Single_H&amp;S'!B:B,'Spec_Single_H&amp;S'!F:F),
IFERROR(XLOOKUP(D538,#REF!,#REF!),""))</f>
        <v/>
      </c>
      <c r="L538" s="7" t="str">
        <f t="shared" ca="1" si="23"/>
        <v/>
      </c>
    </row>
    <row r="539" spans="5:12" x14ac:dyDescent="0.3">
      <c r="E539" s="7" t="str">
        <f t="shared" si="24"/>
        <v/>
      </c>
      <c r="H539" s="7" t="str">
        <f>IF(B539&lt;&gt;"Silicone","",IFERROR(XLOOKUP(D539,#REF!,#REF!),""))</f>
        <v/>
      </c>
      <c r="J539" s="7" t="str">
        <f ca="1">IFERROR(XLOOKUP(D539,'Spec_Single_H&amp;S'!B:B,'Spec_Single_H&amp;S'!E:E),
IFERROR(XLOOKUP(D539,#REF!,#REF!),""))</f>
        <v/>
      </c>
      <c r="K539" s="7" t="str">
        <f ca="1">IFERROR(XLOOKUP(D539,'Spec_Single_H&amp;S'!B:B,'Spec_Single_H&amp;S'!F:F),
IFERROR(XLOOKUP(D539,#REF!,#REF!),""))</f>
        <v/>
      </c>
      <c r="L539" s="7" t="str">
        <f t="shared" ca="1" si="23"/>
        <v/>
      </c>
    </row>
    <row r="540" spans="5:12" x14ac:dyDescent="0.3">
      <c r="E540" s="7" t="str">
        <f t="shared" si="24"/>
        <v/>
      </c>
      <c r="H540" s="7" t="str">
        <f>IF(B540&lt;&gt;"Silicone","",IFERROR(XLOOKUP(D540,#REF!,#REF!),""))</f>
        <v/>
      </c>
      <c r="J540" s="7" t="str">
        <f ca="1">IFERROR(XLOOKUP(D540,'Spec_Single_H&amp;S'!B:B,'Spec_Single_H&amp;S'!E:E),
IFERROR(XLOOKUP(D540,#REF!,#REF!),""))</f>
        <v/>
      </c>
      <c r="K540" s="7" t="str">
        <f ca="1">IFERROR(XLOOKUP(D540,'Spec_Single_H&amp;S'!B:B,'Spec_Single_H&amp;S'!F:F),
IFERROR(XLOOKUP(D540,#REF!,#REF!),""))</f>
        <v/>
      </c>
      <c r="L540" s="7" t="str">
        <f t="shared" ca="1" si="23"/>
        <v/>
      </c>
    </row>
    <row r="541" spans="5:12" x14ac:dyDescent="0.3">
      <c r="E541" s="7" t="str">
        <f t="shared" si="24"/>
        <v/>
      </c>
      <c r="H541" s="7" t="str">
        <f>IF(B541&lt;&gt;"Silicone","",IFERROR(XLOOKUP(D541,#REF!,#REF!),""))</f>
        <v/>
      </c>
      <c r="J541" s="7" t="str">
        <f ca="1">IFERROR(XLOOKUP(D541,'Spec_Single_H&amp;S'!B:B,'Spec_Single_H&amp;S'!E:E),
IFERROR(XLOOKUP(D541,#REF!,#REF!),""))</f>
        <v/>
      </c>
      <c r="K541" s="7" t="str">
        <f ca="1">IFERROR(XLOOKUP(D541,'Spec_Single_H&amp;S'!B:B,'Spec_Single_H&amp;S'!F:F),
IFERROR(XLOOKUP(D541,#REF!,#REF!),""))</f>
        <v/>
      </c>
      <c r="L541" s="7" t="str">
        <f t="shared" ca="1" si="23"/>
        <v/>
      </c>
    </row>
    <row r="542" spans="5:12" x14ac:dyDescent="0.3">
      <c r="E542" s="7" t="str">
        <f t="shared" si="24"/>
        <v/>
      </c>
      <c r="H542" s="7" t="str">
        <f>IF(B542&lt;&gt;"Silicone","",IFERROR(XLOOKUP(D542,#REF!,#REF!),""))</f>
        <v/>
      </c>
      <c r="J542" s="7" t="str">
        <f ca="1">IFERROR(XLOOKUP(D542,'Spec_Single_H&amp;S'!B:B,'Spec_Single_H&amp;S'!E:E),
IFERROR(XLOOKUP(D542,#REF!,#REF!),""))</f>
        <v/>
      </c>
      <c r="K542" s="7" t="str">
        <f ca="1">IFERROR(XLOOKUP(D542,'Spec_Single_H&amp;S'!B:B,'Spec_Single_H&amp;S'!F:F),
IFERROR(XLOOKUP(D542,#REF!,#REF!),""))</f>
        <v/>
      </c>
      <c r="L542" s="7" t="str">
        <f t="shared" ca="1" si="23"/>
        <v/>
      </c>
    </row>
    <row r="543" spans="5:12" x14ac:dyDescent="0.3">
      <c r="E543" s="7" t="str">
        <f t="shared" si="24"/>
        <v/>
      </c>
      <c r="H543" s="7" t="str">
        <f>IF(B543&lt;&gt;"Silicone","",IFERROR(XLOOKUP(D543,#REF!,#REF!),""))</f>
        <v/>
      </c>
      <c r="J543" s="7" t="str">
        <f ca="1">IFERROR(XLOOKUP(D543,'Spec_Single_H&amp;S'!B:B,'Spec_Single_H&amp;S'!E:E),
IFERROR(XLOOKUP(D543,#REF!,#REF!),""))</f>
        <v/>
      </c>
      <c r="K543" s="7" t="str">
        <f ca="1">IFERROR(XLOOKUP(D543,'Spec_Single_H&amp;S'!B:B,'Spec_Single_H&amp;S'!F:F),
IFERROR(XLOOKUP(D543,#REF!,#REF!),""))</f>
        <v/>
      </c>
      <c r="L543" s="7" t="str">
        <f t="shared" ca="1" si="23"/>
        <v/>
      </c>
    </row>
    <row r="544" spans="5:12" x14ac:dyDescent="0.3">
      <c r="E544" s="7" t="str">
        <f t="shared" si="24"/>
        <v/>
      </c>
      <c r="H544" s="7" t="str">
        <f>IF(B544&lt;&gt;"Silicone","",IFERROR(XLOOKUP(D544,#REF!,#REF!),""))</f>
        <v/>
      </c>
      <c r="J544" s="7" t="str">
        <f ca="1">IFERROR(XLOOKUP(D544,'Spec_Single_H&amp;S'!B:B,'Spec_Single_H&amp;S'!E:E),
IFERROR(XLOOKUP(D544,#REF!,#REF!),""))</f>
        <v/>
      </c>
      <c r="K544" s="7" t="str">
        <f ca="1">IFERROR(XLOOKUP(D544,'Spec_Single_H&amp;S'!B:B,'Spec_Single_H&amp;S'!F:F),
IFERROR(XLOOKUP(D544,#REF!,#REF!),""))</f>
        <v/>
      </c>
      <c r="L544" s="7" t="str">
        <f t="shared" ca="1" si="23"/>
        <v/>
      </c>
    </row>
    <row r="545" spans="5:12" x14ac:dyDescent="0.3">
      <c r="E545" s="7" t="str">
        <f t="shared" si="24"/>
        <v/>
      </c>
      <c r="H545" s="7" t="str">
        <f>IF(B545&lt;&gt;"Silicone","",IFERROR(XLOOKUP(D545,#REF!,#REF!),""))</f>
        <v/>
      </c>
      <c r="J545" s="7" t="str">
        <f ca="1">IFERROR(XLOOKUP(D545,'Spec_Single_H&amp;S'!B:B,'Spec_Single_H&amp;S'!E:E),
IFERROR(XLOOKUP(D545,#REF!,#REF!),""))</f>
        <v/>
      </c>
      <c r="K545" s="7" t="str">
        <f ca="1">IFERROR(XLOOKUP(D545,'Spec_Single_H&amp;S'!B:B,'Spec_Single_H&amp;S'!F:F),
IFERROR(XLOOKUP(D545,#REF!,#REF!),""))</f>
        <v/>
      </c>
      <c r="L545" s="7" t="str">
        <f t="shared" ca="1" si="23"/>
        <v/>
      </c>
    </row>
    <row r="546" spans="5:12" x14ac:dyDescent="0.3">
      <c r="E546" s="7" t="str">
        <f t="shared" si="24"/>
        <v/>
      </c>
      <c r="H546" s="7" t="str">
        <f>IF(B546&lt;&gt;"Silicone","",IFERROR(XLOOKUP(D546,#REF!,#REF!),""))</f>
        <v/>
      </c>
      <c r="J546" s="7" t="str">
        <f ca="1">IFERROR(XLOOKUP(D546,'Spec_Single_H&amp;S'!B:B,'Spec_Single_H&amp;S'!E:E),
IFERROR(XLOOKUP(D546,#REF!,#REF!),""))</f>
        <v/>
      </c>
      <c r="K546" s="7" t="str">
        <f ca="1">IFERROR(XLOOKUP(D546,'Spec_Single_H&amp;S'!B:B,'Spec_Single_H&amp;S'!F:F),
IFERROR(XLOOKUP(D546,#REF!,#REF!),""))</f>
        <v/>
      </c>
      <c r="L546" s="7" t="str">
        <f t="shared" ca="1" si="23"/>
        <v/>
      </c>
    </row>
    <row r="547" spans="5:12" x14ac:dyDescent="0.3">
      <c r="E547" s="7" t="str">
        <f t="shared" si="24"/>
        <v/>
      </c>
      <c r="H547" s="7" t="str">
        <f>IF(B547&lt;&gt;"Silicone","",IFERROR(XLOOKUP(D547,#REF!,#REF!),""))</f>
        <v/>
      </c>
      <c r="J547" s="7" t="str">
        <f ca="1">IFERROR(XLOOKUP(D547,'Spec_Single_H&amp;S'!B:B,'Spec_Single_H&amp;S'!E:E),
IFERROR(XLOOKUP(D547,#REF!,#REF!),""))</f>
        <v/>
      </c>
      <c r="K547" s="7" t="str">
        <f ca="1">IFERROR(XLOOKUP(D547,'Spec_Single_H&amp;S'!B:B,'Spec_Single_H&amp;S'!F:F),
IFERROR(XLOOKUP(D547,#REF!,#REF!),""))</f>
        <v/>
      </c>
      <c r="L547" s="7" t="str">
        <f t="shared" ca="1" si="23"/>
        <v/>
      </c>
    </row>
    <row r="548" spans="5:12" x14ac:dyDescent="0.3">
      <c r="E548" s="7" t="str">
        <f t="shared" si="24"/>
        <v/>
      </c>
      <c r="H548" s="7" t="str">
        <f>IF(B548&lt;&gt;"Silicone","",IFERROR(XLOOKUP(D548,#REF!,#REF!),""))</f>
        <v/>
      </c>
      <c r="J548" s="7" t="str">
        <f ca="1">IFERROR(XLOOKUP(D548,'Spec_Single_H&amp;S'!B:B,'Spec_Single_H&amp;S'!E:E),
IFERROR(XLOOKUP(D548,#REF!,#REF!),""))</f>
        <v/>
      </c>
      <c r="K548" s="7" t="str">
        <f ca="1">IFERROR(XLOOKUP(D548,'Spec_Single_H&amp;S'!B:B,'Spec_Single_H&amp;S'!F:F),
IFERROR(XLOOKUP(D548,#REF!,#REF!),""))</f>
        <v/>
      </c>
      <c r="L548" s="7" t="str">
        <f t="shared" ca="1" si="23"/>
        <v/>
      </c>
    </row>
    <row r="549" spans="5:12" x14ac:dyDescent="0.3">
      <c r="E549" s="7" t="str">
        <f t="shared" si="24"/>
        <v/>
      </c>
      <c r="H549" s="7" t="str">
        <f>IF(B549&lt;&gt;"Silicone","",IFERROR(XLOOKUP(D549,#REF!,#REF!),""))</f>
        <v/>
      </c>
      <c r="J549" s="7" t="str">
        <f ca="1">IFERROR(XLOOKUP(D549,'Spec_Single_H&amp;S'!B:B,'Spec_Single_H&amp;S'!E:E),
IFERROR(XLOOKUP(D549,#REF!,#REF!),""))</f>
        <v/>
      </c>
      <c r="K549" s="7" t="str">
        <f ca="1">IFERROR(XLOOKUP(D549,'Spec_Single_H&amp;S'!B:B,'Spec_Single_H&amp;S'!F:F),
IFERROR(XLOOKUP(D549,#REF!,#REF!),""))</f>
        <v/>
      </c>
      <c r="L549" s="7" t="str">
        <f t="shared" ca="1" si="23"/>
        <v/>
      </c>
    </row>
    <row r="550" spans="5:12" x14ac:dyDescent="0.3">
      <c r="E550" s="7" t="str">
        <f t="shared" si="24"/>
        <v/>
      </c>
      <c r="H550" s="7" t="str">
        <f>IF(B550&lt;&gt;"Silicone","",IFERROR(XLOOKUP(D550,#REF!,#REF!),""))</f>
        <v/>
      </c>
      <c r="J550" s="7" t="str">
        <f ca="1">IFERROR(XLOOKUP(D550,'Spec_Single_H&amp;S'!B:B,'Spec_Single_H&amp;S'!E:E),
IFERROR(XLOOKUP(D550,#REF!,#REF!),""))</f>
        <v/>
      </c>
      <c r="K550" s="7" t="str">
        <f ca="1">IFERROR(XLOOKUP(D550,'Spec_Single_H&amp;S'!B:B,'Spec_Single_H&amp;S'!F:F),
IFERROR(XLOOKUP(D550,#REF!,#REF!),""))</f>
        <v/>
      </c>
      <c r="L550" s="7" t="str">
        <f t="shared" ca="1" si="23"/>
        <v/>
      </c>
    </row>
    <row r="551" spans="5:12" x14ac:dyDescent="0.3">
      <c r="E551" s="7" t="str">
        <f t="shared" si="24"/>
        <v/>
      </c>
      <c r="H551" s="7" t="str">
        <f>IF(B551&lt;&gt;"Silicone","",IFERROR(XLOOKUP(D551,#REF!,#REF!),""))</f>
        <v/>
      </c>
      <c r="J551" s="7" t="str">
        <f ca="1">IFERROR(XLOOKUP(D551,'Spec_Single_H&amp;S'!B:B,'Spec_Single_H&amp;S'!E:E),
IFERROR(XLOOKUP(D551,#REF!,#REF!),""))</f>
        <v/>
      </c>
      <c r="K551" s="7" t="str">
        <f ca="1">IFERROR(XLOOKUP(D551,'Spec_Single_H&amp;S'!B:B,'Spec_Single_H&amp;S'!F:F),
IFERROR(XLOOKUP(D551,#REF!,#REF!),""))</f>
        <v/>
      </c>
      <c r="L551" s="7" t="str">
        <f t="shared" ca="1" si="23"/>
        <v/>
      </c>
    </row>
    <row r="552" spans="5:12" x14ac:dyDescent="0.3">
      <c r="E552" s="7" t="str">
        <f t="shared" si="24"/>
        <v/>
      </c>
      <c r="H552" s="7" t="str">
        <f>IF(B552&lt;&gt;"Silicone","",IFERROR(XLOOKUP(D552,#REF!,#REF!),""))</f>
        <v/>
      </c>
      <c r="J552" s="7" t="str">
        <f ca="1">IFERROR(XLOOKUP(D552,'Spec_Single_H&amp;S'!B:B,'Spec_Single_H&amp;S'!E:E),
IFERROR(XLOOKUP(D552,#REF!,#REF!),""))</f>
        <v/>
      </c>
      <c r="K552" s="7" t="str">
        <f ca="1">IFERROR(XLOOKUP(D552,'Spec_Single_H&amp;S'!B:B,'Spec_Single_H&amp;S'!F:F),
IFERROR(XLOOKUP(D552,#REF!,#REF!),""))</f>
        <v/>
      </c>
      <c r="L552" s="7" t="str">
        <f t="shared" ca="1" si="23"/>
        <v/>
      </c>
    </row>
    <row r="553" spans="5:12" x14ac:dyDescent="0.3">
      <c r="E553" s="7" t="str">
        <f t="shared" si="24"/>
        <v/>
      </c>
      <c r="H553" s="7" t="str">
        <f>IF(B553&lt;&gt;"Silicone","",IFERROR(XLOOKUP(D553,#REF!,#REF!),""))</f>
        <v/>
      </c>
      <c r="J553" s="7" t="str">
        <f ca="1">IFERROR(XLOOKUP(D553,'Spec_Single_H&amp;S'!B:B,'Spec_Single_H&amp;S'!E:E),
IFERROR(XLOOKUP(D553,#REF!,#REF!),""))</f>
        <v/>
      </c>
      <c r="K553" s="7" t="str">
        <f ca="1">IFERROR(XLOOKUP(D553,'Spec_Single_H&amp;S'!B:B,'Spec_Single_H&amp;S'!F:F),
IFERROR(XLOOKUP(D553,#REF!,#REF!),""))</f>
        <v/>
      </c>
      <c r="L553" s="7" t="str">
        <f t="shared" ca="1" si="23"/>
        <v/>
      </c>
    </row>
    <row r="554" spans="5:12" x14ac:dyDescent="0.3">
      <c r="E554" s="7" t="str">
        <f t="shared" si="24"/>
        <v/>
      </c>
      <c r="H554" s="7" t="str">
        <f>IF(B554&lt;&gt;"Silicone","",IFERROR(XLOOKUP(D554,#REF!,#REF!),""))</f>
        <v/>
      </c>
      <c r="J554" s="7" t="str">
        <f ca="1">IFERROR(XLOOKUP(D554,'Spec_Single_H&amp;S'!B:B,'Spec_Single_H&amp;S'!E:E),
IFERROR(XLOOKUP(D554,#REF!,#REF!),""))</f>
        <v/>
      </c>
      <c r="K554" s="7" t="str">
        <f ca="1">IFERROR(XLOOKUP(D554,'Spec_Single_H&amp;S'!B:B,'Spec_Single_H&amp;S'!F:F),
IFERROR(XLOOKUP(D554,#REF!,#REF!),""))</f>
        <v/>
      </c>
      <c r="L554" s="7" t="str">
        <f t="shared" ca="1" si="23"/>
        <v/>
      </c>
    </row>
    <row r="555" spans="5:12" x14ac:dyDescent="0.3">
      <c r="E555" s="7" t="str">
        <f t="shared" si="24"/>
        <v/>
      </c>
      <c r="H555" s="7" t="str">
        <f>IF(B555&lt;&gt;"Silicone","",IFERROR(XLOOKUP(D555,#REF!,#REF!),""))</f>
        <v/>
      </c>
      <c r="J555" s="7" t="str">
        <f ca="1">IFERROR(XLOOKUP(D555,'Spec_Single_H&amp;S'!B:B,'Spec_Single_H&amp;S'!E:E),
IFERROR(XLOOKUP(D555,#REF!,#REF!),""))</f>
        <v/>
      </c>
      <c r="K555" s="7" t="str">
        <f ca="1">IFERROR(XLOOKUP(D555,'Spec_Single_H&amp;S'!B:B,'Spec_Single_H&amp;S'!F:F),
IFERROR(XLOOKUP(D555,#REF!,#REF!),""))</f>
        <v/>
      </c>
      <c r="L555" s="7" t="str">
        <f t="shared" ca="1" si="23"/>
        <v/>
      </c>
    </row>
    <row r="556" spans="5:12" x14ac:dyDescent="0.3">
      <c r="E556" s="7" t="str">
        <f t="shared" si="24"/>
        <v/>
      </c>
      <c r="H556" s="7" t="str">
        <f>IF(B556&lt;&gt;"Silicone","",IFERROR(XLOOKUP(D556,#REF!,#REF!),""))</f>
        <v/>
      </c>
      <c r="J556" s="7" t="str">
        <f ca="1">IFERROR(XLOOKUP(D556,'Spec_Single_H&amp;S'!B:B,'Spec_Single_H&amp;S'!E:E),
IFERROR(XLOOKUP(D556,#REF!,#REF!),""))</f>
        <v/>
      </c>
      <c r="K556" s="7" t="str">
        <f ca="1">IFERROR(XLOOKUP(D556,'Spec_Single_H&amp;S'!B:B,'Spec_Single_H&amp;S'!F:F),
IFERROR(XLOOKUP(D556,#REF!,#REF!),""))</f>
        <v/>
      </c>
      <c r="L556" s="7" t="str">
        <f t="shared" ca="1" si="23"/>
        <v/>
      </c>
    </row>
    <row r="557" spans="5:12" x14ac:dyDescent="0.3">
      <c r="E557" s="7" t="str">
        <f t="shared" si="24"/>
        <v/>
      </c>
      <c r="H557" s="7" t="str">
        <f>IF(B557&lt;&gt;"Silicone","",IFERROR(XLOOKUP(D557,#REF!,#REF!),""))</f>
        <v/>
      </c>
      <c r="J557" s="7" t="str">
        <f ca="1">IFERROR(XLOOKUP(D557,'Spec_Single_H&amp;S'!B:B,'Spec_Single_H&amp;S'!E:E),
IFERROR(XLOOKUP(D557,#REF!,#REF!),""))</f>
        <v/>
      </c>
      <c r="K557" s="7" t="str">
        <f ca="1">IFERROR(XLOOKUP(D557,'Spec_Single_H&amp;S'!B:B,'Spec_Single_H&amp;S'!F:F),
IFERROR(XLOOKUP(D557,#REF!,#REF!),""))</f>
        <v/>
      </c>
      <c r="L557" s="7" t="str">
        <f t="shared" ca="1" si="23"/>
        <v/>
      </c>
    </row>
    <row r="558" spans="5:12" x14ac:dyDescent="0.3">
      <c r="E558" s="7" t="str">
        <f t="shared" si="24"/>
        <v/>
      </c>
      <c r="H558" s="7" t="str">
        <f>IF(B558&lt;&gt;"Silicone","",IFERROR(XLOOKUP(D558,#REF!,#REF!),""))</f>
        <v/>
      </c>
      <c r="J558" s="7" t="str">
        <f ca="1">IFERROR(XLOOKUP(D558,'Spec_Single_H&amp;S'!B:B,'Spec_Single_H&amp;S'!E:E),
IFERROR(XLOOKUP(D558,#REF!,#REF!),""))</f>
        <v/>
      </c>
      <c r="K558" s="7" t="str">
        <f ca="1">IFERROR(XLOOKUP(D558,'Spec_Single_H&amp;S'!B:B,'Spec_Single_H&amp;S'!F:F),
IFERROR(XLOOKUP(D558,#REF!,#REF!),""))</f>
        <v/>
      </c>
      <c r="L558" s="7" t="str">
        <f t="shared" ca="1" si="23"/>
        <v/>
      </c>
    </row>
    <row r="559" spans="5:12" x14ac:dyDescent="0.3">
      <c r="E559" s="7" t="str">
        <f t="shared" si="24"/>
        <v/>
      </c>
      <c r="H559" s="7" t="str">
        <f>IF(B559&lt;&gt;"Silicone","",IFERROR(XLOOKUP(D559,#REF!,#REF!),""))</f>
        <v/>
      </c>
      <c r="J559" s="7" t="str">
        <f ca="1">IFERROR(XLOOKUP(D559,'Spec_Single_H&amp;S'!B:B,'Spec_Single_H&amp;S'!E:E),
IFERROR(XLOOKUP(D559,#REF!,#REF!),""))</f>
        <v/>
      </c>
      <c r="K559" s="7" t="str">
        <f ca="1">IFERROR(XLOOKUP(D559,'Spec_Single_H&amp;S'!B:B,'Spec_Single_H&amp;S'!F:F),
IFERROR(XLOOKUP(D559,#REF!,#REF!),""))</f>
        <v/>
      </c>
      <c r="L559" s="7" t="str">
        <f t="shared" ca="1" si="23"/>
        <v/>
      </c>
    </row>
    <row r="560" spans="5:12" x14ac:dyDescent="0.3">
      <c r="E560" s="7" t="str">
        <f t="shared" si="24"/>
        <v/>
      </c>
      <c r="H560" s="7" t="str">
        <f>IF(B560&lt;&gt;"Silicone","",IFERROR(XLOOKUP(D560,#REF!,#REF!),""))</f>
        <v/>
      </c>
      <c r="J560" s="7" t="str">
        <f ca="1">IFERROR(XLOOKUP(D560,'Spec_Single_H&amp;S'!B:B,'Spec_Single_H&amp;S'!E:E),
IFERROR(XLOOKUP(D560,#REF!,#REF!),""))</f>
        <v/>
      </c>
      <c r="K560" s="7" t="str">
        <f ca="1">IFERROR(XLOOKUP(D560,'Spec_Single_H&amp;S'!B:B,'Spec_Single_H&amp;S'!F:F),
IFERROR(XLOOKUP(D560,#REF!,#REF!),""))</f>
        <v/>
      </c>
      <c r="L560" s="7" t="str">
        <f t="shared" ca="1" si="23"/>
        <v/>
      </c>
    </row>
    <row r="561" spans="5:12" x14ac:dyDescent="0.3">
      <c r="E561" s="7" t="str">
        <f t="shared" si="24"/>
        <v/>
      </c>
      <c r="H561" s="7" t="str">
        <f>IF(B561&lt;&gt;"Silicone","",IFERROR(XLOOKUP(D561,#REF!,#REF!),""))</f>
        <v/>
      </c>
      <c r="J561" s="7" t="str">
        <f ca="1">IFERROR(XLOOKUP(D561,'Spec_Single_H&amp;S'!B:B,'Spec_Single_H&amp;S'!E:E),
IFERROR(XLOOKUP(D561,#REF!,#REF!),""))</f>
        <v/>
      </c>
      <c r="K561" s="7" t="str">
        <f ca="1">IFERROR(XLOOKUP(D561,'Spec_Single_H&amp;S'!B:B,'Spec_Single_H&amp;S'!F:F),
IFERROR(XLOOKUP(D561,#REF!,#REF!),""))</f>
        <v/>
      </c>
      <c r="L561" s="7" t="str">
        <f t="shared" ca="1" si="23"/>
        <v/>
      </c>
    </row>
    <row r="562" spans="5:12" x14ac:dyDescent="0.3">
      <c r="E562" s="7" t="str">
        <f t="shared" si="24"/>
        <v/>
      </c>
      <c r="H562" s="7" t="str">
        <f>IF(B562&lt;&gt;"Silicone","",IFERROR(XLOOKUP(D562,#REF!,#REF!),""))</f>
        <v/>
      </c>
      <c r="J562" s="7" t="str">
        <f ca="1">IFERROR(XLOOKUP(D562,'Spec_Single_H&amp;S'!B:B,'Spec_Single_H&amp;S'!E:E),
IFERROR(XLOOKUP(D562,#REF!,#REF!),""))</f>
        <v/>
      </c>
      <c r="K562" s="7" t="str">
        <f ca="1">IFERROR(XLOOKUP(D562,'Spec_Single_H&amp;S'!B:B,'Spec_Single_H&amp;S'!F:F),
IFERROR(XLOOKUP(D562,#REF!,#REF!),""))</f>
        <v/>
      </c>
      <c r="L562" s="7" t="str">
        <f t="shared" ca="1" si="23"/>
        <v/>
      </c>
    </row>
    <row r="563" spans="5:12" x14ac:dyDescent="0.3">
      <c r="E563" s="7" t="str">
        <f t="shared" si="24"/>
        <v/>
      </c>
      <c r="H563" s="7" t="str">
        <f>IF(B563&lt;&gt;"Silicone","",IFERROR(XLOOKUP(D563,#REF!,#REF!),""))</f>
        <v/>
      </c>
      <c r="J563" s="7" t="str">
        <f ca="1">IFERROR(XLOOKUP(D563,'Spec_Single_H&amp;S'!B:B,'Spec_Single_H&amp;S'!E:E),
IFERROR(XLOOKUP(D563,#REF!,#REF!),""))</f>
        <v/>
      </c>
      <c r="K563" s="7" t="str">
        <f ca="1">IFERROR(XLOOKUP(D563,'Spec_Single_H&amp;S'!B:B,'Spec_Single_H&amp;S'!F:F),
IFERROR(XLOOKUP(D563,#REF!,#REF!),""))</f>
        <v/>
      </c>
      <c r="L563" s="7" t="str">
        <f t="shared" ca="1" si="23"/>
        <v/>
      </c>
    </row>
    <row r="564" spans="5:12" x14ac:dyDescent="0.3">
      <c r="E564" s="7" t="str">
        <f t="shared" si="24"/>
        <v/>
      </c>
      <c r="H564" s="7" t="str">
        <f>IF(B564&lt;&gt;"Silicone","",IFERROR(XLOOKUP(D564,#REF!,#REF!),""))</f>
        <v/>
      </c>
      <c r="J564" s="7" t="str">
        <f ca="1">IFERROR(XLOOKUP(D564,'Spec_Single_H&amp;S'!B:B,'Spec_Single_H&amp;S'!E:E),
IFERROR(XLOOKUP(D564,#REF!,#REF!),""))</f>
        <v/>
      </c>
      <c r="K564" s="7" t="str">
        <f ca="1">IFERROR(XLOOKUP(D564,'Spec_Single_H&amp;S'!B:B,'Spec_Single_H&amp;S'!F:F),
IFERROR(XLOOKUP(D564,#REF!,#REF!),""))</f>
        <v/>
      </c>
      <c r="L564" s="7" t="str">
        <f t="shared" ca="1" si="23"/>
        <v/>
      </c>
    </row>
    <row r="565" spans="5:12" x14ac:dyDescent="0.3">
      <c r="E565" s="7" t="str">
        <f t="shared" si="24"/>
        <v/>
      </c>
      <c r="H565" s="7" t="str">
        <f>IF(B565&lt;&gt;"Silicone","",IFERROR(XLOOKUP(D565,#REF!,#REF!),""))</f>
        <v/>
      </c>
      <c r="J565" s="7" t="str">
        <f ca="1">IFERROR(XLOOKUP(D565,'Spec_Single_H&amp;S'!B:B,'Spec_Single_H&amp;S'!E:E),
IFERROR(XLOOKUP(D565,#REF!,#REF!),""))</f>
        <v/>
      </c>
      <c r="K565" s="7" t="str">
        <f ca="1">IFERROR(XLOOKUP(D565,'Spec_Single_H&amp;S'!B:B,'Spec_Single_H&amp;S'!F:F),
IFERROR(XLOOKUP(D565,#REF!,#REF!),""))</f>
        <v/>
      </c>
      <c r="L565" s="7" t="str">
        <f t="shared" ca="1" si="23"/>
        <v/>
      </c>
    </row>
    <row r="566" spans="5:12" x14ac:dyDescent="0.3">
      <c r="E566" s="7" t="str">
        <f t="shared" si="24"/>
        <v/>
      </c>
      <c r="H566" s="7" t="str">
        <f>IF(B566&lt;&gt;"Silicone","",IFERROR(XLOOKUP(D566,#REF!,#REF!),""))</f>
        <v/>
      </c>
      <c r="J566" s="7" t="str">
        <f ca="1">IFERROR(XLOOKUP(D566,'Spec_Single_H&amp;S'!B:B,'Spec_Single_H&amp;S'!E:E),
IFERROR(XLOOKUP(D566,#REF!,#REF!),""))</f>
        <v/>
      </c>
      <c r="K566" s="7" t="str">
        <f ca="1">IFERROR(XLOOKUP(D566,'Spec_Single_H&amp;S'!B:B,'Spec_Single_H&amp;S'!F:F),
IFERROR(XLOOKUP(D566,#REF!,#REF!),""))</f>
        <v/>
      </c>
      <c r="L566" s="7" t="str">
        <f t="shared" ca="1" si="23"/>
        <v/>
      </c>
    </row>
    <row r="567" spans="5:12" x14ac:dyDescent="0.3">
      <c r="E567" s="7" t="str">
        <f t="shared" si="24"/>
        <v/>
      </c>
      <c r="H567" s="7" t="str">
        <f>IF(B567&lt;&gt;"Silicone","",IFERROR(XLOOKUP(D567,#REF!,#REF!),""))</f>
        <v/>
      </c>
      <c r="J567" s="7" t="str">
        <f ca="1">IFERROR(XLOOKUP(D567,'Spec_Single_H&amp;S'!B:B,'Spec_Single_H&amp;S'!E:E),
IFERROR(XLOOKUP(D567,#REF!,#REF!),""))</f>
        <v/>
      </c>
      <c r="K567" s="7" t="str">
        <f ca="1">IFERROR(XLOOKUP(D567,'Spec_Single_H&amp;S'!B:B,'Spec_Single_H&amp;S'!F:F),
IFERROR(XLOOKUP(D567,#REF!,#REF!),""))</f>
        <v/>
      </c>
      <c r="L567" s="7" t="str">
        <f t="shared" ca="1" si="23"/>
        <v/>
      </c>
    </row>
    <row r="568" spans="5:12" x14ac:dyDescent="0.3">
      <c r="E568" s="7" t="str">
        <f t="shared" si="24"/>
        <v/>
      </c>
      <c r="H568" s="7" t="str">
        <f>IF(B568&lt;&gt;"Silicone","",IFERROR(XLOOKUP(D568,#REF!,#REF!),""))</f>
        <v/>
      </c>
      <c r="J568" s="7" t="str">
        <f ca="1">IFERROR(XLOOKUP(D568,'Spec_Single_H&amp;S'!B:B,'Spec_Single_H&amp;S'!E:E),
IFERROR(XLOOKUP(D568,#REF!,#REF!),""))</f>
        <v/>
      </c>
      <c r="K568" s="7" t="str">
        <f ca="1">IFERROR(XLOOKUP(D568,'Spec_Single_H&amp;S'!B:B,'Spec_Single_H&amp;S'!F:F),
IFERROR(XLOOKUP(D568,#REF!,#REF!),""))</f>
        <v/>
      </c>
      <c r="L568" s="7" t="str">
        <f t="shared" ca="1" si="23"/>
        <v/>
      </c>
    </row>
    <row r="569" spans="5:12" x14ac:dyDescent="0.3">
      <c r="E569" s="7" t="str">
        <f t="shared" si="24"/>
        <v/>
      </c>
      <c r="H569" s="7" t="str">
        <f>IF(B569&lt;&gt;"Silicone","",IFERROR(XLOOKUP(D569,#REF!,#REF!),""))</f>
        <v/>
      </c>
      <c r="J569" s="7" t="str">
        <f ca="1">IFERROR(XLOOKUP(D569,'Spec_Single_H&amp;S'!B:B,'Spec_Single_H&amp;S'!E:E),
IFERROR(XLOOKUP(D569,#REF!,#REF!),""))</f>
        <v/>
      </c>
      <c r="K569" s="7" t="str">
        <f ca="1">IFERROR(XLOOKUP(D569,'Spec_Single_H&amp;S'!B:B,'Spec_Single_H&amp;S'!F:F),
IFERROR(XLOOKUP(D569,#REF!,#REF!),""))</f>
        <v/>
      </c>
      <c r="L569" s="7" t="str">
        <f t="shared" ca="1" si="23"/>
        <v/>
      </c>
    </row>
    <row r="570" spans="5:12" x14ac:dyDescent="0.3">
      <c r="E570" s="7" t="str">
        <f t="shared" si="24"/>
        <v/>
      </c>
      <c r="H570" s="7" t="str">
        <f>IF(B570&lt;&gt;"Silicone","",IFERROR(XLOOKUP(D570,#REF!,#REF!),""))</f>
        <v/>
      </c>
      <c r="J570" s="7" t="str">
        <f ca="1">IFERROR(XLOOKUP(D570,'Spec_Single_H&amp;S'!B:B,'Spec_Single_H&amp;S'!E:E),
IFERROR(XLOOKUP(D570,#REF!,#REF!),""))</f>
        <v/>
      </c>
      <c r="K570" s="7" t="str">
        <f ca="1">IFERROR(XLOOKUP(D570,'Spec_Single_H&amp;S'!B:B,'Spec_Single_H&amp;S'!F:F),
IFERROR(XLOOKUP(D570,#REF!,#REF!),""))</f>
        <v/>
      </c>
      <c r="L570" s="7" t="str">
        <f t="shared" ca="1" si="23"/>
        <v/>
      </c>
    </row>
    <row r="571" spans="5:12" x14ac:dyDescent="0.3">
      <c r="E571" s="7" t="str">
        <f t="shared" si="24"/>
        <v/>
      </c>
      <c r="H571" s="7" t="str">
        <f>IF(B571&lt;&gt;"Silicone","",IFERROR(XLOOKUP(D571,#REF!,#REF!),""))</f>
        <v/>
      </c>
      <c r="J571" s="7" t="str">
        <f ca="1">IFERROR(XLOOKUP(D571,'Spec_Single_H&amp;S'!B:B,'Spec_Single_H&amp;S'!E:E),
IFERROR(XLOOKUP(D571,#REF!,#REF!),""))</f>
        <v/>
      </c>
      <c r="K571" s="7" t="str">
        <f ca="1">IFERROR(XLOOKUP(D571,'Spec_Single_H&amp;S'!B:B,'Spec_Single_H&amp;S'!F:F),
IFERROR(XLOOKUP(D571,#REF!,#REF!),""))</f>
        <v/>
      </c>
      <c r="L571" s="7" t="str">
        <f t="shared" ca="1" si="23"/>
        <v/>
      </c>
    </row>
    <row r="572" spans="5:12" x14ac:dyDescent="0.3">
      <c r="E572" s="7" t="str">
        <f t="shared" si="24"/>
        <v/>
      </c>
      <c r="H572" s="7" t="str">
        <f>IF(B572&lt;&gt;"Silicone","",IFERROR(XLOOKUP(D572,#REF!,#REF!),""))</f>
        <v/>
      </c>
      <c r="J572" s="7" t="str">
        <f ca="1">IFERROR(XLOOKUP(D572,'Spec_Single_H&amp;S'!B:B,'Spec_Single_H&amp;S'!E:E),
IFERROR(XLOOKUP(D572,#REF!,#REF!),""))</f>
        <v/>
      </c>
      <c r="K572" s="7" t="str">
        <f ca="1">IFERROR(XLOOKUP(D572,'Spec_Single_H&amp;S'!B:B,'Spec_Single_H&amp;S'!F:F),
IFERROR(XLOOKUP(D572,#REF!,#REF!),""))</f>
        <v/>
      </c>
      <c r="L572" s="7" t="str">
        <f t="shared" ca="1" si="23"/>
        <v/>
      </c>
    </row>
    <row r="573" spans="5:12" x14ac:dyDescent="0.3">
      <c r="E573" s="7" t="str">
        <f t="shared" si="24"/>
        <v/>
      </c>
      <c r="H573" s="7" t="str">
        <f>IF(B573&lt;&gt;"Silicone","",IFERROR(XLOOKUP(D573,#REF!,#REF!),""))</f>
        <v/>
      </c>
      <c r="J573" s="7" t="str">
        <f ca="1">IFERROR(XLOOKUP(D573,'Spec_Single_H&amp;S'!B:B,'Spec_Single_H&amp;S'!E:E),
IFERROR(XLOOKUP(D573,#REF!,#REF!),""))</f>
        <v/>
      </c>
      <c r="K573" s="7" t="str">
        <f ca="1">IFERROR(XLOOKUP(D573,'Spec_Single_H&amp;S'!B:B,'Spec_Single_H&amp;S'!F:F),
IFERROR(XLOOKUP(D573,#REF!,#REF!),""))</f>
        <v/>
      </c>
      <c r="L573" s="7" t="str">
        <f t="shared" ca="1" si="23"/>
        <v/>
      </c>
    </row>
    <row r="574" spans="5:12" x14ac:dyDescent="0.3">
      <c r="E574" s="7" t="str">
        <f t="shared" si="24"/>
        <v/>
      </c>
      <c r="H574" s="7" t="str">
        <f>IF(B574&lt;&gt;"Silicone","",IFERROR(XLOOKUP(D574,#REF!,#REF!),""))</f>
        <v/>
      </c>
      <c r="J574" s="7" t="str">
        <f ca="1">IFERROR(XLOOKUP(D574,'Spec_Single_H&amp;S'!B:B,'Spec_Single_H&amp;S'!E:E),
IFERROR(XLOOKUP(D574,#REF!,#REF!),""))</f>
        <v/>
      </c>
      <c r="K574" s="7" t="str">
        <f ca="1">IFERROR(XLOOKUP(D574,'Spec_Single_H&amp;S'!B:B,'Spec_Single_H&amp;S'!F:F),
IFERROR(XLOOKUP(D574,#REF!,#REF!),""))</f>
        <v/>
      </c>
      <c r="L574" s="7" t="str">
        <f t="shared" ca="1" si="23"/>
        <v/>
      </c>
    </row>
    <row r="575" spans="5:12" x14ac:dyDescent="0.3">
      <c r="E575" s="7" t="str">
        <f t="shared" si="24"/>
        <v/>
      </c>
      <c r="H575" s="7" t="str">
        <f>IF(B575&lt;&gt;"Silicone","",IFERROR(XLOOKUP(D575,#REF!,#REF!),""))</f>
        <v/>
      </c>
      <c r="J575" s="7" t="str">
        <f ca="1">IFERROR(XLOOKUP(D575,'Spec_Single_H&amp;S'!B:B,'Spec_Single_H&amp;S'!E:E),
IFERROR(XLOOKUP(D575,#REF!,#REF!),""))</f>
        <v/>
      </c>
      <c r="K575" s="7" t="str">
        <f ca="1">IFERROR(XLOOKUP(D575,'Spec_Single_H&amp;S'!B:B,'Spec_Single_H&amp;S'!F:F),
IFERROR(XLOOKUP(D575,#REF!,#REF!),""))</f>
        <v/>
      </c>
      <c r="L575" s="7" t="str">
        <f t="shared" ca="1" si="23"/>
        <v/>
      </c>
    </row>
    <row r="576" spans="5:12" x14ac:dyDescent="0.3">
      <c r="E576" s="7" t="str">
        <f t="shared" si="24"/>
        <v/>
      </c>
      <c r="H576" s="7" t="str">
        <f>IF(B576&lt;&gt;"Silicone","",IFERROR(XLOOKUP(D576,#REF!,#REF!),""))</f>
        <v/>
      </c>
      <c r="J576" s="7" t="str">
        <f ca="1">IFERROR(XLOOKUP(D576,'Spec_Single_H&amp;S'!B:B,'Spec_Single_H&amp;S'!E:E),
IFERROR(XLOOKUP(D576,#REF!,#REF!),""))</f>
        <v/>
      </c>
      <c r="K576" s="7" t="str">
        <f ca="1">IFERROR(XLOOKUP(D576,'Spec_Single_H&amp;S'!B:B,'Spec_Single_H&amp;S'!F:F),
IFERROR(XLOOKUP(D576,#REF!,#REF!),""))</f>
        <v/>
      </c>
      <c r="L576" s="7" t="str">
        <f t="shared" ca="1" si="23"/>
        <v/>
      </c>
    </row>
    <row r="577" spans="5:12" x14ac:dyDescent="0.3">
      <c r="E577" s="7" t="str">
        <f t="shared" si="24"/>
        <v/>
      </c>
      <c r="H577" s="7" t="str">
        <f>IF(B577&lt;&gt;"Silicone","",IFERROR(XLOOKUP(D577,#REF!,#REF!),""))</f>
        <v/>
      </c>
      <c r="J577" s="7" t="str">
        <f ca="1">IFERROR(XLOOKUP(D577,'Spec_Single_H&amp;S'!B:B,'Spec_Single_H&amp;S'!E:E),
IFERROR(XLOOKUP(D577,#REF!,#REF!),""))</f>
        <v/>
      </c>
      <c r="K577" s="7" t="str">
        <f ca="1">IFERROR(XLOOKUP(D577,'Spec_Single_H&amp;S'!B:B,'Spec_Single_H&amp;S'!F:F),
IFERROR(XLOOKUP(D577,#REF!,#REF!),""))</f>
        <v/>
      </c>
      <c r="L577" s="7" t="str">
        <f t="shared" ca="1" si="23"/>
        <v/>
      </c>
    </row>
    <row r="578" spans="5:12" x14ac:dyDescent="0.3">
      <c r="E578" s="7" t="str">
        <f t="shared" si="24"/>
        <v/>
      </c>
      <c r="H578" s="7" t="str">
        <f>IF(B578&lt;&gt;"Silicone","",IFERROR(XLOOKUP(D578,#REF!,#REF!),""))</f>
        <v/>
      </c>
      <c r="J578" s="7" t="str">
        <f ca="1">IFERROR(XLOOKUP(D578,'Spec_Single_H&amp;S'!B:B,'Spec_Single_H&amp;S'!E:E),
IFERROR(XLOOKUP(D578,#REF!,#REF!),""))</f>
        <v/>
      </c>
      <c r="K578" s="7" t="str">
        <f ca="1">IFERROR(XLOOKUP(D578,'Spec_Single_H&amp;S'!B:B,'Spec_Single_H&amp;S'!F:F),
IFERROR(XLOOKUP(D578,#REF!,#REF!),""))</f>
        <v/>
      </c>
      <c r="L578" s="7" t="str">
        <f t="shared" ca="1" si="23"/>
        <v/>
      </c>
    </row>
    <row r="579" spans="5:12" x14ac:dyDescent="0.3">
      <c r="E579" s="7" t="str">
        <f t="shared" si="24"/>
        <v/>
      </c>
      <c r="H579" s="7" t="str">
        <f>IF(B579&lt;&gt;"Silicone","",IFERROR(XLOOKUP(D579,#REF!,#REF!),""))</f>
        <v/>
      </c>
      <c r="J579" s="7" t="str">
        <f ca="1">IFERROR(XLOOKUP(D579,'Spec_Single_H&amp;S'!B:B,'Spec_Single_H&amp;S'!E:E),
IFERROR(XLOOKUP(D579,#REF!,#REF!),""))</f>
        <v/>
      </c>
      <c r="K579" s="7" t="str">
        <f ca="1">IFERROR(XLOOKUP(D579,'Spec_Single_H&amp;S'!B:B,'Spec_Single_H&amp;S'!F:F),
IFERROR(XLOOKUP(D579,#REF!,#REF!),""))</f>
        <v/>
      </c>
      <c r="L579" s="7" t="str">
        <f t="shared" ca="1" si="23"/>
        <v/>
      </c>
    </row>
    <row r="580" spans="5:12" x14ac:dyDescent="0.3">
      <c r="E580" s="7" t="str">
        <f t="shared" si="24"/>
        <v/>
      </c>
      <c r="H580" s="7" t="str">
        <f>IF(B580&lt;&gt;"Silicone","",IFERROR(XLOOKUP(D580,#REF!,#REF!),""))</f>
        <v/>
      </c>
      <c r="J580" s="7" t="str">
        <f ca="1">IFERROR(XLOOKUP(D580,'Spec_Single_H&amp;S'!B:B,'Spec_Single_H&amp;S'!E:E),
IFERROR(XLOOKUP(D580,#REF!,#REF!),""))</f>
        <v/>
      </c>
      <c r="K580" s="7" t="str">
        <f ca="1">IFERROR(XLOOKUP(D580,'Spec_Single_H&amp;S'!B:B,'Spec_Single_H&amp;S'!F:F),
IFERROR(XLOOKUP(D580,#REF!,#REF!),""))</f>
        <v/>
      </c>
      <c r="L580" s="7" t="str">
        <f t="shared" ca="1" si="23"/>
        <v/>
      </c>
    </row>
    <row r="581" spans="5:12" x14ac:dyDescent="0.3">
      <c r="E581" s="7" t="str">
        <f t="shared" si="24"/>
        <v/>
      </c>
      <c r="H581" s="7" t="str">
        <f>IF(B581&lt;&gt;"Silicone","",IFERROR(XLOOKUP(D581,#REF!,#REF!),""))</f>
        <v/>
      </c>
      <c r="J581" s="7" t="str">
        <f ca="1">IFERROR(XLOOKUP(D581,'Spec_Single_H&amp;S'!B:B,'Spec_Single_H&amp;S'!E:E),
IFERROR(XLOOKUP(D581,#REF!,#REF!),""))</f>
        <v/>
      </c>
      <c r="K581" s="7" t="str">
        <f ca="1">IFERROR(XLOOKUP(D581,'Spec_Single_H&amp;S'!B:B,'Spec_Single_H&amp;S'!F:F),
IFERROR(XLOOKUP(D581,#REF!,#REF!),""))</f>
        <v/>
      </c>
      <c r="L581" s="7" t="str">
        <f t="shared" ca="1" si="23"/>
        <v/>
      </c>
    </row>
    <row r="582" spans="5:12" x14ac:dyDescent="0.3">
      <c r="E582" s="7" t="str">
        <f t="shared" si="24"/>
        <v/>
      </c>
      <c r="H582" s="7" t="str">
        <f>IF(B582&lt;&gt;"Silicone","",IFERROR(XLOOKUP(D582,#REF!,#REF!),""))</f>
        <v/>
      </c>
      <c r="J582" s="7" t="str">
        <f ca="1">IFERROR(XLOOKUP(D582,'Spec_Single_H&amp;S'!B:B,'Spec_Single_H&amp;S'!E:E),
IFERROR(XLOOKUP(D582,#REF!,#REF!),""))</f>
        <v/>
      </c>
      <c r="K582" s="7" t="str">
        <f ca="1">IFERROR(XLOOKUP(D582,'Spec_Single_H&amp;S'!B:B,'Spec_Single_H&amp;S'!F:F),
IFERROR(XLOOKUP(D582,#REF!,#REF!),""))</f>
        <v/>
      </c>
      <c r="L582" s="7" t="str">
        <f t="shared" ca="1" si="23"/>
        <v/>
      </c>
    </row>
    <row r="583" spans="5:12" x14ac:dyDescent="0.3">
      <c r="E583" s="7" t="str">
        <f t="shared" si="24"/>
        <v/>
      </c>
      <c r="H583" s="7" t="str">
        <f>IF(B583&lt;&gt;"Silicone","",IFERROR(XLOOKUP(D583,#REF!,#REF!),""))</f>
        <v/>
      </c>
      <c r="J583" s="7" t="str">
        <f ca="1">IFERROR(XLOOKUP(D583,'Spec_Single_H&amp;S'!B:B,'Spec_Single_H&amp;S'!E:E),
IFERROR(XLOOKUP(D583,#REF!,#REF!),""))</f>
        <v/>
      </c>
      <c r="K583" s="7" t="str">
        <f ca="1">IFERROR(XLOOKUP(D583,'Spec_Single_H&amp;S'!B:B,'Spec_Single_H&amp;S'!F:F),
IFERROR(XLOOKUP(D583,#REF!,#REF!),""))</f>
        <v/>
      </c>
      <c r="L583" s="7" t="str">
        <f t="shared" ca="1" si="23"/>
        <v/>
      </c>
    </row>
    <row r="584" spans="5:12" x14ac:dyDescent="0.3">
      <c r="E584" s="7" t="str">
        <f t="shared" si="24"/>
        <v/>
      </c>
      <c r="H584" s="7" t="str">
        <f>IF(B584&lt;&gt;"Silicone","",IFERROR(XLOOKUP(D584,#REF!,#REF!),""))</f>
        <v/>
      </c>
      <c r="J584" s="7" t="str">
        <f ca="1">IFERROR(XLOOKUP(D584,'Spec_Single_H&amp;S'!B:B,'Spec_Single_H&amp;S'!E:E),
IFERROR(XLOOKUP(D584,#REF!,#REF!),""))</f>
        <v/>
      </c>
      <c r="K584" s="7" t="str">
        <f ca="1">IFERROR(XLOOKUP(D584,'Spec_Single_H&amp;S'!B:B,'Spec_Single_H&amp;S'!F:F),
IFERROR(XLOOKUP(D584,#REF!,#REF!),""))</f>
        <v/>
      </c>
      <c r="L584" s="7" t="str">
        <f t="shared" ref="L584:L647" ca="1" si="25">IF(AND(NOT(ISBLANK(I584)),I584&gt;=J584,I584&lt;=K584),"적합",IF(ISBLANK(I584),"", "부적합"))</f>
        <v/>
      </c>
    </row>
    <row r="585" spans="5:12" x14ac:dyDescent="0.3">
      <c r="E585" s="7" t="str">
        <f t="shared" ref="E585:E648" si="26">IF(D585="","",IF(B585="Silicone", "SL" &amp; IF(C585="Black","B",IF(C585="White","W",IF(C585="Blue","U",IF(C585="Green","G",IF(C585="Yellow","Y",IF(C585="Red","R",IF(C585="Pink","P",""))))))) &amp; TEXT(A585,"yymmdd") &amp; "01",IF(LEFT(D585,3)="NPL","NPL","PL") &amp; IF(C585="Black","B",IF(C585="White","W",IF(C585="Blue","U",IF(C585="Green","G",IF(C585="Yellow","Y",IF(C585="Red","R",IF(C585="Pink","P",""))))))) &amp; TEXT(A585,"yymmdd") &amp; "01"))</f>
        <v/>
      </c>
      <c r="H585" s="7" t="str">
        <f>IF(B585&lt;&gt;"Silicone","",IFERROR(XLOOKUP(D585,#REF!,#REF!),""))</f>
        <v/>
      </c>
      <c r="J585" s="7" t="str">
        <f ca="1">IFERROR(XLOOKUP(D585,'Spec_Single_H&amp;S'!B:B,'Spec_Single_H&amp;S'!E:E),
IFERROR(XLOOKUP(D585,#REF!,#REF!),""))</f>
        <v/>
      </c>
      <c r="K585" s="7" t="str">
        <f ca="1">IFERROR(XLOOKUP(D585,'Spec_Single_H&amp;S'!B:B,'Spec_Single_H&amp;S'!F:F),
IFERROR(XLOOKUP(D585,#REF!,#REF!),""))</f>
        <v/>
      </c>
      <c r="L585" s="7" t="str">
        <f t="shared" ca="1" si="25"/>
        <v/>
      </c>
    </row>
    <row r="586" spans="5:12" x14ac:dyDescent="0.3">
      <c r="E586" s="7" t="str">
        <f t="shared" si="26"/>
        <v/>
      </c>
      <c r="H586" s="7" t="str">
        <f>IF(B586&lt;&gt;"Silicone","",IFERROR(XLOOKUP(D586,#REF!,#REF!),""))</f>
        <v/>
      </c>
      <c r="J586" s="7" t="str">
        <f ca="1">IFERROR(XLOOKUP(D586,'Spec_Single_H&amp;S'!B:B,'Spec_Single_H&amp;S'!E:E),
IFERROR(XLOOKUP(D586,#REF!,#REF!),""))</f>
        <v/>
      </c>
      <c r="K586" s="7" t="str">
        <f ca="1">IFERROR(XLOOKUP(D586,'Spec_Single_H&amp;S'!B:B,'Spec_Single_H&amp;S'!F:F),
IFERROR(XLOOKUP(D586,#REF!,#REF!),""))</f>
        <v/>
      </c>
      <c r="L586" s="7" t="str">
        <f t="shared" ca="1" si="25"/>
        <v/>
      </c>
    </row>
    <row r="587" spans="5:12" x14ac:dyDescent="0.3">
      <c r="E587" s="7" t="str">
        <f t="shared" si="26"/>
        <v/>
      </c>
      <c r="H587" s="7" t="str">
        <f>IF(B587&lt;&gt;"Silicone","",IFERROR(XLOOKUP(D587,#REF!,#REF!),""))</f>
        <v/>
      </c>
      <c r="J587" s="7" t="str">
        <f ca="1">IFERROR(XLOOKUP(D587,'Spec_Single_H&amp;S'!B:B,'Spec_Single_H&amp;S'!E:E),
IFERROR(XLOOKUP(D587,#REF!,#REF!),""))</f>
        <v/>
      </c>
      <c r="K587" s="7" t="str">
        <f ca="1">IFERROR(XLOOKUP(D587,'Spec_Single_H&amp;S'!B:B,'Spec_Single_H&amp;S'!F:F),
IFERROR(XLOOKUP(D587,#REF!,#REF!),""))</f>
        <v/>
      </c>
      <c r="L587" s="7" t="str">
        <f t="shared" ca="1" si="25"/>
        <v/>
      </c>
    </row>
    <row r="588" spans="5:12" x14ac:dyDescent="0.3">
      <c r="E588" s="7" t="str">
        <f t="shared" si="26"/>
        <v/>
      </c>
      <c r="H588" s="7" t="str">
        <f>IF(B588&lt;&gt;"Silicone","",IFERROR(XLOOKUP(D588,#REF!,#REF!),""))</f>
        <v/>
      </c>
      <c r="J588" s="7" t="str">
        <f ca="1">IFERROR(XLOOKUP(D588,'Spec_Single_H&amp;S'!B:B,'Spec_Single_H&amp;S'!E:E),
IFERROR(XLOOKUP(D588,#REF!,#REF!),""))</f>
        <v/>
      </c>
      <c r="K588" s="7" t="str">
        <f ca="1">IFERROR(XLOOKUP(D588,'Spec_Single_H&amp;S'!B:B,'Spec_Single_H&amp;S'!F:F),
IFERROR(XLOOKUP(D588,#REF!,#REF!),""))</f>
        <v/>
      </c>
      <c r="L588" s="7" t="str">
        <f t="shared" ca="1" si="25"/>
        <v/>
      </c>
    </row>
    <row r="589" spans="5:12" x14ac:dyDescent="0.3">
      <c r="E589" s="7" t="str">
        <f t="shared" si="26"/>
        <v/>
      </c>
      <c r="H589" s="7" t="str">
        <f>IF(B589&lt;&gt;"Silicone","",IFERROR(XLOOKUP(D589,#REF!,#REF!),""))</f>
        <v/>
      </c>
      <c r="J589" s="7" t="str">
        <f ca="1">IFERROR(XLOOKUP(D589,'Spec_Single_H&amp;S'!B:B,'Spec_Single_H&amp;S'!E:E),
IFERROR(XLOOKUP(D589,#REF!,#REF!),""))</f>
        <v/>
      </c>
      <c r="K589" s="7" t="str">
        <f ca="1">IFERROR(XLOOKUP(D589,'Spec_Single_H&amp;S'!B:B,'Spec_Single_H&amp;S'!F:F),
IFERROR(XLOOKUP(D589,#REF!,#REF!),""))</f>
        <v/>
      </c>
      <c r="L589" s="7" t="str">
        <f t="shared" ca="1" si="25"/>
        <v/>
      </c>
    </row>
    <row r="590" spans="5:12" x14ac:dyDescent="0.3">
      <c r="E590" s="7" t="str">
        <f t="shared" si="26"/>
        <v/>
      </c>
      <c r="H590" s="7" t="str">
        <f>IF(B590&lt;&gt;"Silicone","",IFERROR(XLOOKUP(D590,#REF!,#REF!),""))</f>
        <v/>
      </c>
      <c r="J590" s="7" t="str">
        <f ca="1">IFERROR(XLOOKUP(D590,'Spec_Single_H&amp;S'!B:B,'Spec_Single_H&amp;S'!E:E),
IFERROR(XLOOKUP(D590,#REF!,#REF!),""))</f>
        <v/>
      </c>
      <c r="K590" s="7" t="str">
        <f ca="1">IFERROR(XLOOKUP(D590,'Spec_Single_H&amp;S'!B:B,'Spec_Single_H&amp;S'!F:F),
IFERROR(XLOOKUP(D590,#REF!,#REF!),""))</f>
        <v/>
      </c>
      <c r="L590" s="7" t="str">
        <f t="shared" ca="1" si="25"/>
        <v/>
      </c>
    </row>
    <row r="591" spans="5:12" x14ac:dyDescent="0.3">
      <c r="E591" s="7" t="str">
        <f t="shared" si="26"/>
        <v/>
      </c>
      <c r="H591" s="7" t="str">
        <f>IF(B591&lt;&gt;"Silicone","",IFERROR(XLOOKUP(D591,#REF!,#REF!),""))</f>
        <v/>
      </c>
      <c r="J591" s="7" t="str">
        <f ca="1">IFERROR(XLOOKUP(D591,'Spec_Single_H&amp;S'!B:B,'Spec_Single_H&amp;S'!E:E),
IFERROR(XLOOKUP(D591,#REF!,#REF!),""))</f>
        <v/>
      </c>
      <c r="K591" s="7" t="str">
        <f ca="1">IFERROR(XLOOKUP(D591,'Spec_Single_H&amp;S'!B:B,'Spec_Single_H&amp;S'!F:F),
IFERROR(XLOOKUP(D591,#REF!,#REF!),""))</f>
        <v/>
      </c>
      <c r="L591" s="7" t="str">
        <f t="shared" ca="1" si="25"/>
        <v/>
      </c>
    </row>
    <row r="592" spans="5:12" x14ac:dyDescent="0.3">
      <c r="E592" s="7" t="str">
        <f t="shared" si="26"/>
        <v/>
      </c>
      <c r="H592" s="7" t="str">
        <f>IF(B592&lt;&gt;"Silicone","",IFERROR(XLOOKUP(D592,#REF!,#REF!),""))</f>
        <v/>
      </c>
      <c r="J592" s="7" t="str">
        <f ca="1">IFERROR(XLOOKUP(D592,'Spec_Single_H&amp;S'!B:B,'Spec_Single_H&amp;S'!E:E),
IFERROR(XLOOKUP(D592,#REF!,#REF!),""))</f>
        <v/>
      </c>
      <c r="K592" s="7" t="str">
        <f ca="1">IFERROR(XLOOKUP(D592,'Spec_Single_H&amp;S'!B:B,'Spec_Single_H&amp;S'!F:F),
IFERROR(XLOOKUP(D592,#REF!,#REF!),""))</f>
        <v/>
      </c>
      <c r="L592" s="7" t="str">
        <f t="shared" ca="1" si="25"/>
        <v/>
      </c>
    </row>
    <row r="593" spans="5:12" x14ac:dyDescent="0.3">
      <c r="E593" s="7" t="str">
        <f t="shared" si="26"/>
        <v/>
      </c>
      <c r="H593" s="7" t="str">
        <f>IF(B593&lt;&gt;"Silicone","",IFERROR(XLOOKUP(D593,#REF!,#REF!),""))</f>
        <v/>
      </c>
      <c r="J593" s="7" t="str">
        <f ca="1">IFERROR(XLOOKUP(D593,'Spec_Single_H&amp;S'!B:B,'Spec_Single_H&amp;S'!E:E),
IFERROR(XLOOKUP(D593,#REF!,#REF!),""))</f>
        <v/>
      </c>
      <c r="K593" s="7" t="str">
        <f ca="1">IFERROR(XLOOKUP(D593,'Spec_Single_H&amp;S'!B:B,'Spec_Single_H&amp;S'!F:F),
IFERROR(XLOOKUP(D593,#REF!,#REF!),""))</f>
        <v/>
      </c>
      <c r="L593" s="7" t="str">
        <f t="shared" ca="1" si="25"/>
        <v/>
      </c>
    </row>
    <row r="594" spans="5:12" x14ac:dyDescent="0.3">
      <c r="E594" s="7" t="str">
        <f t="shared" si="26"/>
        <v/>
      </c>
      <c r="H594" s="7" t="str">
        <f>IF(B594&lt;&gt;"Silicone","",IFERROR(XLOOKUP(D594,#REF!,#REF!),""))</f>
        <v/>
      </c>
      <c r="J594" s="7" t="str">
        <f ca="1">IFERROR(XLOOKUP(D594,'Spec_Single_H&amp;S'!B:B,'Spec_Single_H&amp;S'!E:E),
IFERROR(XLOOKUP(D594,#REF!,#REF!),""))</f>
        <v/>
      </c>
      <c r="K594" s="7" t="str">
        <f ca="1">IFERROR(XLOOKUP(D594,'Spec_Single_H&amp;S'!B:B,'Spec_Single_H&amp;S'!F:F),
IFERROR(XLOOKUP(D594,#REF!,#REF!),""))</f>
        <v/>
      </c>
      <c r="L594" s="7" t="str">
        <f t="shared" ca="1" si="25"/>
        <v/>
      </c>
    </row>
    <row r="595" spans="5:12" x14ac:dyDescent="0.3">
      <c r="E595" s="7" t="str">
        <f t="shared" si="26"/>
        <v/>
      </c>
      <c r="H595" s="7" t="str">
        <f>IF(B595&lt;&gt;"Silicone","",IFERROR(XLOOKUP(D595,#REF!,#REF!),""))</f>
        <v/>
      </c>
      <c r="J595" s="7" t="str">
        <f ca="1">IFERROR(XLOOKUP(D595,'Spec_Single_H&amp;S'!B:B,'Spec_Single_H&amp;S'!E:E),
IFERROR(XLOOKUP(D595,#REF!,#REF!),""))</f>
        <v/>
      </c>
      <c r="K595" s="7" t="str">
        <f ca="1">IFERROR(XLOOKUP(D595,'Spec_Single_H&amp;S'!B:B,'Spec_Single_H&amp;S'!F:F),
IFERROR(XLOOKUP(D595,#REF!,#REF!),""))</f>
        <v/>
      </c>
      <c r="L595" s="7" t="str">
        <f t="shared" ca="1" si="25"/>
        <v/>
      </c>
    </row>
    <row r="596" spans="5:12" x14ac:dyDescent="0.3">
      <c r="E596" s="7" t="str">
        <f t="shared" si="26"/>
        <v/>
      </c>
      <c r="H596" s="7" t="str">
        <f>IF(B596&lt;&gt;"Silicone","",IFERROR(XLOOKUP(D596,#REF!,#REF!),""))</f>
        <v/>
      </c>
      <c r="J596" s="7" t="str">
        <f ca="1">IFERROR(XLOOKUP(D596,'Spec_Single_H&amp;S'!B:B,'Spec_Single_H&amp;S'!E:E),
IFERROR(XLOOKUP(D596,#REF!,#REF!),""))</f>
        <v/>
      </c>
      <c r="K596" s="7" t="str">
        <f ca="1">IFERROR(XLOOKUP(D596,'Spec_Single_H&amp;S'!B:B,'Spec_Single_H&amp;S'!F:F),
IFERROR(XLOOKUP(D596,#REF!,#REF!),""))</f>
        <v/>
      </c>
      <c r="L596" s="7" t="str">
        <f t="shared" ca="1" si="25"/>
        <v/>
      </c>
    </row>
    <row r="597" spans="5:12" x14ac:dyDescent="0.3">
      <c r="E597" s="7" t="str">
        <f t="shared" si="26"/>
        <v/>
      </c>
      <c r="H597" s="7" t="str">
        <f>IF(B597&lt;&gt;"Silicone","",IFERROR(XLOOKUP(D597,#REF!,#REF!),""))</f>
        <v/>
      </c>
      <c r="J597" s="7" t="str">
        <f ca="1">IFERROR(XLOOKUP(D597,'Spec_Single_H&amp;S'!B:B,'Spec_Single_H&amp;S'!E:E),
IFERROR(XLOOKUP(D597,#REF!,#REF!),""))</f>
        <v/>
      </c>
      <c r="K597" s="7" t="str">
        <f ca="1">IFERROR(XLOOKUP(D597,'Spec_Single_H&amp;S'!B:B,'Spec_Single_H&amp;S'!F:F),
IFERROR(XLOOKUP(D597,#REF!,#REF!),""))</f>
        <v/>
      </c>
      <c r="L597" s="7" t="str">
        <f t="shared" ca="1" si="25"/>
        <v/>
      </c>
    </row>
    <row r="598" spans="5:12" x14ac:dyDescent="0.3">
      <c r="E598" s="7" t="str">
        <f t="shared" si="26"/>
        <v/>
      </c>
      <c r="H598" s="7" t="str">
        <f>IF(B598&lt;&gt;"Silicone","",IFERROR(XLOOKUP(D598,#REF!,#REF!),""))</f>
        <v/>
      </c>
      <c r="J598" s="7" t="str">
        <f ca="1">IFERROR(XLOOKUP(D598,'Spec_Single_H&amp;S'!B:B,'Spec_Single_H&amp;S'!E:E),
IFERROR(XLOOKUP(D598,#REF!,#REF!),""))</f>
        <v/>
      </c>
      <c r="K598" s="7" t="str">
        <f ca="1">IFERROR(XLOOKUP(D598,'Spec_Single_H&amp;S'!B:B,'Spec_Single_H&amp;S'!F:F),
IFERROR(XLOOKUP(D598,#REF!,#REF!),""))</f>
        <v/>
      </c>
      <c r="L598" s="7" t="str">
        <f t="shared" ca="1" si="25"/>
        <v/>
      </c>
    </row>
    <row r="599" spans="5:12" x14ac:dyDescent="0.3">
      <c r="E599" s="7" t="str">
        <f t="shared" si="26"/>
        <v/>
      </c>
      <c r="H599" s="7" t="str">
        <f>IF(B599&lt;&gt;"Silicone","",IFERROR(XLOOKUP(D599,#REF!,#REF!),""))</f>
        <v/>
      </c>
      <c r="J599" s="7" t="str">
        <f ca="1">IFERROR(XLOOKUP(D599,'Spec_Single_H&amp;S'!B:B,'Spec_Single_H&amp;S'!E:E),
IFERROR(XLOOKUP(D599,#REF!,#REF!),""))</f>
        <v/>
      </c>
      <c r="K599" s="7" t="str">
        <f ca="1">IFERROR(XLOOKUP(D599,'Spec_Single_H&amp;S'!B:B,'Spec_Single_H&amp;S'!F:F),
IFERROR(XLOOKUP(D599,#REF!,#REF!),""))</f>
        <v/>
      </c>
      <c r="L599" s="7" t="str">
        <f t="shared" ca="1" si="25"/>
        <v/>
      </c>
    </row>
    <row r="600" spans="5:12" x14ac:dyDescent="0.3">
      <c r="E600" s="7" t="str">
        <f t="shared" si="26"/>
        <v/>
      </c>
      <c r="H600" s="7" t="str">
        <f>IF(B600&lt;&gt;"Silicone","",IFERROR(XLOOKUP(D600,#REF!,#REF!),""))</f>
        <v/>
      </c>
      <c r="J600" s="7" t="str">
        <f ca="1">IFERROR(XLOOKUP(D600,'Spec_Single_H&amp;S'!B:B,'Spec_Single_H&amp;S'!E:E),
IFERROR(XLOOKUP(D600,#REF!,#REF!),""))</f>
        <v/>
      </c>
      <c r="K600" s="7" t="str">
        <f ca="1">IFERROR(XLOOKUP(D600,'Spec_Single_H&amp;S'!B:B,'Spec_Single_H&amp;S'!F:F),
IFERROR(XLOOKUP(D600,#REF!,#REF!),""))</f>
        <v/>
      </c>
      <c r="L600" s="7" t="str">
        <f t="shared" ca="1" si="25"/>
        <v/>
      </c>
    </row>
    <row r="601" spans="5:12" x14ac:dyDescent="0.3">
      <c r="E601" s="7" t="str">
        <f t="shared" si="26"/>
        <v/>
      </c>
      <c r="H601" s="7" t="str">
        <f>IF(B601&lt;&gt;"Silicone","",IFERROR(XLOOKUP(D601,#REF!,#REF!),""))</f>
        <v/>
      </c>
      <c r="J601" s="7" t="str">
        <f ca="1">IFERROR(XLOOKUP(D601,'Spec_Single_H&amp;S'!B:B,'Spec_Single_H&amp;S'!E:E),
IFERROR(XLOOKUP(D601,#REF!,#REF!),""))</f>
        <v/>
      </c>
      <c r="K601" s="7" t="str">
        <f ca="1">IFERROR(XLOOKUP(D601,'Spec_Single_H&amp;S'!B:B,'Spec_Single_H&amp;S'!F:F),
IFERROR(XLOOKUP(D601,#REF!,#REF!),""))</f>
        <v/>
      </c>
      <c r="L601" s="7" t="str">
        <f t="shared" ca="1" si="25"/>
        <v/>
      </c>
    </row>
    <row r="602" spans="5:12" x14ac:dyDescent="0.3">
      <c r="E602" s="7" t="str">
        <f t="shared" si="26"/>
        <v/>
      </c>
      <c r="H602" s="7" t="str">
        <f>IF(B602&lt;&gt;"Silicone","",IFERROR(XLOOKUP(D602,#REF!,#REF!),""))</f>
        <v/>
      </c>
      <c r="J602" s="7" t="str">
        <f ca="1">IFERROR(XLOOKUP(D602,'Spec_Single_H&amp;S'!B:B,'Spec_Single_H&amp;S'!E:E),
IFERROR(XLOOKUP(D602,#REF!,#REF!),""))</f>
        <v/>
      </c>
      <c r="K602" s="7" t="str">
        <f ca="1">IFERROR(XLOOKUP(D602,'Spec_Single_H&amp;S'!B:B,'Spec_Single_H&amp;S'!F:F),
IFERROR(XLOOKUP(D602,#REF!,#REF!),""))</f>
        <v/>
      </c>
      <c r="L602" s="7" t="str">
        <f t="shared" ca="1" si="25"/>
        <v/>
      </c>
    </row>
    <row r="603" spans="5:12" x14ac:dyDescent="0.3">
      <c r="E603" s="7" t="str">
        <f t="shared" si="26"/>
        <v/>
      </c>
      <c r="H603" s="7" t="str">
        <f>IF(B603&lt;&gt;"Silicone","",IFERROR(XLOOKUP(D603,#REF!,#REF!),""))</f>
        <v/>
      </c>
      <c r="J603" s="7" t="str">
        <f ca="1">IFERROR(XLOOKUP(D603,'Spec_Single_H&amp;S'!B:B,'Spec_Single_H&amp;S'!E:E),
IFERROR(XLOOKUP(D603,#REF!,#REF!),""))</f>
        <v/>
      </c>
      <c r="K603" s="7" t="str">
        <f ca="1">IFERROR(XLOOKUP(D603,'Spec_Single_H&amp;S'!B:B,'Spec_Single_H&amp;S'!F:F),
IFERROR(XLOOKUP(D603,#REF!,#REF!),""))</f>
        <v/>
      </c>
      <c r="L603" s="7" t="str">
        <f t="shared" ca="1" si="25"/>
        <v/>
      </c>
    </row>
    <row r="604" spans="5:12" x14ac:dyDescent="0.3">
      <c r="E604" s="7" t="str">
        <f t="shared" si="26"/>
        <v/>
      </c>
      <c r="H604" s="7" t="str">
        <f>IF(B604&lt;&gt;"Silicone","",IFERROR(XLOOKUP(D604,#REF!,#REF!),""))</f>
        <v/>
      </c>
      <c r="J604" s="7" t="str">
        <f ca="1">IFERROR(XLOOKUP(D604,'Spec_Single_H&amp;S'!B:B,'Spec_Single_H&amp;S'!E:E),
IFERROR(XLOOKUP(D604,#REF!,#REF!),""))</f>
        <v/>
      </c>
      <c r="K604" s="7" t="str">
        <f ca="1">IFERROR(XLOOKUP(D604,'Spec_Single_H&amp;S'!B:B,'Spec_Single_H&amp;S'!F:F),
IFERROR(XLOOKUP(D604,#REF!,#REF!),""))</f>
        <v/>
      </c>
      <c r="L604" s="7" t="str">
        <f t="shared" ca="1" si="25"/>
        <v/>
      </c>
    </row>
    <row r="605" spans="5:12" x14ac:dyDescent="0.3">
      <c r="E605" s="7" t="str">
        <f t="shared" si="26"/>
        <v/>
      </c>
      <c r="H605" s="7" t="str">
        <f>IF(B605&lt;&gt;"Silicone","",IFERROR(XLOOKUP(D605,#REF!,#REF!),""))</f>
        <v/>
      </c>
      <c r="J605" s="7" t="str">
        <f ca="1">IFERROR(XLOOKUP(D605,'Spec_Single_H&amp;S'!B:B,'Spec_Single_H&amp;S'!E:E),
IFERROR(XLOOKUP(D605,#REF!,#REF!),""))</f>
        <v/>
      </c>
      <c r="K605" s="7" t="str">
        <f ca="1">IFERROR(XLOOKUP(D605,'Spec_Single_H&amp;S'!B:B,'Spec_Single_H&amp;S'!F:F),
IFERROR(XLOOKUP(D605,#REF!,#REF!),""))</f>
        <v/>
      </c>
      <c r="L605" s="7" t="str">
        <f t="shared" ca="1" si="25"/>
        <v/>
      </c>
    </row>
    <row r="606" spans="5:12" x14ac:dyDescent="0.3">
      <c r="E606" s="7" t="str">
        <f t="shared" si="26"/>
        <v/>
      </c>
      <c r="H606" s="7" t="str">
        <f>IF(B606&lt;&gt;"Silicone","",IFERROR(XLOOKUP(D606,#REF!,#REF!),""))</f>
        <v/>
      </c>
      <c r="J606" s="7" t="str">
        <f ca="1">IFERROR(XLOOKUP(D606,'Spec_Single_H&amp;S'!B:B,'Spec_Single_H&amp;S'!E:E),
IFERROR(XLOOKUP(D606,#REF!,#REF!),""))</f>
        <v/>
      </c>
      <c r="K606" s="7" t="str">
        <f ca="1">IFERROR(XLOOKUP(D606,'Spec_Single_H&amp;S'!B:B,'Spec_Single_H&amp;S'!F:F),
IFERROR(XLOOKUP(D606,#REF!,#REF!),""))</f>
        <v/>
      </c>
      <c r="L606" s="7" t="str">
        <f t="shared" ca="1" si="25"/>
        <v/>
      </c>
    </row>
    <row r="607" spans="5:12" x14ac:dyDescent="0.3">
      <c r="E607" s="7" t="str">
        <f t="shared" si="26"/>
        <v/>
      </c>
      <c r="H607" s="7" t="str">
        <f>IF(B607&lt;&gt;"Silicone","",IFERROR(XLOOKUP(D607,#REF!,#REF!),""))</f>
        <v/>
      </c>
      <c r="J607" s="7" t="str">
        <f ca="1">IFERROR(XLOOKUP(D607,'Spec_Single_H&amp;S'!B:B,'Spec_Single_H&amp;S'!E:E),
IFERROR(XLOOKUP(D607,#REF!,#REF!),""))</f>
        <v/>
      </c>
      <c r="K607" s="7" t="str">
        <f ca="1">IFERROR(XLOOKUP(D607,'Spec_Single_H&amp;S'!B:B,'Spec_Single_H&amp;S'!F:F),
IFERROR(XLOOKUP(D607,#REF!,#REF!),""))</f>
        <v/>
      </c>
      <c r="L607" s="7" t="str">
        <f t="shared" ca="1" si="25"/>
        <v/>
      </c>
    </row>
    <row r="608" spans="5:12" x14ac:dyDescent="0.3">
      <c r="E608" s="7" t="str">
        <f t="shared" si="26"/>
        <v/>
      </c>
      <c r="H608" s="7" t="str">
        <f>IF(B608&lt;&gt;"Silicone","",IFERROR(XLOOKUP(D608,#REF!,#REF!),""))</f>
        <v/>
      </c>
      <c r="J608" s="7" t="str">
        <f ca="1">IFERROR(XLOOKUP(D608,'Spec_Single_H&amp;S'!B:B,'Spec_Single_H&amp;S'!E:E),
IFERROR(XLOOKUP(D608,#REF!,#REF!),""))</f>
        <v/>
      </c>
      <c r="K608" s="7" t="str">
        <f ca="1">IFERROR(XLOOKUP(D608,'Spec_Single_H&amp;S'!B:B,'Spec_Single_H&amp;S'!F:F),
IFERROR(XLOOKUP(D608,#REF!,#REF!),""))</f>
        <v/>
      </c>
      <c r="L608" s="7" t="str">
        <f t="shared" ca="1" si="25"/>
        <v/>
      </c>
    </row>
    <row r="609" spans="5:12" x14ac:dyDescent="0.3">
      <c r="E609" s="7" t="str">
        <f t="shared" si="26"/>
        <v/>
      </c>
      <c r="H609" s="7" t="str">
        <f>IF(B609&lt;&gt;"Silicone","",IFERROR(XLOOKUP(D609,#REF!,#REF!),""))</f>
        <v/>
      </c>
      <c r="J609" s="7" t="str">
        <f ca="1">IFERROR(XLOOKUP(D609,'Spec_Single_H&amp;S'!B:B,'Spec_Single_H&amp;S'!E:E),
IFERROR(XLOOKUP(D609,#REF!,#REF!),""))</f>
        <v/>
      </c>
      <c r="K609" s="7" t="str">
        <f ca="1">IFERROR(XLOOKUP(D609,'Spec_Single_H&amp;S'!B:B,'Spec_Single_H&amp;S'!F:F),
IFERROR(XLOOKUP(D609,#REF!,#REF!),""))</f>
        <v/>
      </c>
      <c r="L609" s="7" t="str">
        <f t="shared" ca="1" si="25"/>
        <v/>
      </c>
    </row>
    <row r="610" spans="5:12" x14ac:dyDescent="0.3">
      <c r="E610" s="7" t="str">
        <f t="shared" si="26"/>
        <v/>
      </c>
      <c r="H610" s="7" t="str">
        <f>IF(B610&lt;&gt;"Silicone","",IFERROR(XLOOKUP(D610,#REF!,#REF!),""))</f>
        <v/>
      </c>
      <c r="J610" s="7" t="str">
        <f ca="1">IFERROR(XLOOKUP(D610,'Spec_Single_H&amp;S'!B:B,'Spec_Single_H&amp;S'!E:E),
IFERROR(XLOOKUP(D610,#REF!,#REF!),""))</f>
        <v/>
      </c>
      <c r="K610" s="7" t="str">
        <f ca="1">IFERROR(XLOOKUP(D610,'Spec_Single_H&amp;S'!B:B,'Spec_Single_H&amp;S'!F:F),
IFERROR(XLOOKUP(D610,#REF!,#REF!),""))</f>
        <v/>
      </c>
      <c r="L610" s="7" t="str">
        <f t="shared" ca="1" si="25"/>
        <v/>
      </c>
    </row>
    <row r="611" spans="5:12" x14ac:dyDescent="0.3">
      <c r="E611" s="7" t="str">
        <f t="shared" si="26"/>
        <v/>
      </c>
      <c r="H611" s="7" t="str">
        <f>IF(B611&lt;&gt;"Silicone","",IFERROR(XLOOKUP(D611,#REF!,#REF!),""))</f>
        <v/>
      </c>
      <c r="J611" s="7" t="str">
        <f ca="1">IFERROR(XLOOKUP(D611,'Spec_Single_H&amp;S'!B:B,'Spec_Single_H&amp;S'!E:E),
IFERROR(XLOOKUP(D611,#REF!,#REF!),""))</f>
        <v/>
      </c>
      <c r="K611" s="7" t="str">
        <f ca="1">IFERROR(XLOOKUP(D611,'Spec_Single_H&amp;S'!B:B,'Spec_Single_H&amp;S'!F:F),
IFERROR(XLOOKUP(D611,#REF!,#REF!),""))</f>
        <v/>
      </c>
      <c r="L611" s="7" t="str">
        <f t="shared" ca="1" si="25"/>
        <v/>
      </c>
    </row>
    <row r="612" spans="5:12" x14ac:dyDescent="0.3">
      <c r="E612" s="7" t="str">
        <f t="shared" si="26"/>
        <v/>
      </c>
      <c r="H612" s="7" t="str">
        <f>IF(B612&lt;&gt;"Silicone","",IFERROR(XLOOKUP(D612,#REF!,#REF!),""))</f>
        <v/>
      </c>
      <c r="J612" s="7" t="str">
        <f ca="1">IFERROR(XLOOKUP(D612,'Spec_Single_H&amp;S'!B:B,'Spec_Single_H&amp;S'!E:E),
IFERROR(XLOOKUP(D612,#REF!,#REF!),""))</f>
        <v/>
      </c>
      <c r="K612" s="7" t="str">
        <f ca="1">IFERROR(XLOOKUP(D612,'Spec_Single_H&amp;S'!B:B,'Spec_Single_H&amp;S'!F:F),
IFERROR(XLOOKUP(D612,#REF!,#REF!),""))</f>
        <v/>
      </c>
      <c r="L612" s="7" t="str">
        <f t="shared" ca="1" si="25"/>
        <v/>
      </c>
    </row>
    <row r="613" spans="5:12" x14ac:dyDescent="0.3">
      <c r="E613" s="7" t="str">
        <f t="shared" si="26"/>
        <v/>
      </c>
      <c r="H613" s="7" t="str">
        <f>IF(B613&lt;&gt;"Silicone","",IFERROR(XLOOKUP(D613,#REF!,#REF!),""))</f>
        <v/>
      </c>
      <c r="J613" s="7" t="str">
        <f ca="1">IFERROR(XLOOKUP(D613,'Spec_Single_H&amp;S'!B:B,'Spec_Single_H&amp;S'!E:E),
IFERROR(XLOOKUP(D613,#REF!,#REF!),""))</f>
        <v/>
      </c>
      <c r="K613" s="7" t="str">
        <f ca="1">IFERROR(XLOOKUP(D613,'Spec_Single_H&amp;S'!B:B,'Spec_Single_H&amp;S'!F:F),
IFERROR(XLOOKUP(D613,#REF!,#REF!),""))</f>
        <v/>
      </c>
      <c r="L613" s="7" t="str">
        <f t="shared" ca="1" si="25"/>
        <v/>
      </c>
    </row>
    <row r="614" spans="5:12" x14ac:dyDescent="0.3">
      <c r="E614" s="7" t="str">
        <f t="shared" si="26"/>
        <v/>
      </c>
      <c r="H614" s="7" t="str">
        <f>IF(B614&lt;&gt;"Silicone","",IFERROR(XLOOKUP(D614,#REF!,#REF!),""))</f>
        <v/>
      </c>
      <c r="J614" s="7" t="str">
        <f ca="1">IFERROR(XLOOKUP(D614,'Spec_Single_H&amp;S'!B:B,'Spec_Single_H&amp;S'!E:E),
IFERROR(XLOOKUP(D614,#REF!,#REF!),""))</f>
        <v/>
      </c>
      <c r="K614" s="7" t="str">
        <f ca="1">IFERROR(XLOOKUP(D614,'Spec_Single_H&amp;S'!B:B,'Spec_Single_H&amp;S'!F:F),
IFERROR(XLOOKUP(D614,#REF!,#REF!),""))</f>
        <v/>
      </c>
      <c r="L614" s="7" t="str">
        <f t="shared" ca="1" si="25"/>
        <v/>
      </c>
    </row>
    <row r="615" spans="5:12" x14ac:dyDescent="0.3">
      <c r="E615" s="7" t="str">
        <f t="shared" si="26"/>
        <v/>
      </c>
      <c r="H615" s="7" t="str">
        <f>IF(B615&lt;&gt;"Silicone","",IFERROR(XLOOKUP(D615,#REF!,#REF!),""))</f>
        <v/>
      </c>
      <c r="J615" s="7" t="str">
        <f ca="1">IFERROR(XLOOKUP(D615,'Spec_Single_H&amp;S'!B:B,'Spec_Single_H&amp;S'!E:E),
IFERROR(XLOOKUP(D615,#REF!,#REF!),""))</f>
        <v/>
      </c>
      <c r="K615" s="7" t="str">
        <f ca="1">IFERROR(XLOOKUP(D615,'Spec_Single_H&amp;S'!B:B,'Spec_Single_H&amp;S'!F:F),
IFERROR(XLOOKUP(D615,#REF!,#REF!),""))</f>
        <v/>
      </c>
      <c r="L615" s="7" t="str">
        <f t="shared" ca="1" si="25"/>
        <v/>
      </c>
    </row>
    <row r="616" spans="5:12" x14ac:dyDescent="0.3">
      <c r="E616" s="7" t="str">
        <f t="shared" si="26"/>
        <v/>
      </c>
      <c r="H616" s="7" t="str">
        <f>IF(B616&lt;&gt;"Silicone","",IFERROR(XLOOKUP(D616,#REF!,#REF!),""))</f>
        <v/>
      </c>
      <c r="J616" s="7" t="str">
        <f ca="1">IFERROR(XLOOKUP(D616,'Spec_Single_H&amp;S'!B:B,'Spec_Single_H&amp;S'!E:E),
IFERROR(XLOOKUP(D616,#REF!,#REF!),""))</f>
        <v/>
      </c>
      <c r="K616" s="7" t="str">
        <f ca="1">IFERROR(XLOOKUP(D616,'Spec_Single_H&amp;S'!B:B,'Spec_Single_H&amp;S'!F:F),
IFERROR(XLOOKUP(D616,#REF!,#REF!),""))</f>
        <v/>
      </c>
      <c r="L616" s="7" t="str">
        <f t="shared" ca="1" si="25"/>
        <v/>
      </c>
    </row>
    <row r="617" spans="5:12" x14ac:dyDescent="0.3">
      <c r="E617" s="7" t="str">
        <f t="shared" si="26"/>
        <v/>
      </c>
      <c r="H617" s="7" t="str">
        <f>IF(B617&lt;&gt;"Silicone","",IFERROR(XLOOKUP(D617,#REF!,#REF!),""))</f>
        <v/>
      </c>
      <c r="J617" s="7" t="str">
        <f ca="1">IFERROR(XLOOKUP(D617,'Spec_Single_H&amp;S'!B:B,'Spec_Single_H&amp;S'!E:E),
IFERROR(XLOOKUP(D617,#REF!,#REF!),""))</f>
        <v/>
      </c>
      <c r="K617" s="7" t="str">
        <f ca="1">IFERROR(XLOOKUP(D617,'Spec_Single_H&amp;S'!B:B,'Spec_Single_H&amp;S'!F:F),
IFERROR(XLOOKUP(D617,#REF!,#REF!),""))</f>
        <v/>
      </c>
      <c r="L617" s="7" t="str">
        <f t="shared" ca="1" si="25"/>
        <v/>
      </c>
    </row>
    <row r="618" spans="5:12" x14ac:dyDescent="0.3">
      <c r="E618" s="7" t="str">
        <f t="shared" si="26"/>
        <v/>
      </c>
      <c r="H618" s="7" t="str">
        <f>IF(B618&lt;&gt;"Silicone","",IFERROR(XLOOKUP(D618,#REF!,#REF!),""))</f>
        <v/>
      </c>
      <c r="J618" s="7" t="str">
        <f ca="1">IFERROR(XLOOKUP(D618,'Spec_Single_H&amp;S'!B:B,'Spec_Single_H&amp;S'!E:E),
IFERROR(XLOOKUP(D618,#REF!,#REF!),""))</f>
        <v/>
      </c>
      <c r="K618" s="7" t="str">
        <f ca="1">IFERROR(XLOOKUP(D618,'Spec_Single_H&amp;S'!B:B,'Spec_Single_H&amp;S'!F:F),
IFERROR(XLOOKUP(D618,#REF!,#REF!),""))</f>
        <v/>
      </c>
      <c r="L618" s="7" t="str">
        <f t="shared" ca="1" si="25"/>
        <v/>
      </c>
    </row>
    <row r="619" spans="5:12" x14ac:dyDescent="0.3">
      <c r="E619" s="7" t="str">
        <f t="shared" si="26"/>
        <v/>
      </c>
      <c r="H619" s="7" t="str">
        <f>IF(B619&lt;&gt;"Silicone","",IFERROR(XLOOKUP(D619,#REF!,#REF!),""))</f>
        <v/>
      </c>
      <c r="J619" s="7" t="str">
        <f ca="1">IFERROR(XLOOKUP(D619,'Spec_Single_H&amp;S'!B:B,'Spec_Single_H&amp;S'!E:E),
IFERROR(XLOOKUP(D619,#REF!,#REF!),""))</f>
        <v/>
      </c>
      <c r="K619" s="7" t="str">
        <f ca="1">IFERROR(XLOOKUP(D619,'Spec_Single_H&amp;S'!B:B,'Spec_Single_H&amp;S'!F:F),
IFERROR(XLOOKUP(D619,#REF!,#REF!),""))</f>
        <v/>
      </c>
      <c r="L619" s="7" t="str">
        <f t="shared" ca="1" si="25"/>
        <v/>
      </c>
    </row>
    <row r="620" spans="5:12" x14ac:dyDescent="0.3">
      <c r="E620" s="7" t="str">
        <f t="shared" si="26"/>
        <v/>
      </c>
      <c r="H620" s="7" t="str">
        <f>IF(B620&lt;&gt;"Silicone","",IFERROR(XLOOKUP(D620,#REF!,#REF!),""))</f>
        <v/>
      </c>
      <c r="J620" s="7" t="str">
        <f ca="1">IFERROR(XLOOKUP(D620,'Spec_Single_H&amp;S'!B:B,'Spec_Single_H&amp;S'!E:E),
IFERROR(XLOOKUP(D620,#REF!,#REF!),""))</f>
        <v/>
      </c>
      <c r="K620" s="7" t="str">
        <f ca="1">IFERROR(XLOOKUP(D620,'Spec_Single_H&amp;S'!B:B,'Spec_Single_H&amp;S'!F:F),
IFERROR(XLOOKUP(D620,#REF!,#REF!),""))</f>
        <v/>
      </c>
      <c r="L620" s="7" t="str">
        <f t="shared" ca="1" si="25"/>
        <v/>
      </c>
    </row>
    <row r="621" spans="5:12" x14ac:dyDescent="0.3">
      <c r="E621" s="7" t="str">
        <f t="shared" si="26"/>
        <v/>
      </c>
      <c r="H621" s="7" t="str">
        <f>IF(B621&lt;&gt;"Silicone","",IFERROR(XLOOKUP(D621,#REF!,#REF!),""))</f>
        <v/>
      </c>
      <c r="J621" s="7" t="str">
        <f ca="1">IFERROR(XLOOKUP(D621,'Spec_Single_H&amp;S'!B:B,'Spec_Single_H&amp;S'!E:E),
IFERROR(XLOOKUP(D621,#REF!,#REF!),""))</f>
        <v/>
      </c>
      <c r="K621" s="7" t="str">
        <f ca="1">IFERROR(XLOOKUP(D621,'Spec_Single_H&amp;S'!B:B,'Spec_Single_H&amp;S'!F:F),
IFERROR(XLOOKUP(D621,#REF!,#REF!),""))</f>
        <v/>
      </c>
      <c r="L621" s="7" t="str">
        <f t="shared" ca="1" si="25"/>
        <v/>
      </c>
    </row>
    <row r="622" spans="5:12" x14ac:dyDescent="0.3">
      <c r="E622" s="7" t="str">
        <f t="shared" si="26"/>
        <v/>
      </c>
      <c r="H622" s="7" t="str">
        <f>IF(B622&lt;&gt;"Silicone","",IFERROR(XLOOKUP(D622,#REF!,#REF!),""))</f>
        <v/>
      </c>
      <c r="J622" s="7" t="str">
        <f ca="1">IFERROR(XLOOKUP(D622,'Spec_Single_H&amp;S'!B:B,'Spec_Single_H&amp;S'!E:E),
IFERROR(XLOOKUP(D622,#REF!,#REF!),""))</f>
        <v/>
      </c>
      <c r="K622" s="7" t="str">
        <f ca="1">IFERROR(XLOOKUP(D622,'Spec_Single_H&amp;S'!B:B,'Spec_Single_H&amp;S'!F:F),
IFERROR(XLOOKUP(D622,#REF!,#REF!),""))</f>
        <v/>
      </c>
      <c r="L622" s="7" t="str">
        <f t="shared" ca="1" si="25"/>
        <v/>
      </c>
    </row>
    <row r="623" spans="5:12" x14ac:dyDescent="0.3">
      <c r="E623" s="7" t="str">
        <f t="shared" si="26"/>
        <v/>
      </c>
      <c r="H623" s="7" t="str">
        <f>IF(B623&lt;&gt;"Silicone","",IFERROR(XLOOKUP(D623,#REF!,#REF!),""))</f>
        <v/>
      </c>
      <c r="J623" s="7" t="str">
        <f ca="1">IFERROR(XLOOKUP(D623,'Spec_Single_H&amp;S'!B:B,'Spec_Single_H&amp;S'!E:E),
IFERROR(XLOOKUP(D623,#REF!,#REF!),""))</f>
        <v/>
      </c>
      <c r="K623" s="7" t="str">
        <f ca="1">IFERROR(XLOOKUP(D623,'Spec_Single_H&amp;S'!B:B,'Spec_Single_H&amp;S'!F:F),
IFERROR(XLOOKUP(D623,#REF!,#REF!),""))</f>
        <v/>
      </c>
      <c r="L623" s="7" t="str">
        <f t="shared" ca="1" si="25"/>
        <v/>
      </c>
    </row>
    <row r="624" spans="5:12" x14ac:dyDescent="0.3">
      <c r="E624" s="7" t="str">
        <f t="shared" si="26"/>
        <v/>
      </c>
      <c r="H624" s="7" t="str">
        <f>IF(B624&lt;&gt;"Silicone","",IFERROR(XLOOKUP(D624,#REF!,#REF!),""))</f>
        <v/>
      </c>
      <c r="J624" s="7" t="str">
        <f ca="1">IFERROR(XLOOKUP(D624,'Spec_Single_H&amp;S'!B:B,'Spec_Single_H&amp;S'!E:E),
IFERROR(XLOOKUP(D624,#REF!,#REF!),""))</f>
        <v/>
      </c>
      <c r="K624" s="7" t="str">
        <f ca="1">IFERROR(XLOOKUP(D624,'Spec_Single_H&amp;S'!B:B,'Spec_Single_H&amp;S'!F:F),
IFERROR(XLOOKUP(D624,#REF!,#REF!),""))</f>
        <v/>
      </c>
      <c r="L624" s="7" t="str">
        <f t="shared" ca="1" si="25"/>
        <v/>
      </c>
    </row>
    <row r="625" spans="5:12" x14ac:dyDescent="0.3">
      <c r="E625" s="7" t="str">
        <f t="shared" si="26"/>
        <v/>
      </c>
      <c r="H625" s="7" t="str">
        <f>IF(B625&lt;&gt;"Silicone","",IFERROR(XLOOKUP(D625,#REF!,#REF!),""))</f>
        <v/>
      </c>
      <c r="J625" s="7" t="str">
        <f ca="1">IFERROR(XLOOKUP(D625,'Spec_Single_H&amp;S'!B:B,'Spec_Single_H&amp;S'!E:E),
IFERROR(XLOOKUP(D625,#REF!,#REF!),""))</f>
        <v/>
      </c>
      <c r="K625" s="7" t="str">
        <f ca="1">IFERROR(XLOOKUP(D625,'Spec_Single_H&amp;S'!B:B,'Spec_Single_H&amp;S'!F:F),
IFERROR(XLOOKUP(D625,#REF!,#REF!),""))</f>
        <v/>
      </c>
      <c r="L625" s="7" t="str">
        <f t="shared" ca="1" si="25"/>
        <v/>
      </c>
    </row>
    <row r="626" spans="5:12" x14ac:dyDescent="0.3">
      <c r="E626" s="7" t="str">
        <f t="shared" si="26"/>
        <v/>
      </c>
      <c r="H626" s="7" t="str">
        <f>IF(B626&lt;&gt;"Silicone","",IFERROR(XLOOKUP(D626,#REF!,#REF!),""))</f>
        <v/>
      </c>
      <c r="J626" s="7" t="str">
        <f ca="1">IFERROR(XLOOKUP(D626,'Spec_Single_H&amp;S'!B:B,'Spec_Single_H&amp;S'!E:E),
IFERROR(XLOOKUP(D626,#REF!,#REF!),""))</f>
        <v/>
      </c>
      <c r="K626" s="7" t="str">
        <f ca="1">IFERROR(XLOOKUP(D626,'Spec_Single_H&amp;S'!B:B,'Spec_Single_H&amp;S'!F:F),
IFERROR(XLOOKUP(D626,#REF!,#REF!),""))</f>
        <v/>
      </c>
      <c r="L626" s="7" t="str">
        <f t="shared" ca="1" si="25"/>
        <v/>
      </c>
    </row>
    <row r="627" spans="5:12" x14ac:dyDescent="0.3">
      <c r="E627" s="7" t="str">
        <f t="shared" si="26"/>
        <v/>
      </c>
      <c r="H627" s="7" t="str">
        <f>IF(B627&lt;&gt;"Silicone","",IFERROR(XLOOKUP(D627,#REF!,#REF!),""))</f>
        <v/>
      </c>
      <c r="J627" s="7" t="str">
        <f ca="1">IFERROR(XLOOKUP(D627,'Spec_Single_H&amp;S'!B:B,'Spec_Single_H&amp;S'!E:E),
IFERROR(XLOOKUP(D627,#REF!,#REF!),""))</f>
        <v/>
      </c>
      <c r="K627" s="7" t="str">
        <f ca="1">IFERROR(XLOOKUP(D627,'Spec_Single_H&amp;S'!B:B,'Spec_Single_H&amp;S'!F:F),
IFERROR(XLOOKUP(D627,#REF!,#REF!),""))</f>
        <v/>
      </c>
      <c r="L627" s="7" t="str">
        <f t="shared" ca="1" si="25"/>
        <v/>
      </c>
    </row>
    <row r="628" spans="5:12" x14ac:dyDescent="0.3">
      <c r="E628" s="7" t="str">
        <f t="shared" si="26"/>
        <v/>
      </c>
      <c r="H628" s="7" t="str">
        <f>IF(B628&lt;&gt;"Silicone","",IFERROR(XLOOKUP(D628,#REF!,#REF!),""))</f>
        <v/>
      </c>
      <c r="J628" s="7" t="str">
        <f ca="1">IFERROR(XLOOKUP(D628,'Spec_Single_H&amp;S'!B:B,'Spec_Single_H&amp;S'!E:E),
IFERROR(XLOOKUP(D628,#REF!,#REF!),""))</f>
        <v/>
      </c>
      <c r="K628" s="7" t="str">
        <f ca="1">IFERROR(XLOOKUP(D628,'Spec_Single_H&amp;S'!B:B,'Spec_Single_H&amp;S'!F:F),
IFERROR(XLOOKUP(D628,#REF!,#REF!),""))</f>
        <v/>
      </c>
      <c r="L628" s="7" t="str">
        <f t="shared" ca="1" si="25"/>
        <v/>
      </c>
    </row>
    <row r="629" spans="5:12" x14ac:dyDescent="0.3">
      <c r="E629" s="7" t="str">
        <f t="shared" si="26"/>
        <v/>
      </c>
      <c r="H629" s="7" t="str">
        <f>IF(B629&lt;&gt;"Silicone","",IFERROR(XLOOKUP(D629,#REF!,#REF!),""))</f>
        <v/>
      </c>
      <c r="J629" s="7" t="str">
        <f ca="1">IFERROR(XLOOKUP(D629,'Spec_Single_H&amp;S'!B:B,'Spec_Single_H&amp;S'!E:E),
IFERROR(XLOOKUP(D629,#REF!,#REF!),""))</f>
        <v/>
      </c>
      <c r="K629" s="7" t="str">
        <f ca="1">IFERROR(XLOOKUP(D629,'Spec_Single_H&amp;S'!B:B,'Spec_Single_H&amp;S'!F:F),
IFERROR(XLOOKUP(D629,#REF!,#REF!),""))</f>
        <v/>
      </c>
      <c r="L629" s="7" t="str">
        <f t="shared" ca="1" si="25"/>
        <v/>
      </c>
    </row>
    <row r="630" spans="5:12" x14ac:dyDescent="0.3">
      <c r="E630" s="7" t="str">
        <f t="shared" si="26"/>
        <v/>
      </c>
      <c r="H630" s="7" t="str">
        <f>IF(B630&lt;&gt;"Silicone","",IFERROR(XLOOKUP(D630,#REF!,#REF!),""))</f>
        <v/>
      </c>
      <c r="J630" s="7" t="str">
        <f ca="1">IFERROR(XLOOKUP(D630,'Spec_Single_H&amp;S'!B:B,'Spec_Single_H&amp;S'!E:E),
IFERROR(XLOOKUP(D630,#REF!,#REF!),""))</f>
        <v/>
      </c>
      <c r="K630" s="7" t="str">
        <f ca="1">IFERROR(XLOOKUP(D630,'Spec_Single_H&amp;S'!B:B,'Spec_Single_H&amp;S'!F:F),
IFERROR(XLOOKUP(D630,#REF!,#REF!),""))</f>
        <v/>
      </c>
      <c r="L630" s="7" t="str">
        <f t="shared" ca="1" si="25"/>
        <v/>
      </c>
    </row>
    <row r="631" spans="5:12" x14ac:dyDescent="0.3">
      <c r="E631" s="7" t="str">
        <f t="shared" si="26"/>
        <v/>
      </c>
      <c r="H631" s="7" t="str">
        <f>IF(B631&lt;&gt;"Silicone","",IFERROR(XLOOKUP(D631,#REF!,#REF!),""))</f>
        <v/>
      </c>
      <c r="J631" s="7" t="str">
        <f ca="1">IFERROR(XLOOKUP(D631,'Spec_Single_H&amp;S'!B:B,'Spec_Single_H&amp;S'!E:E),
IFERROR(XLOOKUP(D631,#REF!,#REF!),""))</f>
        <v/>
      </c>
      <c r="K631" s="7" t="str">
        <f ca="1">IFERROR(XLOOKUP(D631,'Spec_Single_H&amp;S'!B:B,'Spec_Single_H&amp;S'!F:F),
IFERROR(XLOOKUP(D631,#REF!,#REF!),""))</f>
        <v/>
      </c>
      <c r="L631" s="7" t="str">
        <f t="shared" ca="1" si="25"/>
        <v/>
      </c>
    </row>
    <row r="632" spans="5:12" x14ac:dyDescent="0.3">
      <c r="E632" s="7" t="str">
        <f t="shared" si="26"/>
        <v/>
      </c>
      <c r="H632" s="7" t="str">
        <f>IF(B632&lt;&gt;"Silicone","",IFERROR(XLOOKUP(D632,#REF!,#REF!),""))</f>
        <v/>
      </c>
      <c r="J632" s="7" t="str">
        <f ca="1">IFERROR(XLOOKUP(D632,'Spec_Single_H&amp;S'!B:B,'Spec_Single_H&amp;S'!E:E),
IFERROR(XLOOKUP(D632,#REF!,#REF!),""))</f>
        <v/>
      </c>
      <c r="K632" s="7" t="str">
        <f ca="1">IFERROR(XLOOKUP(D632,'Spec_Single_H&amp;S'!B:B,'Spec_Single_H&amp;S'!F:F),
IFERROR(XLOOKUP(D632,#REF!,#REF!),""))</f>
        <v/>
      </c>
      <c r="L632" s="7" t="str">
        <f t="shared" ca="1" si="25"/>
        <v/>
      </c>
    </row>
    <row r="633" spans="5:12" x14ac:dyDescent="0.3">
      <c r="E633" s="7" t="str">
        <f t="shared" si="26"/>
        <v/>
      </c>
      <c r="H633" s="7" t="str">
        <f>IF(B633&lt;&gt;"Silicone","",IFERROR(XLOOKUP(D633,#REF!,#REF!),""))</f>
        <v/>
      </c>
      <c r="J633" s="7" t="str">
        <f ca="1">IFERROR(XLOOKUP(D633,'Spec_Single_H&amp;S'!B:B,'Spec_Single_H&amp;S'!E:E),
IFERROR(XLOOKUP(D633,#REF!,#REF!),""))</f>
        <v/>
      </c>
      <c r="K633" s="7" t="str">
        <f ca="1">IFERROR(XLOOKUP(D633,'Spec_Single_H&amp;S'!B:B,'Spec_Single_H&amp;S'!F:F),
IFERROR(XLOOKUP(D633,#REF!,#REF!),""))</f>
        <v/>
      </c>
      <c r="L633" s="7" t="str">
        <f t="shared" ca="1" si="25"/>
        <v/>
      </c>
    </row>
    <row r="634" spans="5:12" x14ac:dyDescent="0.3">
      <c r="E634" s="7" t="str">
        <f t="shared" si="26"/>
        <v/>
      </c>
      <c r="H634" s="7" t="str">
        <f>IF(B634&lt;&gt;"Silicone","",IFERROR(XLOOKUP(D634,#REF!,#REF!),""))</f>
        <v/>
      </c>
      <c r="J634" s="7" t="str">
        <f ca="1">IFERROR(XLOOKUP(D634,'Spec_Single_H&amp;S'!B:B,'Spec_Single_H&amp;S'!E:E),
IFERROR(XLOOKUP(D634,#REF!,#REF!),""))</f>
        <v/>
      </c>
      <c r="K634" s="7" t="str">
        <f ca="1">IFERROR(XLOOKUP(D634,'Spec_Single_H&amp;S'!B:B,'Spec_Single_H&amp;S'!F:F),
IFERROR(XLOOKUP(D634,#REF!,#REF!),""))</f>
        <v/>
      </c>
      <c r="L634" s="7" t="str">
        <f t="shared" ca="1" si="25"/>
        <v/>
      </c>
    </row>
    <row r="635" spans="5:12" x14ac:dyDescent="0.3">
      <c r="E635" s="7" t="str">
        <f t="shared" si="26"/>
        <v/>
      </c>
      <c r="H635" s="7" t="str">
        <f>IF(B635&lt;&gt;"Silicone","",IFERROR(XLOOKUP(D635,#REF!,#REF!),""))</f>
        <v/>
      </c>
      <c r="J635" s="7" t="str">
        <f ca="1">IFERROR(XLOOKUP(D635,'Spec_Single_H&amp;S'!B:B,'Spec_Single_H&amp;S'!E:E),
IFERROR(XLOOKUP(D635,#REF!,#REF!),""))</f>
        <v/>
      </c>
      <c r="K635" s="7" t="str">
        <f ca="1">IFERROR(XLOOKUP(D635,'Spec_Single_H&amp;S'!B:B,'Spec_Single_H&amp;S'!F:F),
IFERROR(XLOOKUP(D635,#REF!,#REF!),""))</f>
        <v/>
      </c>
      <c r="L635" s="7" t="str">
        <f t="shared" ca="1" si="25"/>
        <v/>
      </c>
    </row>
    <row r="636" spans="5:12" x14ac:dyDescent="0.3">
      <c r="E636" s="7" t="str">
        <f t="shared" si="26"/>
        <v/>
      </c>
      <c r="H636" s="7" t="str">
        <f>IF(B636&lt;&gt;"Silicone","",IFERROR(XLOOKUP(D636,#REF!,#REF!),""))</f>
        <v/>
      </c>
      <c r="J636" s="7" t="str">
        <f ca="1">IFERROR(XLOOKUP(D636,'Spec_Single_H&amp;S'!B:B,'Spec_Single_H&amp;S'!E:E),
IFERROR(XLOOKUP(D636,#REF!,#REF!),""))</f>
        <v/>
      </c>
      <c r="K636" s="7" t="str">
        <f ca="1">IFERROR(XLOOKUP(D636,'Spec_Single_H&amp;S'!B:B,'Spec_Single_H&amp;S'!F:F),
IFERROR(XLOOKUP(D636,#REF!,#REF!),""))</f>
        <v/>
      </c>
      <c r="L636" s="7" t="str">
        <f t="shared" ca="1" si="25"/>
        <v/>
      </c>
    </row>
    <row r="637" spans="5:12" x14ac:dyDescent="0.3">
      <c r="E637" s="7" t="str">
        <f t="shared" si="26"/>
        <v/>
      </c>
      <c r="H637" s="7" t="str">
        <f>IF(B637&lt;&gt;"Silicone","",IFERROR(XLOOKUP(D637,#REF!,#REF!),""))</f>
        <v/>
      </c>
      <c r="J637" s="7" t="str">
        <f ca="1">IFERROR(XLOOKUP(D637,'Spec_Single_H&amp;S'!B:B,'Spec_Single_H&amp;S'!E:E),
IFERROR(XLOOKUP(D637,#REF!,#REF!),""))</f>
        <v/>
      </c>
      <c r="K637" s="7" t="str">
        <f ca="1">IFERROR(XLOOKUP(D637,'Spec_Single_H&amp;S'!B:B,'Spec_Single_H&amp;S'!F:F),
IFERROR(XLOOKUP(D637,#REF!,#REF!),""))</f>
        <v/>
      </c>
      <c r="L637" s="7" t="str">
        <f t="shared" ca="1" si="25"/>
        <v/>
      </c>
    </row>
    <row r="638" spans="5:12" x14ac:dyDescent="0.3">
      <c r="E638" s="7" t="str">
        <f t="shared" si="26"/>
        <v/>
      </c>
      <c r="H638" s="7" t="str">
        <f>IF(B638&lt;&gt;"Silicone","",IFERROR(XLOOKUP(D638,#REF!,#REF!),""))</f>
        <v/>
      </c>
      <c r="J638" s="7" t="str">
        <f ca="1">IFERROR(XLOOKUP(D638,'Spec_Single_H&amp;S'!B:B,'Spec_Single_H&amp;S'!E:E),
IFERROR(XLOOKUP(D638,#REF!,#REF!),""))</f>
        <v/>
      </c>
      <c r="K638" s="7" t="str">
        <f ca="1">IFERROR(XLOOKUP(D638,'Spec_Single_H&amp;S'!B:B,'Spec_Single_H&amp;S'!F:F),
IFERROR(XLOOKUP(D638,#REF!,#REF!),""))</f>
        <v/>
      </c>
      <c r="L638" s="7" t="str">
        <f t="shared" ca="1" si="25"/>
        <v/>
      </c>
    </row>
    <row r="639" spans="5:12" x14ac:dyDescent="0.3">
      <c r="E639" s="7" t="str">
        <f t="shared" si="26"/>
        <v/>
      </c>
      <c r="H639" s="7" t="str">
        <f>IF(B639&lt;&gt;"Silicone","",IFERROR(XLOOKUP(D639,#REF!,#REF!),""))</f>
        <v/>
      </c>
      <c r="J639" s="7" t="str">
        <f ca="1">IFERROR(XLOOKUP(D639,'Spec_Single_H&amp;S'!B:B,'Spec_Single_H&amp;S'!E:E),
IFERROR(XLOOKUP(D639,#REF!,#REF!),""))</f>
        <v/>
      </c>
      <c r="K639" s="7" t="str">
        <f ca="1">IFERROR(XLOOKUP(D639,'Spec_Single_H&amp;S'!B:B,'Spec_Single_H&amp;S'!F:F),
IFERROR(XLOOKUP(D639,#REF!,#REF!),""))</f>
        <v/>
      </c>
      <c r="L639" s="7" t="str">
        <f t="shared" ca="1" si="25"/>
        <v/>
      </c>
    </row>
    <row r="640" spans="5:12" x14ac:dyDescent="0.3">
      <c r="E640" s="7" t="str">
        <f t="shared" si="26"/>
        <v/>
      </c>
      <c r="H640" s="7" t="str">
        <f>IF(B640&lt;&gt;"Silicone","",IFERROR(XLOOKUP(D640,#REF!,#REF!),""))</f>
        <v/>
      </c>
      <c r="J640" s="7" t="str">
        <f ca="1">IFERROR(XLOOKUP(D640,'Spec_Single_H&amp;S'!B:B,'Spec_Single_H&amp;S'!E:E),
IFERROR(XLOOKUP(D640,#REF!,#REF!),""))</f>
        <v/>
      </c>
      <c r="K640" s="7" t="str">
        <f ca="1">IFERROR(XLOOKUP(D640,'Spec_Single_H&amp;S'!B:B,'Spec_Single_H&amp;S'!F:F),
IFERROR(XLOOKUP(D640,#REF!,#REF!),""))</f>
        <v/>
      </c>
      <c r="L640" s="7" t="str">
        <f t="shared" ca="1" si="25"/>
        <v/>
      </c>
    </row>
    <row r="641" spans="5:12" x14ac:dyDescent="0.3">
      <c r="E641" s="7" t="str">
        <f t="shared" si="26"/>
        <v/>
      </c>
      <c r="H641" s="7" t="str">
        <f>IF(B641&lt;&gt;"Silicone","",IFERROR(XLOOKUP(D641,#REF!,#REF!),""))</f>
        <v/>
      </c>
      <c r="J641" s="7" t="str">
        <f ca="1">IFERROR(XLOOKUP(D641,'Spec_Single_H&amp;S'!B:B,'Spec_Single_H&amp;S'!E:E),
IFERROR(XLOOKUP(D641,#REF!,#REF!),""))</f>
        <v/>
      </c>
      <c r="K641" s="7" t="str">
        <f ca="1">IFERROR(XLOOKUP(D641,'Spec_Single_H&amp;S'!B:B,'Spec_Single_H&amp;S'!F:F),
IFERROR(XLOOKUP(D641,#REF!,#REF!),""))</f>
        <v/>
      </c>
      <c r="L641" s="7" t="str">
        <f t="shared" ca="1" si="25"/>
        <v/>
      </c>
    </row>
    <row r="642" spans="5:12" x14ac:dyDescent="0.3">
      <c r="E642" s="7" t="str">
        <f t="shared" si="26"/>
        <v/>
      </c>
      <c r="H642" s="7" t="str">
        <f>IF(B642&lt;&gt;"Silicone","",IFERROR(XLOOKUP(D642,#REF!,#REF!),""))</f>
        <v/>
      </c>
      <c r="J642" s="7" t="str">
        <f ca="1">IFERROR(XLOOKUP(D642,'Spec_Single_H&amp;S'!B:B,'Spec_Single_H&amp;S'!E:E),
IFERROR(XLOOKUP(D642,#REF!,#REF!),""))</f>
        <v/>
      </c>
      <c r="K642" s="7" t="str">
        <f ca="1">IFERROR(XLOOKUP(D642,'Spec_Single_H&amp;S'!B:B,'Spec_Single_H&amp;S'!F:F),
IFERROR(XLOOKUP(D642,#REF!,#REF!),""))</f>
        <v/>
      </c>
      <c r="L642" s="7" t="str">
        <f t="shared" ca="1" si="25"/>
        <v/>
      </c>
    </row>
    <row r="643" spans="5:12" x14ac:dyDescent="0.3">
      <c r="E643" s="7" t="str">
        <f t="shared" si="26"/>
        <v/>
      </c>
      <c r="H643" s="7" t="str">
        <f>IF(B643&lt;&gt;"Silicone","",IFERROR(XLOOKUP(D643,#REF!,#REF!),""))</f>
        <v/>
      </c>
      <c r="J643" s="7" t="str">
        <f ca="1">IFERROR(XLOOKUP(D643,'Spec_Single_H&amp;S'!B:B,'Spec_Single_H&amp;S'!E:E),
IFERROR(XLOOKUP(D643,#REF!,#REF!),""))</f>
        <v/>
      </c>
      <c r="K643" s="7" t="str">
        <f ca="1">IFERROR(XLOOKUP(D643,'Spec_Single_H&amp;S'!B:B,'Spec_Single_H&amp;S'!F:F),
IFERROR(XLOOKUP(D643,#REF!,#REF!),""))</f>
        <v/>
      </c>
      <c r="L643" s="7" t="str">
        <f t="shared" ca="1" si="25"/>
        <v/>
      </c>
    </row>
    <row r="644" spans="5:12" x14ac:dyDescent="0.3">
      <c r="E644" s="7" t="str">
        <f t="shared" si="26"/>
        <v/>
      </c>
      <c r="H644" s="7" t="str">
        <f>IF(B644&lt;&gt;"Silicone","",IFERROR(XLOOKUP(D644,#REF!,#REF!),""))</f>
        <v/>
      </c>
      <c r="J644" s="7" t="str">
        <f ca="1">IFERROR(XLOOKUP(D644,'Spec_Single_H&amp;S'!B:B,'Spec_Single_H&amp;S'!E:E),
IFERROR(XLOOKUP(D644,#REF!,#REF!),""))</f>
        <v/>
      </c>
      <c r="K644" s="7" t="str">
        <f ca="1">IFERROR(XLOOKUP(D644,'Spec_Single_H&amp;S'!B:B,'Spec_Single_H&amp;S'!F:F),
IFERROR(XLOOKUP(D644,#REF!,#REF!),""))</f>
        <v/>
      </c>
      <c r="L644" s="7" t="str">
        <f t="shared" ca="1" si="25"/>
        <v/>
      </c>
    </row>
    <row r="645" spans="5:12" x14ac:dyDescent="0.3">
      <c r="E645" s="7" t="str">
        <f t="shared" si="26"/>
        <v/>
      </c>
      <c r="H645" s="7" t="str">
        <f>IF(B645&lt;&gt;"Silicone","",IFERROR(XLOOKUP(D645,#REF!,#REF!),""))</f>
        <v/>
      </c>
      <c r="J645" s="7" t="str">
        <f ca="1">IFERROR(XLOOKUP(D645,'Spec_Single_H&amp;S'!B:B,'Spec_Single_H&amp;S'!E:E),
IFERROR(XLOOKUP(D645,#REF!,#REF!),""))</f>
        <v/>
      </c>
      <c r="K645" s="7" t="str">
        <f ca="1">IFERROR(XLOOKUP(D645,'Spec_Single_H&amp;S'!B:B,'Spec_Single_H&amp;S'!F:F),
IFERROR(XLOOKUP(D645,#REF!,#REF!),""))</f>
        <v/>
      </c>
      <c r="L645" s="7" t="str">
        <f t="shared" ca="1" si="25"/>
        <v/>
      </c>
    </row>
    <row r="646" spans="5:12" x14ac:dyDescent="0.3">
      <c r="E646" s="7" t="str">
        <f t="shared" si="26"/>
        <v/>
      </c>
      <c r="H646" s="7" t="str">
        <f>IF(B646&lt;&gt;"Silicone","",IFERROR(XLOOKUP(D646,#REF!,#REF!),""))</f>
        <v/>
      </c>
      <c r="J646" s="7" t="str">
        <f ca="1">IFERROR(XLOOKUP(D646,'Spec_Single_H&amp;S'!B:B,'Spec_Single_H&amp;S'!E:E),
IFERROR(XLOOKUP(D646,#REF!,#REF!),""))</f>
        <v/>
      </c>
      <c r="K646" s="7" t="str">
        <f ca="1">IFERROR(XLOOKUP(D646,'Spec_Single_H&amp;S'!B:B,'Spec_Single_H&amp;S'!F:F),
IFERROR(XLOOKUP(D646,#REF!,#REF!),""))</f>
        <v/>
      </c>
      <c r="L646" s="7" t="str">
        <f t="shared" ca="1" si="25"/>
        <v/>
      </c>
    </row>
    <row r="647" spans="5:12" x14ac:dyDescent="0.3">
      <c r="E647" s="7" t="str">
        <f t="shared" si="26"/>
        <v/>
      </c>
      <c r="H647" s="7" t="str">
        <f>IF(B647&lt;&gt;"Silicone","",IFERROR(XLOOKUP(D647,#REF!,#REF!),""))</f>
        <v/>
      </c>
      <c r="J647" s="7" t="str">
        <f ca="1">IFERROR(XLOOKUP(D647,'Spec_Single_H&amp;S'!B:B,'Spec_Single_H&amp;S'!E:E),
IFERROR(XLOOKUP(D647,#REF!,#REF!),""))</f>
        <v/>
      </c>
      <c r="K647" s="7" t="str">
        <f ca="1">IFERROR(XLOOKUP(D647,'Spec_Single_H&amp;S'!B:B,'Spec_Single_H&amp;S'!F:F),
IFERROR(XLOOKUP(D647,#REF!,#REF!),""))</f>
        <v/>
      </c>
      <c r="L647" s="7" t="str">
        <f t="shared" ca="1" si="25"/>
        <v/>
      </c>
    </row>
    <row r="648" spans="5:12" x14ac:dyDescent="0.3">
      <c r="E648" s="7" t="str">
        <f t="shared" si="26"/>
        <v/>
      </c>
      <c r="H648" s="7" t="str">
        <f>IF(B648&lt;&gt;"Silicone","",IFERROR(XLOOKUP(D648,#REF!,#REF!),""))</f>
        <v/>
      </c>
      <c r="J648" s="7" t="str">
        <f ca="1">IFERROR(XLOOKUP(D648,'Spec_Single_H&amp;S'!B:B,'Spec_Single_H&amp;S'!E:E),
IFERROR(XLOOKUP(D648,#REF!,#REF!),""))</f>
        <v/>
      </c>
      <c r="K648" s="7" t="str">
        <f ca="1">IFERROR(XLOOKUP(D648,'Spec_Single_H&amp;S'!B:B,'Spec_Single_H&amp;S'!F:F),
IFERROR(XLOOKUP(D648,#REF!,#REF!),""))</f>
        <v/>
      </c>
      <c r="L648" s="7" t="str">
        <f t="shared" ref="L648:L711" ca="1" si="27">IF(AND(NOT(ISBLANK(I648)),I648&gt;=J648,I648&lt;=K648),"적합",IF(ISBLANK(I648),"", "부적합"))</f>
        <v/>
      </c>
    </row>
    <row r="649" spans="5:12" x14ac:dyDescent="0.3">
      <c r="E649" s="7" t="str">
        <f t="shared" ref="E649:E712" si="28">IF(D649="","",IF(B649="Silicone", "SL" &amp; IF(C649="Black","B",IF(C649="White","W",IF(C649="Blue","U",IF(C649="Green","G",IF(C649="Yellow","Y",IF(C649="Red","R",IF(C649="Pink","P",""))))))) &amp; TEXT(A649,"yymmdd") &amp; "01",IF(LEFT(D649,3)="NPL","NPL","PL") &amp; IF(C649="Black","B",IF(C649="White","W",IF(C649="Blue","U",IF(C649="Green","G",IF(C649="Yellow","Y",IF(C649="Red","R",IF(C649="Pink","P",""))))))) &amp; TEXT(A649,"yymmdd") &amp; "01"))</f>
        <v/>
      </c>
      <c r="H649" s="7" t="str">
        <f>IF(B649&lt;&gt;"Silicone","",IFERROR(XLOOKUP(D649,#REF!,#REF!),""))</f>
        <v/>
      </c>
      <c r="J649" s="7" t="str">
        <f ca="1">IFERROR(XLOOKUP(D649,'Spec_Single_H&amp;S'!B:B,'Spec_Single_H&amp;S'!E:E),
IFERROR(XLOOKUP(D649,#REF!,#REF!),""))</f>
        <v/>
      </c>
      <c r="K649" s="7" t="str">
        <f ca="1">IFERROR(XLOOKUP(D649,'Spec_Single_H&amp;S'!B:B,'Spec_Single_H&amp;S'!F:F),
IFERROR(XLOOKUP(D649,#REF!,#REF!),""))</f>
        <v/>
      </c>
      <c r="L649" s="7" t="str">
        <f t="shared" ca="1" si="27"/>
        <v/>
      </c>
    </row>
    <row r="650" spans="5:12" x14ac:dyDescent="0.3">
      <c r="E650" s="7" t="str">
        <f t="shared" si="28"/>
        <v/>
      </c>
      <c r="H650" s="7" t="str">
        <f>IF(B650&lt;&gt;"Silicone","",IFERROR(XLOOKUP(D650,#REF!,#REF!),""))</f>
        <v/>
      </c>
      <c r="J650" s="7" t="str">
        <f ca="1">IFERROR(XLOOKUP(D650,'Spec_Single_H&amp;S'!B:B,'Spec_Single_H&amp;S'!E:E),
IFERROR(XLOOKUP(D650,#REF!,#REF!),""))</f>
        <v/>
      </c>
      <c r="K650" s="7" t="str">
        <f ca="1">IFERROR(XLOOKUP(D650,'Spec_Single_H&amp;S'!B:B,'Spec_Single_H&amp;S'!F:F),
IFERROR(XLOOKUP(D650,#REF!,#REF!),""))</f>
        <v/>
      </c>
      <c r="L650" s="7" t="str">
        <f t="shared" ca="1" si="27"/>
        <v/>
      </c>
    </row>
    <row r="651" spans="5:12" x14ac:dyDescent="0.3">
      <c r="E651" s="7" t="str">
        <f t="shared" si="28"/>
        <v/>
      </c>
      <c r="H651" s="7" t="str">
        <f>IF(B651&lt;&gt;"Silicone","",IFERROR(XLOOKUP(D651,#REF!,#REF!),""))</f>
        <v/>
      </c>
      <c r="J651" s="7" t="str">
        <f ca="1">IFERROR(XLOOKUP(D651,'Spec_Single_H&amp;S'!B:B,'Spec_Single_H&amp;S'!E:E),
IFERROR(XLOOKUP(D651,#REF!,#REF!),""))</f>
        <v/>
      </c>
      <c r="K651" s="7" t="str">
        <f ca="1">IFERROR(XLOOKUP(D651,'Spec_Single_H&amp;S'!B:B,'Spec_Single_H&amp;S'!F:F),
IFERROR(XLOOKUP(D651,#REF!,#REF!),""))</f>
        <v/>
      </c>
      <c r="L651" s="7" t="str">
        <f t="shared" ca="1" si="27"/>
        <v/>
      </c>
    </row>
    <row r="652" spans="5:12" x14ac:dyDescent="0.3">
      <c r="E652" s="7" t="str">
        <f t="shared" si="28"/>
        <v/>
      </c>
      <c r="H652" s="7" t="str">
        <f>IF(B652&lt;&gt;"Silicone","",IFERROR(XLOOKUP(D652,#REF!,#REF!),""))</f>
        <v/>
      </c>
      <c r="J652" s="7" t="str">
        <f ca="1">IFERROR(XLOOKUP(D652,'Spec_Single_H&amp;S'!B:B,'Spec_Single_H&amp;S'!E:E),
IFERROR(XLOOKUP(D652,#REF!,#REF!),""))</f>
        <v/>
      </c>
      <c r="K652" s="7" t="str">
        <f ca="1">IFERROR(XLOOKUP(D652,'Spec_Single_H&amp;S'!B:B,'Spec_Single_H&amp;S'!F:F),
IFERROR(XLOOKUP(D652,#REF!,#REF!),""))</f>
        <v/>
      </c>
      <c r="L652" s="7" t="str">
        <f t="shared" ca="1" si="27"/>
        <v/>
      </c>
    </row>
    <row r="653" spans="5:12" x14ac:dyDescent="0.3">
      <c r="E653" s="7" t="str">
        <f t="shared" si="28"/>
        <v/>
      </c>
      <c r="H653" s="7" t="str">
        <f>IF(B653&lt;&gt;"Silicone","",IFERROR(XLOOKUP(D653,#REF!,#REF!),""))</f>
        <v/>
      </c>
      <c r="J653" s="7" t="str">
        <f ca="1">IFERROR(XLOOKUP(D653,'Spec_Single_H&amp;S'!B:B,'Spec_Single_H&amp;S'!E:E),
IFERROR(XLOOKUP(D653,#REF!,#REF!),""))</f>
        <v/>
      </c>
      <c r="K653" s="7" t="str">
        <f ca="1">IFERROR(XLOOKUP(D653,'Spec_Single_H&amp;S'!B:B,'Spec_Single_H&amp;S'!F:F),
IFERROR(XLOOKUP(D653,#REF!,#REF!),""))</f>
        <v/>
      </c>
      <c r="L653" s="7" t="str">
        <f t="shared" ca="1" si="27"/>
        <v/>
      </c>
    </row>
    <row r="654" spans="5:12" x14ac:dyDescent="0.3">
      <c r="E654" s="7" t="str">
        <f t="shared" si="28"/>
        <v/>
      </c>
      <c r="H654" s="7" t="str">
        <f>IF(B654&lt;&gt;"Silicone","",IFERROR(XLOOKUP(D654,#REF!,#REF!),""))</f>
        <v/>
      </c>
      <c r="J654" s="7" t="str">
        <f ca="1">IFERROR(XLOOKUP(D654,'Spec_Single_H&amp;S'!B:B,'Spec_Single_H&amp;S'!E:E),
IFERROR(XLOOKUP(D654,#REF!,#REF!),""))</f>
        <v/>
      </c>
      <c r="K654" s="7" t="str">
        <f ca="1">IFERROR(XLOOKUP(D654,'Spec_Single_H&amp;S'!B:B,'Spec_Single_H&amp;S'!F:F),
IFERROR(XLOOKUP(D654,#REF!,#REF!),""))</f>
        <v/>
      </c>
      <c r="L654" s="7" t="str">
        <f t="shared" ca="1" si="27"/>
        <v/>
      </c>
    </row>
    <row r="655" spans="5:12" x14ac:dyDescent="0.3">
      <c r="E655" s="7" t="str">
        <f t="shared" si="28"/>
        <v/>
      </c>
      <c r="H655" s="7" t="str">
        <f>IF(B655&lt;&gt;"Silicone","",IFERROR(XLOOKUP(D655,#REF!,#REF!),""))</f>
        <v/>
      </c>
      <c r="J655" s="7" t="str">
        <f ca="1">IFERROR(XLOOKUP(D655,'Spec_Single_H&amp;S'!B:B,'Spec_Single_H&amp;S'!E:E),
IFERROR(XLOOKUP(D655,#REF!,#REF!),""))</f>
        <v/>
      </c>
      <c r="K655" s="7" t="str">
        <f ca="1">IFERROR(XLOOKUP(D655,'Spec_Single_H&amp;S'!B:B,'Spec_Single_H&amp;S'!F:F),
IFERROR(XLOOKUP(D655,#REF!,#REF!),""))</f>
        <v/>
      </c>
      <c r="L655" s="7" t="str">
        <f t="shared" ca="1" si="27"/>
        <v/>
      </c>
    </row>
    <row r="656" spans="5:12" x14ac:dyDescent="0.3">
      <c r="E656" s="7" t="str">
        <f t="shared" si="28"/>
        <v/>
      </c>
      <c r="H656" s="7" t="str">
        <f>IF(B656&lt;&gt;"Silicone","",IFERROR(XLOOKUP(D656,#REF!,#REF!),""))</f>
        <v/>
      </c>
      <c r="J656" s="7" t="str">
        <f ca="1">IFERROR(XLOOKUP(D656,'Spec_Single_H&amp;S'!B:B,'Spec_Single_H&amp;S'!E:E),
IFERROR(XLOOKUP(D656,#REF!,#REF!),""))</f>
        <v/>
      </c>
      <c r="K656" s="7" t="str">
        <f ca="1">IFERROR(XLOOKUP(D656,'Spec_Single_H&amp;S'!B:B,'Spec_Single_H&amp;S'!F:F),
IFERROR(XLOOKUP(D656,#REF!,#REF!),""))</f>
        <v/>
      </c>
      <c r="L656" s="7" t="str">
        <f t="shared" ca="1" si="27"/>
        <v/>
      </c>
    </row>
    <row r="657" spans="5:12" x14ac:dyDescent="0.3">
      <c r="E657" s="7" t="str">
        <f t="shared" si="28"/>
        <v/>
      </c>
      <c r="H657" s="7" t="str">
        <f>IF(B657&lt;&gt;"Silicone","",IFERROR(XLOOKUP(D657,#REF!,#REF!),""))</f>
        <v/>
      </c>
      <c r="J657" s="7" t="str">
        <f ca="1">IFERROR(XLOOKUP(D657,'Spec_Single_H&amp;S'!B:B,'Spec_Single_H&amp;S'!E:E),
IFERROR(XLOOKUP(D657,#REF!,#REF!),""))</f>
        <v/>
      </c>
      <c r="K657" s="7" t="str">
        <f ca="1">IFERROR(XLOOKUP(D657,'Spec_Single_H&amp;S'!B:B,'Spec_Single_H&amp;S'!F:F),
IFERROR(XLOOKUP(D657,#REF!,#REF!),""))</f>
        <v/>
      </c>
      <c r="L657" s="7" t="str">
        <f t="shared" ca="1" si="27"/>
        <v/>
      </c>
    </row>
    <row r="658" spans="5:12" x14ac:dyDescent="0.3">
      <c r="E658" s="7" t="str">
        <f t="shared" si="28"/>
        <v/>
      </c>
      <c r="H658" s="7" t="str">
        <f>IF(B658&lt;&gt;"Silicone","",IFERROR(XLOOKUP(D658,#REF!,#REF!),""))</f>
        <v/>
      </c>
      <c r="J658" s="7" t="str">
        <f ca="1">IFERROR(XLOOKUP(D658,'Spec_Single_H&amp;S'!B:B,'Spec_Single_H&amp;S'!E:E),
IFERROR(XLOOKUP(D658,#REF!,#REF!),""))</f>
        <v/>
      </c>
      <c r="K658" s="7" t="str">
        <f ca="1">IFERROR(XLOOKUP(D658,'Spec_Single_H&amp;S'!B:B,'Spec_Single_H&amp;S'!F:F),
IFERROR(XLOOKUP(D658,#REF!,#REF!),""))</f>
        <v/>
      </c>
      <c r="L658" s="7" t="str">
        <f t="shared" ca="1" si="27"/>
        <v/>
      </c>
    </row>
    <row r="659" spans="5:12" x14ac:dyDescent="0.3">
      <c r="E659" s="7" t="str">
        <f t="shared" si="28"/>
        <v/>
      </c>
      <c r="H659" s="7" t="str">
        <f>IF(B659&lt;&gt;"Silicone","",IFERROR(XLOOKUP(D659,#REF!,#REF!),""))</f>
        <v/>
      </c>
      <c r="J659" s="7" t="str">
        <f ca="1">IFERROR(XLOOKUP(D659,'Spec_Single_H&amp;S'!B:B,'Spec_Single_H&amp;S'!E:E),
IFERROR(XLOOKUP(D659,#REF!,#REF!),""))</f>
        <v/>
      </c>
      <c r="K659" s="7" t="str">
        <f ca="1">IFERROR(XLOOKUP(D659,'Spec_Single_H&amp;S'!B:B,'Spec_Single_H&amp;S'!F:F),
IFERROR(XLOOKUP(D659,#REF!,#REF!),""))</f>
        <v/>
      </c>
      <c r="L659" s="7" t="str">
        <f t="shared" ca="1" si="27"/>
        <v/>
      </c>
    </row>
    <row r="660" spans="5:12" x14ac:dyDescent="0.3">
      <c r="E660" s="7" t="str">
        <f t="shared" si="28"/>
        <v/>
      </c>
      <c r="H660" s="7" t="str">
        <f>IF(B660&lt;&gt;"Silicone","",IFERROR(XLOOKUP(D660,#REF!,#REF!),""))</f>
        <v/>
      </c>
      <c r="J660" s="7" t="str">
        <f ca="1">IFERROR(XLOOKUP(D660,'Spec_Single_H&amp;S'!B:B,'Spec_Single_H&amp;S'!E:E),
IFERROR(XLOOKUP(D660,#REF!,#REF!),""))</f>
        <v/>
      </c>
      <c r="K660" s="7" t="str">
        <f ca="1">IFERROR(XLOOKUP(D660,'Spec_Single_H&amp;S'!B:B,'Spec_Single_H&amp;S'!F:F),
IFERROR(XLOOKUP(D660,#REF!,#REF!),""))</f>
        <v/>
      </c>
      <c r="L660" s="7" t="str">
        <f t="shared" ca="1" si="27"/>
        <v/>
      </c>
    </row>
    <row r="661" spans="5:12" x14ac:dyDescent="0.3">
      <c r="E661" s="7" t="str">
        <f t="shared" si="28"/>
        <v/>
      </c>
      <c r="H661" s="7" t="str">
        <f>IF(B661&lt;&gt;"Silicone","",IFERROR(XLOOKUP(D661,#REF!,#REF!),""))</f>
        <v/>
      </c>
      <c r="J661" s="7" t="str">
        <f ca="1">IFERROR(XLOOKUP(D661,'Spec_Single_H&amp;S'!B:B,'Spec_Single_H&amp;S'!E:E),
IFERROR(XLOOKUP(D661,#REF!,#REF!),""))</f>
        <v/>
      </c>
      <c r="K661" s="7" t="str">
        <f ca="1">IFERROR(XLOOKUP(D661,'Spec_Single_H&amp;S'!B:B,'Spec_Single_H&amp;S'!F:F),
IFERROR(XLOOKUP(D661,#REF!,#REF!),""))</f>
        <v/>
      </c>
      <c r="L661" s="7" t="str">
        <f t="shared" ca="1" si="27"/>
        <v/>
      </c>
    </row>
    <row r="662" spans="5:12" x14ac:dyDescent="0.3">
      <c r="E662" s="7" t="str">
        <f t="shared" si="28"/>
        <v/>
      </c>
      <c r="H662" s="7" t="str">
        <f>IF(B662&lt;&gt;"Silicone","",IFERROR(XLOOKUP(D662,#REF!,#REF!),""))</f>
        <v/>
      </c>
      <c r="J662" s="7" t="str">
        <f ca="1">IFERROR(XLOOKUP(D662,'Spec_Single_H&amp;S'!B:B,'Spec_Single_H&amp;S'!E:E),
IFERROR(XLOOKUP(D662,#REF!,#REF!),""))</f>
        <v/>
      </c>
      <c r="K662" s="7" t="str">
        <f ca="1">IFERROR(XLOOKUP(D662,'Spec_Single_H&amp;S'!B:B,'Spec_Single_H&amp;S'!F:F),
IFERROR(XLOOKUP(D662,#REF!,#REF!),""))</f>
        <v/>
      </c>
      <c r="L662" s="7" t="str">
        <f t="shared" ca="1" si="27"/>
        <v/>
      </c>
    </row>
    <row r="663" spans="5:12" x14ac:dyDescent="0.3">
      <c r="E663" s="7" t="str">
        <f t="shared" si="28"/>
        <v/>
      </c>
      <c r="H663" s="7" t="str">
        <f>IF(B663&lt;&gt;"Silicone","",IFERROR(XLOOKUP(D663,#REF!,#REF!),""))</f>
        <v/>
      </c>
      <c r="J663" s="7" t="str">
        <f ca="1">IFERROR(XLOOKUP(D663,'Spec_Single_H&amp;S'!B:B,'Spec_Single_H&amp;S'!E:E),
IFERROR(XLOOKUP(D663,#REF!,#REF!),""))</f>
        <v/>
      </c>
      <c r="K663" s="7" t="str">
        <f ca="1">IFERROR(XLOOKUP(D663,'Spec_Single_H&amp;S'!B:B,'Spec_Single_H&amp;S'!F:F),
IFERROR(XLOOKUP(D663,#REF!,#REF!),""))</f>
        <v/>
      </c>
      <c r="L663" s="7" t="str">
        <f t="shared" ca="1" si="27"/>
        <v/>
      </c>
    </row>
    <row r="664" spans="5:12" x14ac:dyDescent="0.3">
      <c r="E664" s="7" t="str">
        <f t="shared" si="28"/>
        <v/>
      </c>
      <c r="H664" s="7" t="str">
        <f>IF(B664&lt;&gt;"Silicone","",IFERROR(XLOOKUP(D664,#REF!,#REF!),""))</f>
        <v/>
      </c>
      <c r="J664" s="7" t="str">
        <f ca="1">IFERROR(XLOOKUP(D664,'Spec_Single_H&amp;S'!B:B,'Spec_Single_H&amp;S'!E:E),
IFERROR(XLOOKUP(D664,#REF!,#REF!),""))</f>
        <v/>
      </c>
      <c r="K664" s="7" t="str">
        <f ca="1">IFERROR(XLOOKUP(D664,'Spec_Single_H&amp;S'!B:B,'Spec_Single_H&amp;S'!F:F),
IFERROR(XLOOKUP(D664,#REF!,#REF!),""))</f>
        <v/>
      </c>
      <c r="L664" s="7" t="str">
        <f t="shared" ca="1" si="27"/>
        <v/>
      </c>
    </row>
    <row r="665" spans="5:12" x14ac:dyDescent="0.3">
      <c r="E665" s="7" t="str">
        <f t="shared" si="28"/>
        <v/>
      </c>
      <c r="H665" s="7" t="str">
        <f>IF(B665&lt;&gt;"Silicone","",IFERROR(XLOOKUP(D665,#REF!,#REF!),""))</f>
        <v/>
      </c>
      <c r="J665" s="7" t="str">
        <f ca="1">IFERROR(XLOOKUP(D665,'Spec_Single_H&amp;S'!B:B,'Spec_Single_H&amp;S'!E:E),
IFERROR(XLOOKUP(D665,#REF!,#REF!),""))</f>
        <v/>
      </c>
      <c r="K665" s="7" t="str">
        <f ca="1">IFERROR(XLOOKUP(D665,'Spec_Single_H&amp;S'!B:B,'Spec_Single_H&amp;S'!F:F),
IFERROR(XLOOKUP(D665,#REF!,#REF!),""))</f>
        <v/>
      </c>
      <c r="L665" s="7" t="str">
        <f t="shared" ca="1" si="27"/>
        <v/>
      </c>
    </row>
    <row r="666" spans="5:12" x14ac:dyDescent="0.3">
      <c r="E666" s="7" t="str">
        <f t="shared" si="28"/>
        <v/>
      </c>
      <c r="H666" s="7" t="str">
        <f>IF(B666&lt;&gt;"Silicone","",IFERROR(XLOOKUP(D666,#REF!,#REF!),""))</f>
        <v/>
      </c>
      <c r="J666" s="7" t="str">
        <f ca="1">IFERROR(XLOOKUP(D666,'Spec_Single_H&amp;S'!B:B,'Spec_Single_H&amp;S'!E:E),
IFERROR(XLOOKUP(D666,#REF!,#REF!),""))</f>
        <v/>
      </c>
      <c r="K666" s="7" t="str">
        <f ca="1">IFERROR(XLOOKUP(D666,'Spec_Single_H&amp;S'!B:B,'Spec_Single_H&amp;S'!F:F),
IFERROR(XLOOKUP(D666,#REF!,#REF!),""))</f>
        <v/>
      </c>
      <c r="L666" s="7" t="str">
        <f t="shared" ca="1" si="27"/>
        <v/>
      </c>
    </row>
    <row r="667" spans="5:12" x14ac:dyDescent="0.3">
      <c r="E667" s="7" t="str">
        <f t="shared" si="28"/>
        <v/>
      </c>
      <c r="H667" s="7" t="str">
        <f>IF(B667&lt;&gt;"Silicone","",IFERROR(XLOOKUP(D667,#REF!,#REF!),""))</f>
        <v/>
      </c>
      <c r="J667" s="7" t="str">
        <f ca="1">IFERROR(XLOOKUP(D667,'Spec_Single_H&amp;S'!B:B,'Spec_Single_H&amp;S'!E:E),
IFERROR(XLOOKUP(D667,#REF!,#REF!),""))</f>
        <v/>
      </c>
      <c r="K667" s="7" t="str">
        <f ca="1">IFERROR(XLOOKUP(D667,'Spec_Single_H&amp;S'!B:B,'Spec_Single_H&amp;S'!F:F),
IFERROR(XLOOKUP(D667,#REF!,#REF!),""))</f>
        <v/>
      </c>
      <c r="L667" s="7" t="str">
        <f t="shared" ca="1" si="27"/>
        <v/>
      </c>
    </row>
    <row r="668" spans="5:12" x14ac:dyDescent="0.3">
      <c r="E668" s="7" t="str">
        <f t="shared" si="28"/>
        <v/>
      </c>
      <c r="H668" s="7" t="str">
        <f>IF(B668&lt;&gt;"Silicone","",IFERROR(XLOOKUP(D668,#REF!,#REF!),""))</f>
        <v/>
      </c>
      <c r="J668" s="7" t="str">
        <f ca="1">IFERROR(XLOOKUP(D668,'Spec_Single_H&amp;S'!B:B,'Spec_Single_H&amp;S'!E:E),
IFERROR(XLOOKUP(D668,#REF!,#REF!),""))</f>
        <v/>
      </c>
      <c r="K668" s="7" t="str">
        <f ca="1">IFERROR(XLOOKUP(D668,'Spec_Single_H&amp;S'!B:B,'Spec_Single_H&amp;S'!F:F),
IFERROR(XLOOKUP(D668,#REF!,#REF!),""))</f>
        <v/>
      </c>
      <c r="L668" s="7" t="str">
        <f t="shared" ca="1" si="27"/>
        <v/>
      </c>
    </row>
    <row r="669" spans="5:12" x14ac:dyDescent="0.3">
      <c r="E669" s="7" t="str">
        <f t="shared" si="28"/>
        <v/>
      </c>
      <c r="H669" s="7" t="str">
        <f>IF(B669&lt;&gt;"Silicone","",IFERROR(XLOOKUP(D669,#REF!,#REF!),""))</f>
        <v/>
      </c>
      <c r="J669" s="7" t="str">
        <f ca="1">IFERROR(XLOOKUP(D669,'Spec_Single_H&amp;S'!B:B,'Spec_Single_H&amp;S'!E:E),
IFERROR(XLOOKUP(D669,#REF!,#REF!),""))</f>
        <v/>
      </c>
      <c r="K669" s="7" t="str">
        <f ca="1">IFERROR(XLOOKUP(D669,'Spec_Single_H&amp;S'!B:B,'Spec_Single_H&amp;S'!F:F),
IFERROR(XLOOKUP(D669,#REF!,#REF!),""))</f>
        <v/>
      </c>
      <c r="L669" s="7" t="str">
        <f t="shared" ca="1" si="27"/>
        <v/>
      </c>
    </row>
    <row r="670" spans="5:12" x14ac:dyDescent="0.3">
      <c r="E670" s="7" t="str">
        <f t="shared" si="28"/>
        <v/>
      </c>
      <c r="H670" s="7" t="str">
        <f>IF(B670&lt;&gt;"Silicone","",IFERROR(XLOOKUP(D670,#REF!,#REF!),""))</f>
        <v/>
      </c>
      <c r="J670" s="7" t="str">
        <f ca="1">IFERROR(XLOOKUP(D670,'Spec_Single_H&amp;S'!B:B,'Spec_Single_H&amp;S'!E:E),
IFERROR(XLOOKUP(D670,#REF!,#REF!),""))</f>
        <v/>
      </c>
      <c r="K670" s="7" t="str">
        <f ca="1">IFERROR(XLOOKUP(D670,'Spec_Single_H&amp;S'!B:B,'Spec_Single_H&amp;S'!F:F),
IFERROR(XLOOKUP(D670,#REF!,#REF!),""))</f>
        <v/>
      </c>
      <c r="L670" s="7" t="str">
        <f t="shared" ca="1" si="27"/>
        <v/>
      </c>
    </row>
    <row r="671" spans="5:12" x14ac:dyDescent="0.3">
      <c r="E671" s="7" t="str">
        <f t="shared" si="28"/>
        <v/>
      </c>
      <c r="H671" s="7" t="str">
        <f>IF(B671&lt;&gt;"Silicone","",IFERROR(XLOOKUP(D671,#REF!,#REF!),""))</f>
        <v/>
      </c>
      <c r="J671" s="7" t="str">
        <f ca="1">IFERROR(XLOOKUP(D671,'Spec_Single_H&amp;S'!B:B,'Spec_Single_H&amp;S'!E:E),
IFERROR(XLOOKUP(D671,#REF!,#REF!),""))</f>
        <v/>
      </c>
      <c r="K671" s="7" t="str">
        <f ca="1">IFERROR(XLOOKUP(D671,'Spec_Single_H&amp;S'!B:B,'Spec_Single_H&amp;S'!F:F),
IFERROR(XLOOKUP(D671,#REF!,#REF!),""))</f>
        <v/>
      </c>
      <c r="L671" s="7" t="str">
        <f t="shared" ca="1" si="27"/>
        <v/>
      </c>
    </row>
    <row r="672" spans="5:12" x14ac:dyDescent="0.3">
      <c r="E672" s="7" t="str">
        <f t="shared" si="28"/>
        <v/>
      </c>
      <c r="H672" s="7" t="str">
        <f>IF(B672&lt;&gt;"Silicone","",IFERROR(XLOOKUP(D672,#REF!,#REF!),""))</f>
        <v/>
      </c>
      <c r="J672" s="7" t="str">
        <f ca="1">IFERROR(XLOOKUP(D672,'Spec_Single_H&amp;S'!B:B,'Spec_Single_H&amp;S'!E:E),
IFERROR(XLOOKUP(D672,#REF!,#REF!),""))</f>
        <v/>
      </c>
      <c r="K672" s="7" t="str">
        <f ca="1">IFERROR(XLOOKUP(D672,'Spec_Single_H&amp;S'!B:B,'Spec_Single_H&amp;S'!F:F),
IFERROR(XLOOKUP(D672,#REF!,#REF!),""))</f>
        <v/>
      </c>
      <c r="L672" s="7" t="str">
        <f t="shared" ca="1" si="27"/>
        <v/>
      </c>
    </row>
    <row r="673" spans="5:12" x14ac:dyDescent="0.3">
      <c r="E673" s="7" t="str">
        <f t="shared" si="28"/>
        <v/>
      </c>
      <c r="H673" s="7" t="str">
        <f>IF(B673&lt;&gt;"Silicone","",IFERROR(XLOOKUP(D673,#REF!,#REF!),""))</f>
        <v/>
      </c>
      <c r="J673" s="7" t="str">
        <f ca="1">IFERROR(XLOOKUP(D673,'Spec_Single_H&amp;S'!B:B,'Spec_Single_H&amp;S'!E:E),
IFERROR(XLOOKUP(D673,#REF!,#REF!),""))</f>
        <v/>
      </c>
      <c r="K673" s="7" t="str">
        <f ca="1">IFERROR(XLOOKUP(D673,'Spec_Single_H&amp;S'!B:B,'Spec_Single_H&amp;S'!F:F),
IFERROR(XLOOKUP(D673,#REF!,#REF!),""))</f>
        <v/>
      </c>
      <c r="L673" s="7" t="str">
        <f t="shared" ca="1" si="27"/>
        <v/>
      </c>
    </row>
    <row r="674" spans="5:12" x14ac:dyDescent="0.3">
      <c r="E674" s="7" t="str">
        <f t="shared" si="28"/>
        <v/>
      </c>
      <c r="H674" s="7" t="str">
        <f>IF(B674&lt;&gt;"Silicone","",IFERROR(XLOOKUP(D674,#REF!,#REF!),""))</f>
        <v/>
      </c>
      <c r="J674" s="7" t="str">
        <f ca="1">IFERROR(XLOOKUP(D674,'Spec_Single_H&amp;S'!B:B,'Spec_Single_H&amp;S'!E:E),
IFERROR(XLOOKUP(D674,#REF!,#REF!),""))</f>
        <v/>
      </c>
      <c r="K674" s="7" t="str">
        <f ca="1">IFERROR(XLOOKUP(D674,'Spec_Single_H&amp;S'!B:B,'Spec_Single_H&amp;S'!F:F),
IFERROR(XLOOKUP(D674,#REF!,#REF!),""))</f>
        <v/>
      </c>
      <c r="L674" s="7" t="str">
        <f t="shared" ca="1" si="27"/>
        <v/>
      </c>
    </row>
    <row r="675" spans="5:12" x14ac:dyDescent="0.3">
      <c r="E675" s="7" t="str">
        <f t="shared" si="28"/>
        <v/>
      </c>
      <c r="H675" s="7" t="str">
        <f>IF(B675&lt;&gt;"Silicone","",IFERROR(XLOOKUP(D675,#REF!,#REF!),""))</f>
        <v/>
      </c>
      <c r="J675" s="7" t="str">
        <f ca="1">IFERROR(XLOOKUP(D675,'Spec_Single_H&amp;S'!B:B,'Spec_Single_H&amp;S'!E:E),
IFERROR(XLOOKUP(D675,#REF!,#REF!),""))</f>
        <v/>
      </c>
      <c r="K675" s="7" t="str">
        <f ca="1">IFERROR(XLOOKUP(D675,'Spec_Single_H&amp;S'!B:B,'Spec_Single_H&amp;S'!F:F),
IFERROR(XLOOKUP(D675,#REF!,#REF!),""))</f>
        <v/>
      </c>
      <c r="L675" s="7" t="str">
        <f t="shared" ca="1" si="27"/>
        <v/>
      </c>
    </row>
    <row r="676" spans="5:12" x14ac:dyDescent="0.3">
      <c r="E676" s="7" t="str">
        <f t="shared" si="28"/>
        <v/>
      </c>
      <c r="H676" s="7" t="str">
        <f>IF(B676&lt;&gt;"Silicone","",IFERROR(XLOOKUP(D676,#REF!,#REF!),""))</f>
        <v/>
      </c>
      <c r="J676" s="7" t="str">
        <f ca="1">IFERROR(XLOOKUP(D676,'Spec_Single_H&amp;S'!B:B,'Spec_Single_H&amp;S'!E:E),
IFERROR(XLOOKUP(D676,#REF!,#REF!),""))</f>
        <v/>
      </c>
      <c r="K676" s="7" t="str">
        <f ca="1">IFERROR(XLOOKUP(D676,'Spec_Single_H&amp;S'!B:B,'Spec_Single_H&amp;S'!F:F),
IFERROR(XLOOKUP(D676,#REF!,#REF!),""))</f>
        <v/>
      </c>
      <c r="L676" s="7" t="str">
        <f t="shared" ca="1" si="27"/>
        <v/>
      </c>
    </row>
    <row r="677" spans="5:12" x14ac:dyDescent="0.3">
      <c r="E677" s="7" t="str">
        <f t="shared" si="28"/>
        <v/>
      </c>
      <c r="H677" s="7" t="str">
        <f>IF(B677&lt;&gt;"Silicone","",IFERROR(XLOOKUP(D677,#REF!,#REF!),""))</f>
        <v/>
      </c>
      <c r="J677" s="7" t="str">
        <f ca="1">IFERROR(XLOOKUP(D677,'Spec_Single_H&amp;S'!B:B,'Spec_Single_H&amp;S'!E:E),
IFERROR(XLOOKUP(D677,#REF!,#REF!),""))</f>
        <v/>
      </c>
      <c r="K677" s="7" t="str">
        <f ca="1">IFERROR(XLOOKUP(D677,'Spec_Single_H&amp;S'!B:B,'Spec_Single_H&amp;S'!F:F),
IFERROR(XLOOKUP(D677,#REF!,#REF!),""))</f>
        <v/>
      </c>
      <c r="L677" s="7" t="str">
        <f t="shared" ca="1" si="27"/>
        <v/>
      </c>
    </row>
    <row r="678" spans="5:12" x14ac:dyDescent="0.3">
      <c r="E678" s="7" t="str">
        <f t="shared" si="28"/>
        <v/>
      </c>
      <c r="H678" s="7" t="str">
        <f>IF(B678&lt;&gt;"Silicone","",IFERROR(XLOOKUP(D678,#REF!,#REF!),""))</f>
        <v/>
      </c>
      <c r="J678" s="7" t="str">
        <f ca="1">IFERROR(XLOOKUP(D678,'Spec_Single_H&amp;S'!B:B,'Spec_Single_H&amp;S'!E:E),
IFERROR(XLOOKUP(D678,#REF!,#REF!),""))</f>
        <v/>
      </c>
      <c r="K678" s="7" t="str">
        <f ca="1">IFERROR(XLOOKUP(D678,'Spec_Single_H&amp;S'!B:B,'Spec_Single_H&amp;S'!F:F),
IFERROR(XLOOKUP(D678,#REF!,#REF!),""))</f>
        <v/>
      </c>
      <c r="L678" s="7" t="str">
        <f t="shared" ca="1" si="27"/>
        <v/>
      </c>
    </row>
    <row r="679" spans="5:12" x14ac:dyDescent="0.3">
      <c r="E679" s="7" t="str">
        <f t="shared" si="28"/>
        <v/>
      </c>
      <c r="H679" s="7" t="str">
        <f>IF(B679&lt;&gt;"Silicone","",IFERROR(XLOOKUP(D679,#REF!,#REF!),""))</f>
        <v/>
      </c>
      <c r="J679" s="7" t="str">
        <f ca="1">IFERROR(XLOOKUP(D679,'Spec_Single_H&amp;S'!B:B,'Spec_Single_H&amp;S'!E:E),
IFERROR(XLOOKUP(D679,#REF!,#REF!),""))</f>
        <v/>
      </c>
      <c r="K679" s="7" t="str">
        <f ca="1">IFERROR(XLOOKUP(D679,'Spec_Single_H&amp;S'!B:B,'Spec_Single_H&amp;S'!F:F),
IFERROR(XLOOKUP(D679,#REF!,#REF!),""))</f>
        <v/>
      </c>
      <c r="L679" s="7" t="str">
        <f t="shared" ca="1" si="27"/>
        <v/>
      </c>
    </row>
    <row r="680" spans="5:12" x14ac:dyDescent="0.3">
      <c r="E680" s="7" t="str">
        <f t="shared" si="28"/>
        <v/>
      </c>
      <c r="H680" s="7" t="str">
        <f>IF(B680&lt;&gt;"Silicone","",IFERROR(XLOOKUP(D680,#REF!,#REF!),""))</f>
        <v/>
      </c>
      <c r="J680" s="7" t="str">
        <f ca="1">IFERROR(XLOOKUP(D680,'Spec_Single_H&amp;S'!B:B,'Spec_Single_H&amp;S'!E:E),
IFERROR(XLOOKUP(D680,#REF!,#REF!),""))</f>
        <v/>
      </c>
      <c r="K680" s="7" t="str">
        <f ca="1">IFERROR(XLOOKUP(D680,'Spec_Single_H&amp;S'!B:B,'Spec_Single_H&amp;S'!F:F),
IFERROR(XLOOKUP(D680,#REF!,#REF!),""))</f>
        <v/>
      </c>
      <c r="L680" s="7" t="str">
        <f t="shared" ca="1" si="27"/>
        <v/>
      </c>
    </row>
    <row r="681" spans="5:12" x14ac:dyDescent="0.3">
      <c r="E681" s="7" t="str">
        <f t="shared" si="28"/>
        <v/>
      </c>
      <c r="H681" s="7" t="str">
        <f>IF(B681&lt;&gt;"Silicone","",IFERROR(XLOOKUP(D681,#REF!,#REF!),""))</f>
        <v/>
      </c>
      <c r="J681" s="7" t="str">
        <f ca="1">IFERROR(XLOOKUP(D681,'Spec_Single_H&amp;S'!B:B,'Spec_Single_H&amp;S'!E:E),
IFERROR(XLOOKUP(D681,#REF!,#REF!),""))</f>
        <v/>
      </c>
      <c r="K681" s="7" t="str">
        <f ca="1">IFERROR(XLOOKUP(D681,'Spec_Single_H&amp;S'!B:B,'Spec_Single_H&amp;S'!F:F),
IFERROR(XLOOKUP(D681,#REF!,#REF!),""))</f>
        <v/>
      </c>
      <c r="L681" s="7" t="str">
        <f t="shared" ca="1" si="27"/>
        <v/>
      </c>
    </row>
    <row r="682" spans="5:12" x14ac:dyDescent="0.3">
      <c r="E682" s="7" t="str">
        <f t="shared" si="28"/>
        <v/>
      </c>
      <c r="H682" s="7" t="str">
        <f>IF(B682&lt;&gt;"Silicone","",IFERROR(XLOOKUP(D682,#REF!,#REF!),""))</f>
        <v/>
      </c>
      <c r="J682" s="7" t="str">
        <f ca="1">IFERROR(XLOOKUP(D682,'Spec_Single_H&amp;S'!B:B,'Spec_Single_H&amp;S'!E:E),
IFERROR(XLOOKUP(D682,#REF!,#REF!),""))</f>
        <v/>
      </c>
      <c r="K682" s="7" t="str">
        <f ca="1">IFERROR(XLOOKUP(D682,'Spec_Single_H&amp;S'!B:B,'Spec_Single_H&amp;S'!F:F),
IFERROR(XLOOKUP(D682,#REF!,#REF!),""))</f>
        <v/>
      </c>
      <c r="L682" s="7" t="str">
        <f t="shared" ca="1" si="27"/>
        <v/>
      </c>
    </row>
    <row r="683" spans="5:12" x14ac:dyDescent="0.3">
      <c r="E683" s="7" t="str">
        <f t="shared" si="28"/>
        <v/>
      </c>
      <c r="H683" s="7" t="str">
        <f>IF(B683&lt;&gt;"Silicone","",IFERROR(XLOOKUP(D683,#REF!,#REF!),""))</f>
        <v/>
      </c>
      <c r="J683" s="7" t="str">
        <f ca="1">IFERROR(XLOOKUP(D683,'Spec_Single_H&amp;S'!B:B,'Spec_Single_H&amp;S'!E:E),
IFERROR(XLOOKUP(D683,#REF!,#REF!),""))</f>
        <v/>
      </c>
      <c r="K683" s="7" t="str">
        <f ca="1">IFERROR(XLOOKUP(D683,'Spec_Single_H&amp;S'!B:B,'Spec_Single_H&amp;S'!F:F),
IFERROR(XLOOKUP(D683,#REF!,#REF!),""))</f>
        <v/>
      </c>
      <c r="L683" s="7" t="str">
        <f t="shared" ca="1" si="27"/>
        <v/>
      </c>
    </row>
    <row r="684" spans="5:12" x14ac:dyDescent="0.3">
      <c r="E684" s="7" t="str">
        <f t="shared" si="28"/>
        <v/>
      </c>
      <c r="H684" s="7" t="str">
        <f>IF(B684&lt;&gt;"Silicone","",IFERROR(XLOOKUP(D684,#REF!,#REF!),""))</f>
        <v/>
      </c>
      <c r="J684" s="7" t="str">
        <f ca="1">IFERROR(XLOOKUP(D684,'Spec_Single_H&amp;S'!B:B,'Spec_Single_H&amp;S'!E:E),
IFERROR(XLOOKUP(D684,#REF!,#REF!),""))</f>
        <v/>
      </c>
      <c r="K684" s="7" t="str">
        <f ca="1">IFERROR(XLOOKUP(D684,'Spec_Single_H&amp;S'!B:B,'Spec_Single_H&amp;S'!F:F),
IFERROR(XLOOKUP(D684,#REF!,#REF!),""))</f>
        <v/>
      </c>
      <c r="L684" s="7" t="str">
        <f t="shared" ca="1" si="27"/>
        <v/>
      </c>
    </row>
    <row r="685" spans="5:12" x14ac:dyDescent="0.3">
      <c r="E685" s="7" t="str">
        <f t="shared" si="28"/>
        <v/>
      </c>
      <c r="H685" s="7" t="str">
        <f>IF(B685&lt;&gt;"Silicone","",IFERROR(XLOOKUP(D685,#REF!,#REF!),""))</f>
        <v/>
      </c>
      <c r="J685" s="7" t="str">
        <f ca="1">IFERROR(XLOOKUP(D685,'Spec_Single_H&amp;S'!B:B,'Spec_Single_H&amp;S'!E:E),
IFERROR(XLOOKUP(D685,#REF!,#REF!),""))</f>
        <v/>
      </c>
      <c r="K685" s="7" t="str">
        <f ca="1">IFERROR(XLOOKUP(D685,'Spec_Single_H&amp;S'!B:B,'Spec_Single_H&amp;S'!F:F),
IFERROR(XLOOKUP(D685,#REF!,#REF!),""))</f>
        <v/>
      </c>
      <c r="L685" s="7" t="str">
        <f t="shared" ca="1" si="27"/>
        <v/>
      </c>
    </row>
    <row r="686" spans="5:12" x14ac:dyDescent="0.3">
      <c r="E686" s="7" t="str">
        <f t="shared" si="28"/>
        <v/>
      </c>
      <c r="H686" s="7" t="str">
        <f>IF(B686&lt;&gt;"Silicone","",IFERROR(XLOOKUP(D686,#REF!,#REF!),""))</f>
        <v/>
      </c>
      <c r="J686" s="7" t="str">
        <f ca="1">IFERROR(XLOOKUP(D686,'Spec_Single_H&amp;S'!B:B,'Spec_Single_H&amp;S'!E:E),
IFERROR(XLOOKUP(D686,#REF!,#REF!),""))</f>
        <v/>
      </c>
      <c r="K686" s="7" t="str">
        <f ca="1">IFERROR(XLOOKUP(D686,'Spec_Single_H&amp;S'!B:B,'Spec_Single_H&amp;S'!F:F),
IFERROR(XLOOKUP(D686,#REF!,#REF!),""))</f>
        <v/>
      </c>
      <c r="L686" s="7" t="str">
        <f t="shared" ca="1" si="27"/>
        <v/>
      </c>
    </row>
    <row r="687" spans="5:12" x14ac:dyDescent="0.3">
      <c r="E687" s="7" t="str">
        <f t="shared" si="28"/>
        <v/>
      </c>
      <c r="H687" s="7" t="str">
        <f>IF(B687&lt;&gt;"Silicone","",IFERROR(XLOOKUP(D687,#REF!,#REF!),""))</f>
        <v/>
      </c>
      <c r="J687" s="7" t="str">
        <f ca="1">IFERROR(XLOOKUP(D687,'Spec_Single_H&amp;S'!B:B,'Spec_Single_H&amp;S'!E:E),
IFERROR(XLOOKUP(D687,#REF!,#REF!),""))</f>
        <v/>
      </c>
      <c r="K687" s="7" t="str">
        <f ca="1">IFERROR(XLOOKUP(D687,'Spec_Single_H&amp;S'!B:B,'Spec_Single_H&amp;S'!F:F),
IFERROR(XLOOKUP(D687,#REF!,#REF!),""))</f>
        <v/>
      </c>
      <c r="L687" s="7" t="str">
        <f t="shared" ca="1" si="27"/>
        <v/>
      </c>
    </row>
    <row r="688" spans="5:12" x14ac:dyDescent="0.3">
      <c r="E688" s="7" t="str">
        <f t="shared" si="28"/>
        <v/>
      </c>
      <c r="H688" s="7" t="str">
        <f>IF(B688&lt;&gt;"Silicone","",IFERROR(XLOOKUP(D688,#REF!,#REF!),""))</f>
        <v/>
      </c>
      <c r="J688" s="7" t="str">
        <f ca="1">IFERROR(XLOOKUP(D688,'Spec_Single_H&amp;S'!B:B,'Spec_Single_H&amp;S'!E:E),
IFERROR(XLOOKUP(D688,#REF!,#REF!),""))</f>
        <v/>
      </c>
      <c r="K688" s="7" t="str">
        <f ca="1">IFERROR(XLOOKUP(D688,'Spec_Single_H&amp;S'!B:B,'Spec_Single_H&amp;S'!F:F),
IFERROR(XLOOKUP(D688,#REF!,#REF!),""))</f>
        <v/>
      </c>
      <c r="L688" s="7" t="str">
        <f t="shared" ca="1" si="27"/>
        <v/>
      </c>
    </row>
    <row r="689" spans="5:12" x14ac:dyDescent="0.3">
      <c r="E689" s="7" t="str">
        <f t="shared" si="28"/>
        <v/>
      </c>
      <c r="H689" s="7" t="str">
        <f>IF(B689&lt;&gt;"Silicone","",IFERROR(XLOOKUP(D689,#REF!,#REF!),""))</f>
        <v/>
      </c>
      <c r="J689" s="7" t="str">
        <f ca="1">IFERROR(XLOOKUP(D689,'Spec_Single_H&amp;S'!B:B,'Spec_Single_H&amp;S'!E:E),
IFERROR(XLOOKUP(D689,#REF!,#REF!),""))</f>
        <v/>
      </c>
      <c r="K689" s="7" t="str">
        <f ca="1">IFERROR(XLOOKUP(D689,'Spec_Single_H&amp;S'!B:B,'Spec_Single_H&amp;S'!F:F),
IFERROR(XLOOKUP(D689,#REF!,#REF!),""))</f>
        <v/>
      </c>
      <c r="L689" s="7" t="str">
        <f t="shared" ca="1" si="27"/>
        <v/>
      </c>
    </row>
    <row r="690" spans="5:12" x14ac:dyDescent="0.3">
      <c r="E690" s="7" t="str">
        <f t="shared" si="28"/>
        <v/>
      </c>
      <c r="H690" s="7" t="str">
        <f>IF(B690&lt;&gt;"Silicone","",IFERROR(XLOOKUP(D690,#REF!,#REF!),""))</f>
        <v/>
      </c>
      <c r="J690" s="7" t="str">
        <f ca="1">IFERROR(XLOOKUP(D690,'Spec_Single_H&amp;S'!B:B,'Spec_Single_H&amp;S'!E:E),
IFERROR(XLOOKUP(D690,#REF!,#REF!),""))</f>
        <v/>
      </c>
      <c r="K690" s="7" t="str">
        <f ca="1">IFERROR(XLOOKUP(D690,'Spec_Single_H&amp;S'!B:B,'Spec_Single_H&amp;S'!F:F),
IFERROR(XLOOKUP(D690,#REF!,#REF!),""))</f>
        <v/>
      </c>
      <c r="L690" s="7" t="str">
        <f t="shared" ca="1" si="27"/>
        <v/>
      </c>
    </row>
    <row r="691" spans="5:12" x14ac:dyDescent="0.3">
      <c r="E691" s="7" t="str">
        <f t="shared" si="28"/>
        <v/>
      </c>
      <c r="H691" s="7" t="str">
        <f>IF(B691&lt;&gt;"Silicone","",IFERROR(XLOOKUP(D691,#REF!,#REF!),""))</f>
        <v/>
      </c>
      <c r="J691" s="7" t="str">
        <f ca="1">IFERROR(XLOOKUP(D691,'Spec_Single_H&amp;S'!B:B,'Spec_Single_H&amp;S'!E:E),
IFERROR(XLOOKUP(D691,#REF!,#REF!),""))</f>
        <v/>
      </c>
      <c r="K691" s="7" t="str">
        <f ca="1">IFERROR(XLOOKUP(D691,'Spec_Single_H&amp;S'!B:B,'Spec_Single_H&amp;S'!F:F),
IFERROR(XLOOKUP(D691,#REF!,#REF!),""))</f>
        <v/>
      </c>
      <c r="L691" s="7" t="str">
        <f t="shared" ca="1" si="27"/>
        <v/>
      </c>
    </row>
    <row r="692" spans="5:12" x14ac:dyDescent="0.3">
      <c r="E692" s="7" t="str">
        <f t="shared" si="28"/>
        <v/>
      </c>
      <c r="H692" s="7" t="str">
        <f>IF(B692&lt;&gt;"Silicone","",IFERROR(XLOOKUP(D692,#REF!,#REF!),""))</f>
        <v/>
      </c>
      <c r="J692" s="7" t="str">
        <f ca="1">IFERROR(XLOOKUP(D692,'Spec_Single_H&amp;S'!B:B,'Spec_Single_H&amp;S'!E:E),
IFERROR(XLOOKUP(D692,#REF!,#REF!),""))</f>
        <v/>
      </c>
      <c r="K692" s="7" t="str">
        <f ca="1">IFERROR(XLOOKUP(D692,'Spec_Single_H&amp;S'!B:B,'Spec_Single_H&amp;S'!F:F),
IFERROR(XLOOKUP(D692,#REF!,#REF!),""))</f>
        <v/>
      </c>
      <c r="L692" s="7" t="str">
        <f t="shared" ca="1" si="27"/>
        <v/>
      </c>
    </row>
    <row r="693" spans="5:12" x14ac:dyDescent="0.3">
      <c r="E693" s="7" t="str">
        <f t="shared" si="28"/>
        <v/>
      </c>
      <c r="H693" s="7" t="str">
        <f>IF(B693&lt;&gt;"Silicone","",IFERROR(XLOOKUP(D693,#REF!,#REF!),""))</f>
        <v/>
      </c>
      <c r="J693" s="7" t="str">
        <f ca="1">IFERROR(XLOOKUP(D693,'Spec_Single_H&amp;S'!B:B,'Spec_Single_H&amp;S'!E:E),
IFERROR(XLOOKUP(D693,#REF!,#REF!),""))</f>
        <v/>
      </c>
      <c r="K693" s="7" t="str">
        <f ca="1">IFERROR(XLOOKUP(D693,'Spec_Single_H&amp;S'!B:B,'Spec_Single_H&amp;S'!F:F),
IFERROR(XLOOKUP(D693,#REF!,#REF!),""))</f>
        <v/>
      </c>
      <c r="L693" s="7" t="str">
        <f t="shared" ca="1" si="27"/>
        <v/>
      </c>
    </row>
    <row r="694" spans="5:12" x14ac:dyDescent="0.3">
      <c r="E694" s="7" t="str">
        <f t="shared" si="28"/>
        <v/>
      </c>
      <c r="H694" s="7" t="str">
        <f>IF(B694&lt;&gt;"Silicone","",IFERROR(XLOOKUP(D694,#REF!,#REF!),""))</f>
        <v/>
      </c>
      <c r="J694" s="7" t="str">
        <f ca="1">IFERROR(XLOOKUP(D694,'Spec_Single_H&amp;S'!B:B,'Spec_Single_H&amp;S'!E:E),
IFERROR(XLOOKUP(D694,#REF!,#REF!),""))</f>
        <v/>
      </c>
      <c r="K694" s="7" t="str">
        <f ca="1">IFERROR(XLOOKUP(D694,'Spec_Single_H&amp;S'!B:B,'Spec_Single_H&amp;S'!F:F),
IFERROR(XLOOKUP(D694,#REF!,#REF!),""))</f>
        <v/>
      </c>
      <c r="L694" s="7" t="str">
        <f t="shared" ca="1" si="27"/>
        <v/>
      </c>
    </row>
    <row r="695" spans="5:12" x14ac:dyDescent="0.3">
      <c r="E695" s="7" t="str">
        <f t="shared" si="28"/>
        <v/>
      </c>
      <c r="H695" s="7" t="str">
        <f>IF(B695&lt;&gt;"Silicone","",IFERROR(XLOOKUP(D695,#REF!,#REF!),""))</f>
        <v/>
      </c>
      <c r="J695" s="7" t="str">
        <f ca="1">IFERROR(XLOOKUP(D695,'Spec_Single_H&amp;S'!B:B,'Spec_Single_H&amp;S'!E:E),
IFERROR(XLOOKUP(D695,#REF!,#REF!),""))</f>
        <v/>
      </c>
      <c r="K695" s="7" t="str">
        <f ca="1">IFERROR(XLOOKUP(D695,'Spec_Single_H&amp;S'!B:B,'Spec_Single_H&amp;S'!F:F),
IFERROR(XLOOKUP(D695,#REF!,#REF!),""))</f>
        <v/>
      </c>
      <c r="L695" s="7" t="str">
        <f t="shared" ca="1" si="27"/>
        <v/>
      </c>
    </row>
    <row r="696" spans="5:12" x14ac:dyDescent="0.3">
      <c r="E696" s="7" t="str">
        <f t="shared" si="28"/>
        <v/>
      </c>
      <c r="H696" s="7" t="str">
        <f>IF(B696&lt;&gt;"Silicone","",IFERROR(XLOOKUP(D696,#REF!,#REF!),""))</f>
        <v/>
      </c>
      <c r="J696" s="7" t="str">
        <f ca="1">IFERROR(XLOOKUP(D696,'Spec_Single_H&amp;S'!B:B,'Spec_Single_H&amp;S'!E:E),
IFERROR(XLOOKUP(D696,#REF!,#REF!),""))</f>
        <v/>
      </c>
      <c r="K696" s="7" t="str">
        <f ca="1">IFERROR(XLOOKUP(D696,'Spec_Single_H&amp;S'!B:B,'Spec_Single_H&amp;S'!F:F),
IFERROR(XLOOKUP(D696,#REF!,#REF!),""))</f>
        <v/>
      </c>
      <c r="L696" s="7" t="str">
        <f t="shared" ca="1" si="27"/>
        <v/>
      </c>
    </row>
    <row r="697" spans="5:12" x14ac:dyDescent="0.3">
      <c r="E697" s="7" t="str">
        <f t="shared" si="28"/>
        <v/>
      </c>
      <c r="H697" s="7" t="str">
        <f>IF(B697&lt;&gt;"Silicone","",IFERROR(XLOOKUP(D697,#REF!,#REF!),""))</f>
        <v/>
      </c>
      <c r="J697" s="7" t="str">
        <f ca="1">IFERROR(XLOOKUP(D697,'Spec_Single_H&amp;S'!B:B,'Spec_Single_H&amp;S'!E:E),
IFERROR(XLOOKUP(D697,#REF!,#REF!),""))</f>
        <v/>
      </c>
      <c r="K697" s="7" t="str">
        <f ca="1">IFERROR(XLOOKUP(D697,'Spec_Single_H&amp;S'!B:B,'Spec_Single_H&amp;S'!F:F),
IFERROR(XLOOKUP(D697,#REF!,#REF!),""))</f>
        <v/>
      </c>
      <c r="L697" s="7" t="str">
        <f t="shared" ca="1" si="27"/>
        <v/>
      </c>
    </row>
    <row r="698" spans="5:12" x14ac:dyDescent="0.3">
      <c r="E698" s="7" t="str">
        <f t="shared" si="28"/>
        <v/>
      </c>
      <c r="H698" s="7" t="str">
        <f>IF(B698&lt;&gt;"Silicone","",IFERROR(XLOOKUP(D698,#REF!,#REF!),""))</f>
        <v/>
      </c>
      <c r="J698" s="7" t="str">
        <f ca="1">IFERROR(XLOOKUP(D698,'Spec_Single_H&amp;S'!B:B,'Spec_Single_H&amp;S'!E:E),
IFERROR(XLOOKUP(D698,#REF!,#REF!),""))</f>
        <v/>
      </c>
      <c r="K698" s="7" t="str">
        <f ca="1">IFERROR(XLOOKUP(D698,'Spec_Single_H&amp;S'!B:B,'Spec_Single_H&amp;S'!F:F),
IFERROR(XLOOKUP(D698,#REF!,#REF!),""))</f>
        <v/>
      </c>
      <c r="L698" s="7" t="str">
        <f t="shared" ca="1" si="27"/>
        <v/>
      </c>
    </row>
    <row r="699" spans="5:12" x14ac:dyDescent="0.3">
      <c r="E699" s="7" t="str">
        <f t="shared" si="28"/>
        <v/>
      </c>
      <c r="H699" s="7" t="str">
        <f>IF(B699&lt;&gt;"Silicone","",IFERROR(XLOOKUP(D699,#REF!,#REF!),""))</f>
        <v/>
      </c>
      <c r="J699" s="7" t="str">
        <f ca="1">IFERROR(XLOOKUP(D699,'Spec_Single_H&amp;S'!B:B,'Spec_Single_H&amp;S'!E:E),
IFERROR(XLOOKUP(D699,#REF!,#REF!),""))</f>
        <v/>
      </c>
      <c r="K699" s="7" t="str">
        <f ca="1">IFERROR(XLOOKUP(D699,'Spec_Single_H&amp;S'!B:B,'Spec_Single_H&amp;S'!F:F),
IFERROR(XLOOKUP(D699,#REF!,#REF!),""))</f>
        <v/>
      </c>
      <c r="L699" s="7" t="str">
        <f t="shared" ca="1" si="27"/>
        <v/>
      </c>
    </row>
    <row r="700" spans="5:12" x14ac:dyDescent="0.3">
      <c r="E700" s="7" t="str">
        <f t="shared" si="28"/>
        <v/>
      </c>
      <c r="H700" s="7" t="str">
        <f>IF(B700&lt;&gt;"Silicone","",IFERROR(XLOOKUP(D700,#REF!,#REF!),""))</f>
        <v/>
      </c>
      <c r="J700" s="7" t="str">
        <f ca="1">IFERROR(XLOOKUP(D700,'Spec_Single_H&amp;S'!B:B,'Spec_Single_H&amp;S'!E:E),
IFERROR(XLOOKUP(D700,#REF!,#REF!),""))</f>
        <v/>
      </c>
      <c r="K700" s="7" t="str">
        <f ca="1">IFERROR(XLOOKUP(D700,'Spec_Single_H&amp;S'!B:B,'Spec_Single_H&amp;S'!F:F),
IFERROR(XLOOKUP(D700,#REF!,#REF!),""))</f>
        <v/>
      </c>
      <c r="L700" s="7" t="str">
        <f t="shared" ca="1" si="27"/>
        <v/>
      </c>
    </row>
    <row r="701" spans="5:12" x14ac:dyDescent="0.3">
      <c r="E701" s="7" t="str">
        <f t="shared" si="28"/>
        <v/>
      </c>
      <c r="H701" s="7" t="str">
        <f>IF(B701&lt;&gt;"Silicone","",IFERROR(XLOOKUP(D701,#REF!,#REF!),""))</f>
        <v/>
      </c>
      <c r="J701" s="7" t="str">
        <f ca="1">IFERROR(XLOOKUP(D701,'Spec_Single_H&amp;S'!B:B,'Spec_Single_H&amp;S'!E:E),
IFERROR(XLOOKUP(D701,#REF!,#REF!),""))</f>
        <v/>
      </c>
      <c r="K701" s="7" t="str">
        <f ca="1">IFERROR(XLOOKUP(D701,'Spec_Single_H&amp;S'!B:B,'Spec_Single_H&amp;S'!F:F),
IFERROR(XLOOKUP(D701,#REF!,#REF!),""))</f>
        <v/>
      </c>
      <c r="L701" s="7" t="str">
        <f t="shared" ca="1" si="27"/>
        <v/>
      </c>
    </row>
    <row r="702" spans="5:12" x14ac:dyDescent="0.3">
      <c r="E702" s="7" t="str">
        <f t="shared" si="28"/>
        <v/>
      </c>
      <c r="H702" s="7" t="str">
        <f>IF(B702&lt;&gt;"Silicone","",IFERROR(XLOOKUP(D702,#REF!,#REF!),""))</f>
        <v/>
      </c>
      <c r="J702" s="7" t="str">
        <f ca="1">IFERROR(XLOOKUP(D702,'Spec_Single_H&amp;S'!B:B,'Spec_Single_H&amp;S'!E:E),
IFERROR(XLOOKUP(D702,#REF!,#REF!),""))</f>
        <v/>
      </c>
      <c r="K702" s="7" t="str">
        <f ca="1">IFERROR(XLOOKUP(D702,'Spec_Single_H&amp;S'!B:B,'Spec_Single_H&amp;S'!F:F),
IFERROR(XLOOKUP(D702,#REF!,#REF!),""))</f>
        <v/>
      </c>
      <c r="L702" s="7" t="str">
        <f t="shared" ca="1" si="27"/>
        <v/>
      </c>
    </row>
    <row r="703" spans="5:12" x14ac:dyDescent="0.3">
      <c r="E703" s="7" t="str">
        <f t="shared" si="28"/>
        <v/>
      </c>
      <c r="H703" s="7" t="str">
        <f>IF(B703&lt;&gt;"Silicone","",IFERROR(XLOOKUP(D703,#REF!,#REF!),""))</f>
        <v/>
      </c>
      <c r="J703" s="7" t="str">
        <f ca="1">IFERROR(XLOOKUP(D703,'Spec_Single_H&amp;S'!B:B,'Spec_Single_H&amp;S'!E:E),
IFERROR(XLOOKUP(D703,#REF!,#REF!),""))</f>
        <v/>
      </c>
      <c r="K703" s="7" t="str">
        <f ca="1">IFERROR(XLOOKUP(D703,'Spec_Single_H&amp;S'!B:B,'Spec_Single_H&amp;S'!F:F),
IFERROR(XLOOKUP(D703,#REF!,#REF!),""))</f>
        <v/>
      </c>
      <c r="L703" s="7" t="str">
        <f t="shared" ca="1" si="27"/>
        <v/>
      </c>
    </row>
    <row r="704" spans="5:12" x14ac:dyDescent="0.3">
      <c r="E704" s="7" t="str">
        <f t="shared" si="28"/>
        <v/>
      </c>
      <c r="H704" s="7" t="str">
        <f>IF(B704&lt;&gt;"Silicone","",IFERROR(XLOOKUP(D704,#REF!,#REF!),""))</f>
        <v/>
      </c>
      <c r="J704" s="7" t="str">
        <f ca="1">IFERROR(XLOOKUP(D704,'Spec_Single_H&amp;S'!B:B,'Spec_Single_H&amp;S'!E:E),
IFERROR(XLOOKUP(D704,#REF!,#REF!),""))</f>
        <v/>
      </c>
      <c r="K704" s="7" t="str">
        <f ca="1">IFERROR(XLOOKUP(D704,'Spec_Single_H&amp;S'!B:B,'Spec_Single_H&amp;S'!F:F),
IFERROR(XLOOKUP(D704,#REF!,#REF!),""))</f>
        <v/>
      </c>
      <c r="L704" s="7" t="str">
        <f t="shared" ca="1" si="27"/>
        <v/>
      </c>
    </row>
    <row r="705" spans="5:12" x14ac:dyDescent="0.3">
      <c r="E705" s="7" t="str">
        <f t="shared" si="28"/>
        <v/>
      </c>
      <c r="H705" s="7" t="str">
        <f>IF(B705&lt;&gt;"Silicone","",IFERROR(XLOOKUP(D705,#REF!,#REF!),""))</f>
        <v/>
      </c>
      <c r="J705" s="7" t="str">
        <f ca="1">IFERROR(XLOOKUP(D705,'Spec_Single_H&amp;S'!B:B,'Spec_Single_H&amp;S'!E:E),
IFERROR(XLOOKUP(D705,#REF!,#REF!),""))</f>
        <v/>
      </c>
      <c r="K705" s="7" t="str">
        <f ca="1">IFERROR(XLOOKUP(D705,'Spec_Single_H&amp;S'!B:B,'Spec_Single_H&amp;S'!F:F),
IFERROR(XLOOKUP(D705,#REF!,#REF!),""))</f>
        <v/>
      </c>
      <c r="L705" s="7" t="str">
        <f t="shared" ca="1" si="27"/>
        <v/>
      </c>
    </row>
    <row r="706" spans="5:12" x14ac:dyDescent="0.3">
      <c r="E706" s="7" t="str">
        <f t="shared" si="28"/>
        <v/>
      </c>
      <c r="H706" s="7" t="str">
        <f>IF(B706&lt;&gt;"Silicone","",IFERROR(XLOOKUP(D706,#REF!,#REF!),""))</f>
        <v/>
      </c>
      <c r="J706" s="7" t="str">
        <f ca="1">IFERROR(XLOOKUP(D706,'Spec_Single_H&amp;S'!B:B,'Spec_Single_H&amp;S'!E:E),
IFERROR(XLOOKUP(D706,#REF!,#REF!),""))</f>
        <v/>
      </c>
      <c r="K706" s="7" t="str">
        <f ca="1">IFERROR(XLOOKUP(D706,'Spec_Single_H&amp;S'!B:B,'Spec_Single_H&amp;S'!F:F),
IFERROR(XLOOKUP(D706,#REF!,#REF!),""))</f>
        <v/>
      </c>
      <c r="L706" s="7" t="str">
        <f t="shared" ca="1" si="27"/>
        <v/>
      </c>
    </row>
    <row r="707" spans="5:12" x14ac:dyDescent="0.3">
      <c r="E707" s="7" t="str">
        <f t="shared" si="28"/>
        <v/>
      </c>
      <c r="H707" s="7" t="str">
        <f>IF(B707&lt;&gt;"Silicone","",IFERROR(XLOOKUP(D707,#REF!,#REF!),""))</f>
        <v/>
      </c>
      <c r="J707" s="7" t="str">
        <f ca="1">IFERROR(XLOOKUP(D707,'Spec_Single_H&amp;S'!B:B,'Spec_Single_H&amp;S'!E:E),
IFERROR(XLOOKUP(D707,#REF!,#REF!),""))</f>
        <v/>
      </c>
      <c r="K707" s="7" t="str">
        <f ca="1">IFERROR(XLOOKUP(D707,'Spec_Single_H&amp;S'!B:B,'Spec_Single_H&amp;S'!F:F),
IFERROR(XLOOKUP(D707,#REF!,#REF!),""))</f>
        <v/>
      </c>
      <c r="L707" s="7" t="str">
        <f t="shared" ca="1" si="27"/>
        <v/>
      </c>
    </row>
    <row r="708" spans="5:12" x14ac:dyDescent="0.3">
      <c r="E708" s="7" t="str">
        <f t="shared" si="28"/>
        <v/>
      </c>
      <c r="H708" s="7" t="str">
        <f>IF(B708&lt;&gt;"Silicone","",IFERROR(XLOOKUP(D708,#REF!,#REF!),""))</f>
        <v/>
      </c>
      <c r="J708" s="7" t="str">
        <f ca="1">IFERROR(XLOOKUP(D708,'Spec_Single_H&amp;S'!B:B,'Spec_Single_H&amp;S'!E:E),
IFERROR(XLOOKUP(D708,#REF!,#REF!),""))</f>
        <v/>
      </c>
      <c r="K708" s="7" t="str">
        <f ca="1">IFERROR(XLOOKUP(D708,'Spec_Single_H&amp;S'!B:B,'Spec_Single_H&amp;S'!F:F),
IFERROR(XLOOKUP(D708,#REF!,#REF!),""))</f>
        <v/>
      </c>
      <c r="L708" s="7" t="str">
        <f t="shared" ca="1" si="27"/>
        <v/>
      </c>
    </row>
    <row r="709" spans="5:12" x14ac:dyDescent="0.3">
      <c r="E709" s="7" t="str">
        <f t="shared" si="28"/>
        <v/>
      </c>
      <c r="H709" s="7" t="str">
        <f>IF(B709&lt;&gt;"Silicone","",IFERROR(XLOOKUP(D709,#REF!,#REF!),""))</f>
        <v/>
      </c>
      <c r="J709" s="7" t="str">
        <f ca="1">IFERROR(XLOOKUP(D709,'Spec_Single_H&amp;S'!B:B,'Spec_Single_H&amp;S'!E:E),
IFERROR(XLOOKUP(D709,#REF!,#REF!),""))</f>
        <v/>
      </c>
      <c r="K709" s="7" t="str">
        <f ca="1">IFERROR(XLOOKUP(D709,'Spec_Single_H&amp;S'!B:B,'Spec_Single_H&amp;S'!F:F),
IFERROR(XLOOKUP(D709,#REF!,#REF!),""))</f>
        <v/>
      </c>
      <c r="L709" s="7" t="str">
        <f t="shared" ca="1" si="27"/>
        <v/>
      </c>
    </row>
    <row r="710" spans="5:12" x14ac:dyDescent="0.3">
      <c r="E710" s="7" t="str">
        <f t="shared" si="28"/>
        <v/>
      </c>
      <c r="H710" s="7" t="str">
        <f>IF(B710&lt;&gt;"Silicone","",IFERROR(XLOOKUP(D710,#REF!,#REF!),""))</f>
        <v/>
      </c>
      <c r="J710" s="7" t="str">
        <f ca="1">IFERROR(XLOOKUP(D710,'Spec_Single_H&amp;S'!B:B,'Spec_Single_H&amp;S'!E:E),
IFERROR(XLOOKUP(D710,#REF!,#REF!),""))</f>
        <v/>
      </c>
      <c r="K710" s="7" t="str">
        <f ca="1">IFERROR(XLOOKUP(D710,'Spec_Single_H&amp;S'!B:B,'Spec_Single_H&amp;S'!F:F),
IFERROR(XLOOKUP(D710,#REF!,#REF!),""))</f>
        <v/>
      </c>
      <c r="L710" s="7" t="str">
        <f t="shared" ca="1" si="27"/>
        <v/>
      </c>
    </row>
    <row r="711" spans="5:12" x14ac:dyDescent="0.3">
      <c r="E711" s="7" t="str">
        <f t="shared" si="28"/>
        <v/>
      </c>
      <c r="H711" s="7" t="str">
        <f>IF(B711&lt;&gt;"Silicone","",IFERROR(XLOOKUP(D711,#REF!,#REF!),""))</f>
        <v/>
      </c>
      <c r="J711" s="7" t="str">
        <f ca="1">IFERROR(XLOOKUP(D711,'Spec_Single_H&amp;S'!B:B,'Spec_Single_H&amp;S'!E:E),
IFERROR(XLOOKUP(D711,#REF!,#REF!),""))</f>
        <v/>
      </c>
      <c r="K711" s="7" t="str">
        <f ca="1">IFERROR(XLOOKUP(D711,'Spec_Single_H&amp;S'!B:B,'Spec_Single_H&amp;S'!F:F),
IFERROR(XLOOKUP(D711,#REF!,#REF!),""))</f>
        <v/>
      </c>
      <c r="L711" s="7" t="str">
        <f t="shared" ca="1" si="27"/>
        <v/>
      </c>
    </row>
    <row r="712" spans="5:12" x14ac:dyDescent="0.3">
      <c r="E712" s="7" t="str">
        <f t="shared" si="28"/>
        <v/>
      </c>
      <c r="H712" s="7" t="str">
        <f>IF(B712&lt;&gt;"Silicone","",IFERROR(XLOOKUP(D712,#REF!,#REF!),""))</f>
        <v/>
      </c>
      <c r="J712" s="7" t="str">
        <f ca="1">IFERROR(XLOOKUP(D712,'Spec_Single_H&amp;S'!B:B,'Spec_Single_H&amp;S'!E:E),
IFERROR(XLOOKUP(D712,#REF!,#REF!),""))</f>
        <v/>
      </c>
      <c r="K712" s="7" t="str">
        <f ca="1">IFERROR(XLOOKUP(D712,'Spec_Single_H&amp;S'!B:B,'Spec_Single_H&amp;S'!F:F),
IFERROR(XLOOKUP(D712,#REF!,#REF!),""))</f>
        <v/>
      </c>
      <c r="L712" s="7" t="str">
        <f t="shared" ref="L712:L775" ca="1" si="29">IF(AND(NOT(ISBLANK(I712)),I712&gt;=J712,I712&lt;=K712),"적합",IF(ISBLANK(I712),"", "부적합"))</f>
        <v/>
      </c>
    </row>
    <row r="713" spans="5:12" x14ac:dyDescent="0.3">
      <c r="E713" s="7" t="str">
        <f t="shared" ref="E713:E776" si="30">IF(D713="","",IF(B713="Silicone", "SL" &amp; IF(C713="Black","B",IF(C713="White","W",IF(C713="Blue","U",IF(C713="Green","G",IF(C713="Yellow","Y",IF(C713="Red","R",IF(C713="Pink","P",""))))))) &amp; TEXT(A713,"yymmdd") &amp; "01",IF(LEFT(D713,3)="NPL","NPL","PL") &amp; IF(C713="Black","B",IF(C713="White","W",IF(C713="Blue","U",IF(C713="Green","G",IF(C713="Yellow","Y",IF(C713="Red","R",IF(C713="Pink","P",""))))))) &amp; TEXT(A713,"yymmdd") &amp; "01"))</f>
        <v/>
      </c>
      <c r="H713" s="7" t="str">
        <f>IF(B713&lt;&gt;"Silicone","",IFERROR(XLOOKUP(D713,#REF!,#REF!),""))</f>
        <v/>
      </c>
      <c r="J713" s="7" t="str">
        <f ca="1">IFERROR(XLOOKUP(D713,'Spec_Single_H&amp;S'!B:B,'Spec_Single_H&amp;S'!E:E),
IFERROR(XLOOKUP(D713,#REF!,#REF!),""))</f>
        <v/>
      </c>
      <c r="K713" s="7" t="str">
        <f ca="1">IFERROR(XLOOKUP(D713,'Spec_Single_H&amp;S'!B:B,'Spec_Single_H&amp;S'!F:F),
IFERROR(XLOOKUP(D713,#REF!,#REF!),""))</f>
        <v/>
      </c>
      <c r="L713" s="7" t="str">
        <f t="shared" ca="1" si="29"/>
        <v/>
      </c>
    </row>
    <row r="714" spans="5:12" x14ac:dyDescent="0.3">
      <c r="E714" s="7" t="str">
        <f t="shared" si="30"/>
        <v/>
      </c>
      <c r="H714" s="7" t="str">
        <f>IF(B714&lt;&gt;"Silicone","",IFERROR(XLOOKUP(D714,#REF!,#REF!),""))</f>
        <v/>
      </c>
      <c r="J714" s="7" t="str">
        <f ca="1">IFERROR(XLOOKUP(D714,'Spec_Single_H&amp;S'!B:B,'Spec_Single_H&amp;S'!E:E),
IFERROR(XLOOKUP(D714,#REF!,#REF!),""))</f>
        <v/>
      </c>
      <c r="K714" s="7" t="str">
        <f ca="1">IFERROR(XLOOKUP(D714,'Spec_Single_H&amp;S'!B:B,'Spec_Single_H&amp;S'!F:F),
IFERROR(XLOOKUP(D714,#REF!,#REF!),""))</f>
        <v/>
      </c>
      <c r="L714" s="7" t="str">
        <f t="shared" ca="1" si="29"/>
        <v/>
      </c>
    </row>
    <row r="715" spans="5:12" x14ac:dyDescent="0.3">
      <c r="E715" s="7" t="str">
        <f t="shared" si="30"/>
        <v/>
      </c>
      <c r="H715" s="7" t="str">
        <f>IF(B715&lt;&gt;"Silicone","",IFERROR(XLOOKUP(D715,#REF!,#REF!),""))</f>
        <v/>
      </c>
      <c r="J715" s="7" t="str">
        <f ca="1">IFERROR(XLOOKUP(D715,'Spec_Single_H&amp;S'!B:B,'Spec_Single_H&amp;S'!E:E),
IFERROR(XLOOKUP(D715,#REF!,#REF!),""))</f>
        <v/>
      </c>
      <c r="K715" s="7" t="str">
        <f ca="1">IFERROR(XLOOKUP(D715,'Spec_Single_H&amp;S'!B:B,'Spec_Single_H&amp;S'!F:F),
IFERROR(XLOOKUP(D715,#REF!,#REF!),""))</f>
        <v/>
      </c>
      <c r="L715" s="7" t="str">
        <f t="shared" ca="1" si="29"/>
        <v/>
      </c>
    </row>
    <row r="716" spans="5:12" x14ac:dyDescent="0.3">
      <c r="E716" s="7" t="str">
        <f t="shared" si="30"/>
        <v/>
      </c>
      <c r="H716" s="7" t="str">
        <f>IF(B716&lt;&gt;"Silicone","",IFERROR(XLOOKUP(D716,#REF!,#REF!),""))</f>
        <v/>
      </c>
      <c r="J716" s="7" t="str">
        <f ca="1">IFERROR(XLOOKUP(D716,'Spec_Single_H&amp;S'!B:B,'Spec_Single_H&amp;S'!E:E),
IFERROR(XLOOKUP(D716,#REF!,#REF!),""))</f>
        <v/>
      </c>
      <c r="K716" s="7" t="str">
        <f ca="1">IFERROR(XLOOKUP(D716,'Spec_Single_H&amp;S'!B:B,'Spec_Single_H&amp;S'!F:F),
IFERROR(XLOOKUP(D716,#REF!,#REF!),""))</f>
        <v/>
      </c>
      <c r="L716" s="7" t="str">
        <f t="shared" ca="1" si="29"/>
        <v/>
      </c>
    </row>
    <row r="717" spans="5:12" x14ac:dyDescent="0.3">
      <c r="E717" s="7" t="str">
        <f t="shared" si="30"/>
        <v/>
      </c>
      <c r="H717" s="7" t="str">
        <f>IF(B717&lt;&gt;"Silicone","",IFERROR(XLOOKUP(D717,#REF!,#REF!),""))</f>
        <v/>
      </c>
      <c r="J717" s="7" t="str">
        <f ca="1">IFERROR(XLOOKUP(D717,'Spec_Single_H&amp;S'!B:B,'Spec_Single_H&amp;S'!E:E),
IFERROR(XLOOKUP(D717,#REF!,#REF!),""))</f>
        <v/>
      </c>
      <c r="K717" s="7" t="str">
        <f ca="1">IFERROR(XLOOKUP(D717,'Spec_Single_H&amp;S'!B:B,'Spec_Single_H&amp;S'!F:F),
IFERROR(XLOOKUP(D717,#REF!,#REF!),""))</f>
        <v/>
      </c>
      <c r="L717" s="7" t="str">
        <f t="shared" ca="1" si="29"/>
        <v/>
      </c>
    </row>
    <row r="718" spans="5:12" x14ac:dyDescent="0.3">
      <c r="E718" s="7" t="str">
        <f t="shared" si="30"/>
        <v/>
      </c>
      <c r="H718" s="7" t="str">
        <f>IF(B718&lt;&gt;"Silicone","",IFERROR(XLOOKUP(D718,#REF!,#REF!),""))</f>
        <v/>
      </c>
      <c r="J718" s="7" t="str">
        <f ca="1">IFERROR(XLOOKUP(D718,'Spec_Single_H&amp;S'!B:B,'Spec_Single_H&amp;S'!E:E),
IFERROR(XLOOKUP(D718,#REF!,#REF!),""))</f>
        <v/>
      </c>
      <c r="K718" s="7" t="str">
        <f ca="1">IFERROR(XLOOKUP(D718,'Spec_Single_H&amp;S'!B:B,'Spec_Single_H&amp;S'!F:F),
IFERROR(XLOOKUP(D718,#REF!,#REF!),""))</f>
        <v/>
      </c>
      <c r="L718" s="7" t="str">
        <f t="shared" ca="1" si="29"/>
        <v/>
      </c>
    </row>
    <row r="719" spans="5:12" x14ac:dyDescent="0.3">
      <c r="E719" s="7" t="str">
        <f t="shared" si="30"/>
        <v/>
      </c>
      <c r="H719" s="7" t="str">
        <f>IF(B719&lt;&gt;"Silicone","",IFERROR(XLOOKUP(D719,#REF!,#REF!),""))</f>
        <v/>
      </c>
      <c r="J719" s="7" t="str">
        <f ca="1">IFERROR(XLOOKUP(D719,'Spec_Single_H&amp;S'!B:B,'Spec_Single_H&amp;S'!E:E),
IFERROR(XLOOKUP(D719,#REF!,#REF!),""))</f>
        <v/>
      </c>
      <c r="K719" s="7" t="str">
        <f ca="1">IFERROR(XLOOKUP(D719,'Spec_Single_H&amp;S'!B:B,'Spec_Single_H&amp;S'!F:F),
IFERROR(XLOOKUP(D719,#REF!,#REF!),""))</f>
        <v/>
      </c>
      <c r="L719" s="7" t="str">
        <f t="shared" ca="1" si="29"/>
        <v/>
      </c>
    </row>
    <row r="720" spans="5:12" x14ac:dyDescent="0.3">
      <c r="E720" s="7" t="str">
        <f t="shared" si="30"/>
        <v/>
      </c>
      <c r="H720" s="7" t="str">
        <f>IF(B720&lt;&gt;"Silicone","",IFERROR(XLOOKUP(D720,#REF!,#REF!),""))</f>
        <v/>
      </c>
      <c r="J720" s="7" t="str">
        <f ca="1">IFERROR(XLOOKUP(D720,'Spec_Single_H&amp;S'!B:B,'Spec_Single_H&amp;S'!E:E),
IFERROR(XLOOKUP(D720,#REF!,#REF!),""))</f>
        <v/>
      </c>
      <c r="K720" s="7" t="str">
        <f ca="1">IFERROR(XLOOKUP(D720,'Spec_Single_H&amp;S'!B:B,'Spec_Single_H&amp;S'!F:F),
IFERROR(XLOOKUP(D720,#REF!,#REF!),""))</f>
        <v/>
      </c>
      <c r="L720" s="7" t="str">
        <f t="shared" ca="1" si="29"/>
        <v/>
      </c>
    </row>
    <row r="721" spans="5:12" x14ac:dyDescent="0.3">
      <c r="E721" s="7" t="str">
        <f t="shared" si="30"/>
        <v/>
      </c>
      <c r="H721" s="7" t="str">
        <f>IF(B721&lt;&gt;"Silicone","",IFERROR(XLOOKUP(D721,#REF!,#REF!),""))</f>
        <v/>
      </c>
      <c r="J721" s="7" t="str">
        <f ca="1">IFERROR(XLOOKUP(D721,'Spec_Single_H&amp;S'!B:B,'Spec_Single_H&amp;S'!E:E),
IFERROR(XLOOKUP(D721,#REF!,#REF!),""))</f>
        <v/>
      </c>
      <c r="K721" s="7" t="str">
        <f ca="1">IFERROR(XLOOKUP(D721,'Spec_Single_H&amp;S'!B:B,'Spec_Single_H&amp;S'!F:F),
IFERROR(XLOOKUP(D721,#REF!,#REF!),""))</f>
        <v/>
      </c>
      <c r="L721" s="7" t="str">
        <f t="shared" ca="1" si="29"/>
        <v/>
      </c>
    </row>
    <row r="722" spans="5:12" x14ac:dyDescent="0.3">
      <c r="E722" s="7" t="str">
        <f t="shared" si="30"/>
        <v/>
      </c>
      <c r="H722" s="7" t="str">
        <f>IF(B722&lt;&gt;"Silicone","",IFERROR(XLOOKUP(D722,#REF!,#REF!),""))</f>
        <v/>
      </c>
      <c r="J722" s="7" t="str">
        <f ca="1">IFERROR(XLOOKUP(D722,'Spec_Single_H&amp;S'!B:B,'Spec_Single_H&amp;S'!E:E),
IFERROR(XLOOKUP(D722,#REF!,#REF!),""))</f>
        <v/>
      </c>
      <c r="K722" s="7" t="str">
        <f ca="1">IFERROR(XLOOKUP(D722,'Spec_Single_H&amp;S'!B:B,'Spec_Single_H&amp;S'!F:F),
IFERROR(XLOOKUP(D722,#REF!,#REF!),""))</f>
        <v/>
      </c>
      <c r="L722" s="7" t="str">
        <f t="shared" ca="1" si="29"/>
        <v/>
      </c>
    </row>
    <row r="723" spans="5:12" x14ac:dyDescent="0.3">
      <c r="E723" s="7" t="str">
        <f t="shared" si="30"/>
        <v/>
      </c>
      <c r="H723" s="7" t="str">
        <f>IF(B723&lt;&gt;"Silicone","",IFERROR(XLOOKUP(D723,#REF!,#REF!),""))</f>
        <v/>
      </c>
      <c r="J723" s="7" t="str">
        <f ca="1">IFERROR(XLOOKUP(D723,'Spec_Single_H&amp;S'!B:B,'Spec_Single_H&amp;S'!E:E),
IFERROR(XLOOKUP(D723,#REF!,#REF!),""))</f>
        <v/>
      </c>
      <c r="K723" s="7" t="str">
        <f ca="1">IFERROR(XLOOKUP(D723,'Spec_Single_H&amp;S'!B:B,'Spec_Single_H&amp;S'!F:F),
IFERROR(XLOOKUP(D723,#REF!,#REF!),""))</f>
        <v/>
      </c>
      <c r="L723" s="7" t="str">
        <f t="shared" ca="1" si="29"/>
        <v/>
      </c>
    </row>
    <row r="724" spans="5:12" x14ac:dyDescent="0.3">
      <c r="E724" s="7" t="str">
        <f t="shared" si="30"/>
        <v/>
      </c>
      <c r="H724" s="7" t="str">
        <f>IF(B724&lt;&gt;"Silicone","",IFERROR(XLOOKUP(D724,#REF!,#REF!),""))</f>
        <v/>
      </c>
      <c r="J724" s="7" t="str">
        <f ca="1">IFERROR(XLOOKUP(D724,'Spec_Single_H&amp;S'!B:B,'Spec_Single_H&amp;S'!E:E),
IFERROR(XLOOKUP(D724,#REF!,#REF!),""))</f>
        <v/>
      </c>
      <c r="K724" s="7" t="str">
        <f ca="1">IFERROR(XLOOKUP(D724,'Spec_Single_H&amp;S'!B:B,'Spec_Single_H&amp;S'!F:F),
IFERROR(XLOOKUP(D724,#REF!,#REF!),""))</f>
        <v/>
      </c>
      <c r="L724" s="7" t="str">
        <f t="shared" ca="1" si="29"/>
        <v/>
      </c>
    </row>
    <row r="725" spans="5:12" x14ac:dyDescent="0.3">
      <c r="E725" s="7" t="str">
        <f t="shared" si="30"/>
        <v/>
      </c>
      <c r="H725" s="7" t="str">
        <f>IF(B725&lt;&gt;"Silicone","",IFERROR(XLOOKUP(D725,#REF!,#REF!),""))</f>
        <v/>
      </c>
      <c r="J725" s="7" t="str">
        <f ca="1">IFERROR(XLOOKUP(D725,'Spec_Single_H&amp;S'!B:B,'Spec_Single_H&amp;S'!E:E),
IFERROR(XLOOKUP(D725,#REF!,#REF!),""))</f>
        <v/>
      </c>
      <c r="K725" s="7" t="str">
        <f ca="1">IFERROR(XLOOKUP(D725,'Spec_Single_H&amp;S'!B:B,'Spec_Single_H&amp;S'!F:F),
IFERROR(XLOOKUP(D725,#REF!,#REF!),""))</f>
        <v/>
      </c>
      <c r="L725" s="7" t="str">
        <f t="shared" ca="1" si="29"/>
        <v/>
      </c>
    </row>
    <row r="726" spans="5:12" x14ac:dyDescent="0.3">
      <c r="E726" s="7" t="str">
        <f t="shared" si="30"/>
        <v/>
      </c>
      <c r="H726" s="7" t="str">
        <f>IF(B726&lt;&gt;"Silicone","",IFERROR(XLOOKUP(D726,#REF!,#REF!),""))</f>
        <v/>
      </c>
      <c r="J726" s="7" t="str">
        <f ca="1">IFERROR(XLOOKUP(D726,'Spec_Single_H&amp;S'!B:B,'Spec_Single_H&amp;S'!E:E),
IFERROR(XLOOKUP(D726,#REF!,#REF!),""))</f>
        <v/>
      </c>
      <c r="K726" s="7" t="str">
        <f ca="1">IFERROR(XLOOKUP(D726,'Spec_Single_H&amp;S'!B:B,'Spec_Single_H&amp;S'!F:F),
IFERROR(XLOOKUP(D726,#REF!,#REF!),""))</f>
        <v/>
      </c>
      <c r="L726" s="7" t="str">
        <f t="shared" ca="1" si="29"/>
        <v/>
      </c>
    </row>
    <row r="727" spans="5:12" x14ac:dyDescent="0.3">
      <c r="E727" s="7" t="str">
        <f t="shared" si="30"/>
        <v/>
      </c>
      <c r="H727" s="7" t="str">
        <f>IF(B727&lt;&gt;"Silicone","",IFERROR(XLOOKUP(D727,#REF!,#REF!),""))</f>
        <v/>
      </c>
      <c r="J727" s="7" t="str">
        <f ca="1">IFERROR(XLOOKUP(D727,'Spec_Single_H&amp;S'!B:B,'Spec_Single_H&amp;S'!E:E),
IFERROR(XLOOKUP(D727,#REF!,#REF!),""))</f>
        <v/>
      </c>
      <c r="K727" s="7" t="str">
        <f ca="1">IFERROR(XLOOKUP(D727,'Spec_Single_H&amp;S'!B:B,'Spec_Single_H&amp;S'!F:F),
IFERROR(XLOOKUP(D727,#REF!,#REF!),""))</f>
        <v/>
      </c>
      <c r="L727" s="7" t="str">
        <f t="shared" ca="1" si="29"/>
        <v/>
      </c>
    </row>
    <row r="728" spans="5:12" x14ac:dyDescent="0.3">
      <c r="E728" s="7" t="str">
        <f t="shared" si="30"/>
        <v/>
      </c>
      <c r="H728" s="7" t="str">
        <f>IF(B728&lt;&gt;"Silicone","",IFERROR(XLOOKUP(D728,#REF!,#REF!),""))</f>
        <v/>
      </c>
      <c r="J728" s="7" t="str">
        <f ca="1">IFERROR(XLOOKUP(D728,'Spec_Single_H&amp;S'!B:B,'Spec_Single_H&amp;S'!E:E),
IFERROR(XLOOKUP(D728,#REF!,#REF!),""))</f>
        <v/>
      </c>
      <c r="K728" s="7" t="str">
        <f ca="1">IFERROR(XLOOKUP(D728,'Spec_Single_H&amp;S'!B:B,'Spec_Single_H&amp;S'!F:F),
IFERROR(XLOOKUP(D728,#REF!,#REF!),""))</f>
        <v/>
      </c>
      <c r="L728" s="7" t="str">
        <f t="shared" ca="1" si="29"/>
        <v/>
      </c>
    </row>
    <row r="729" spans="5:12" x14ac:dyDescent="0.3">
      <c r="E729" s="7" t="str">
        <f t="shared" si="30"/>
        <v/>
      </c>
      <c r="H729" s="7" t="str">
        <f>IF(B729&lt;&gt;"Silicone","",IFERROR(XLOOKUP(D729,#REF!,#REF!),""))</f>
        <v/>
      </c>
      <c r="J729" s="7" t="str">
        <f ca="1">IFERROR(XLOOKUP(D729,'Spec_Single_H&amp;S'!B:B,'Spec_Single_H&amp;S'!E:E),
IFERROR(XLOOKUP(D729,#REF!,#REF!),""))</f>
        <v/>
      </c>
      <c r="K729" s="7" t="str">
        <f ca="1">IFERROR(XLOOKUP(D729,'Spec_Single_H&amp;S'!B:B,'Spec_Single_H&amp;S'!F:F),
IFERROR(XLOOKUP(D729,#REF!,#REF!),""))</f>
        <v/>
      </c>
      <c r="L729" s="7" t="str">
        <f t="shared" ca="1" si="29"/>
        <v/>
      </c>
    </row>
    <row r="730" spans="5:12" x14ac:dyDescent="0.3">
      <c r="E730" s="7" t="str">
        <f t="shared" si="30"/>
        <v/>
      </c>
      <c r="H730" s="7" t="str">
        <f>IF(B730&lt;&gt;"Silicone","",IFERROR(XLOOKUP(D730,#REF!,#REF!),""))</f>
        <v/>
      </c>
      <c r="J730" s="7" t="str">
        <f ca="1">IFERROR(XLOOKUP(D730,'Spec_Single_H&amp;S'!B:B,'Spec_Single_H&amp;S'!E:E),
IFERROR(XLOOKUP(D730,#REF!,#REF!),""))</f>
        <v/>
      </c>
      <c r="K730" s="7" t="str">
        <f ca="1">IFERROR(XLOOKUP(D730,'Spec_Single_H&amp;S'!B:B,'Spec_Single_H&amp;S'!F:F),
IFERROR(XLOOKUP(D730,#REF!,#REF!),""))</f>
        <v/>
      </c>
      <c r="L730" s="7" t="str">
        <f t="shared" ca="1" si="29"/>
        <v/>
      </c>
    </row>
    <row r="731" spans="5:12" x14ac:dyDescent="0.3">
      <c r="E731" s="7" t="str">
        <f t="shared" si="30"/>
        <v/>
      </c>
      <c r="H731" s="7" t="str">
        <f>IF(B731&lt;&gt;"Silicone","",IFERROR(XLOOKUP(D731,#REF!,#REF!),""))</f>
        <v/>
      </c>
      <c r="J731" s="7" t="str">
        <f ca="1">IFERROR(XLOOKUP(D731,'Spec_Single_H&amp;S'!B:B,'Spec_Single_H&amp;S'!E:E),
IFERROR(XLOOKUP(D731,#REF!,#REF!),""))</f>
        <v/>
      </c>
      <c r="K731" s="7" t="str">
        <f ca="1">IFERROR(XLOOKUP(D731,'Spec_Single_H&amp;S'!B:B,'Spec_Single_H&amp;S'!F:F),
IFERROR(XLOOKUP(D731,#REF!,#REF!),""))</f>
        <v/>
      </c>
      <c r="L731" s="7" t="str">
        <f t="shared" ca="1" si="29"/>
        <v/>
      </c>
    </row>
    <row r="732" spans="5:12" x14ac:dyDescent="0.3">
      <c r="E732" s="7" t="str">
        <f t="shared" si="30"/>
        <v/>
      </c>
      <c r="H732" s="7" t="str">
        <f>IF(B732&lt;&gt;"Silicone","",IFERROR(XLOOKUP(D732,#REF!,#REF!),""))</f>
        <v/>
      </c>
      <c r="J732" s="7" t="str">
        <f ca="1">IFERROR(XLOOKUP(D732,'Spec_Single_H&amp;S'!B:B,'Spec_Single_H&amp;S'!E:E),
IFERROR(XLOOKUP(D732,#REF!,#REF!),""))</f>
        <v/>
      </c>
      <c r="K732" s="7" t="str">
        <f ca="1">IFERROR(XLOOKUP(D732,'Spec_Single_H&amp;S'!B:B,'Spec_Single_H&amp;S'!F:F),
IFERROR(XLOOKUP(D732,#REF!,#REF!),""))</f>
        <v/>
      </c>
      <c r="L732" s="7" t="str">
        <f t="shared" ca="1" si="29"/>
        <v/>
      </c>
    </row>
    <row r="733" spans="5:12" x14ac:dyDescent="0.3">
      <c r="E733" s="7" t="str">
        <f t="shared" si="30"/>
        <v/>
      </c>
      <c r="H733" s="7" t="str">
        <f>IF(B733&lt;&gt;"Silicone","",IFERROR(XLOOKUP(D733,#REF!,#REF!),""))</f>
        <v/>
      </c>
      <c r="J733" s="7" t="str">
        <f ca="1">IFERROR(XLOOKUP(D733,'Spec_Single_H&amp;S'!B:B,'Spec_Single_H&amp;S'!E:E),
IFERROR(XLOOKUP(D733,#REF!,#REF!),""))</f>
        <v/>
      </c>
      <c r="K733" s="7" t="str">
        <f ca="1">IFERROR(XLOOKUP(D733,'Spec_Single_H&amp;S'!B:B,'Spec_Single_H&amp;S'!F:F),
IFERROR(XLOOKUP(D733,#REF!,#REF!),""))</f>
        <v/>
      </c>
      <c r="L733" s="7" t="str">
        <f t="shared" ca="1" si="29"/>
        <v/>
      </c>
    </row>
    <row r="734" spans="5:12" x14ac:dyDescent="0.3">
      <c r="E734" s="7" t="str">
        <f t="shared" si="30"/>
        <v/>
      </c>
      <c r="H734" s="7" t="str">
        <f>IF(B734&lt;&gt;"Silicone","",IFERROR(XLOOKUP(D734,#REF!,#REF!),""))</f>
        <v/>
      </c>
      <c r="J734" s="7" t="str">
        <f ca="1">IFERROR(XLOOKUP(D734,'Spec_Single_H&amp;S'!B:B,'Spec_Single_H&amp;S'!E:E),
IFERROR(XLOOKUP(D734,#REF!,#REF!),""))</f>
        <v/>
      </c>
      <c r="K734" s="7" t="str">
        <f ca="1">IFERROR(XLOOKUP(D734,'Spec_Single_H&amp;S'!B:B,'Spec_Single_H&amp;S'!F:F),
IFERROR(XLOOKUP(D734,#REF!,#REF!),""))</f>
        <v/>
      </c>
      <c r="L734" s="7" t="str">
        <f t="shared" ca="1" si="29"/>
        <v/>
      </c>
    </row>
    <row r="735" spans="5:12" x14ac:dyDescent="0.3">
      <c r="E735" s="7" t="str">
        <f t="shared" si="30"/>
        <v/>
      </c>
      <c r="H735" s="7" t="str">
        <f>IF(B735&lt;&gt;"Silicone","",IFERROR(XLOOKUP(D735,#REF!,#REF!),""))</f>
        <v/>
      </c>
      <c r="J735" s="7" t="str">
        <f ca="1">IFERROR(XLOOKUP(D735,'Spec_Single_H&amp;S'!B:B,'Spec_Single_H&amp;S'!E:E),
IFERROR(XLOOKUP(D735,#REF!,#REF!),""))</f>
        <v/>
      </c>
      <c r="K735" s="7" t="str">
        <f ca="1">IFERROR(XLOOKUP(D735,'Spec_Single_H&amp;S'!B:B,'Spec_Single_H&amp;S'!F:F),
IFERROR(XLOOKUP(D735,#REF!,#REF!),""))</f>
        <v/>
      </c>
      <c r="L735" s="7" t="str">
        <f t="shared" ca="1" si="29"/>
        <v/>
      </c>
    </row>
    <row r="736" spans="5:12" x14ac:dyDescent="0.3">
      <c r="E736" s="7" t="str">
        <f t="shared" si="30"/>
        <v/>
      </c>
      <c r="H736" s="7" t="str">
        <f>IF(B736&lt;&gt;"Silicone","",IFERROR(XLOOKUP(D736,#REF!,#REF!),""))</f>
        <v/>
      </c>
      <c r="J736" s="7" t="str">
        <f ca="1">IFERROR(XLOOKUP(D736,'Spec_Single_H&amp;S'!B:B,'Spec_Single_H&amp;S'!E:E),
IFERROR(XLOOKUP(D736,#REF!,#REF!),""))</f>
        <v/>
      </c>
      <c r="K736" s="7" t="str">
        <f ca="1">IFERROR(XLOOKUP(D736,'Spec_Single_H&amp;S'!B:B,'Spec_Single_H&amp;S'!F:F),
IFERROR(XLOOKUP(D736,#REF!,#REF!),""))</f>
        <v/>
      </c>
      <c r="L736" s="7" t="str">
        <f t="shared" ca="1" si="29"/>
        <v/>
      </c>
    </row>
    <row r="737" spans="5:12" x14ac:dyDescent="0.3">
      <c r="E737" s="7" t="str">
        <f t="shared" si="30"/>
        <v/>
      </c>
      <c r="H737" s="7" t="str">
        <f>IF(B737&lt;&gt;"Silicone","",IFERROR(XLOOKUP(D737,#REF!,#REF!),""))</f>
        <v/>
      </c>
      <c r="J737" s="7" t="str">
        <f ca="1">IFERROR(XLOOKUP(D737,'Spec_Single_H&amp;S'!B:B,'Spec_Single_H&amp;S'!E:E),
IFERROR(XLOOKUP(D737,#REF!,#REF!),""))</f>
        <v/>
      </c>
      <c r="K737" s="7" t="str">
        <f ca="1">IFERROR(XLOOKUP(D737,'Spec_Single_H&amp;S'!B:B,'Spec_Single_H&amp;S'!F:F),
IFERROR(XLOOKUP(D737,#REF!,#REF!),""))</f>
        <v/>
      </c>
      <c r="L737" s="7" t="str">
        <f t="shared" ca="1" si="29"/>
        <v/>
      </c>
    </row>
    <row r="738" spans="5:12" x14ac:dyDescent="0.3">
      <c r="E738" s="7" t="str">
        <f t="shared" si="30"/>
        <v/>
      </c>
      <c r="H738" s="7" t="str">
        <f>IF(B738&lt;&gt;"Silicone","",IFERROR(XLOOKUP(D738,#REF!,#REF!),""))</f>
        <v/>
      </c>
      <c r="J738" s="7" t="str">
        <f ca="1">IFERROR(XLOOKUP(D738,'Spec_Single_H&amp;S'!B:B,'Spec_Single_H&amp;S'!E:E),
IFERROR(XLOOKUP(D738,#REF!,#REF!),""))</f>
        <v/>
      </c>
      <c r="K738" s="7" t="str">
        <f ca="1">IFERROR(XLOOKUP(D738,'Spec_Single_H&amp;S'!B:B,'Spec_Single_H&amp;S'!F:F),
IFERROR(XLOOKUP(D738,#REF!,#REF!),""))</f>
        <v/>
      </c>
      <c r="L738" s="7" t="str">
        <f t="shared" ca="1" si="29"/>
        <v/>
      </c>
    </row>
    <row r="739" spans="5:12" x14ac:dyDescent="0.3">
      <c r="E739" s="7" t="str">
        <f t="shared" si="30"/>
        <v/>
      </c>
      <c r="H739" s="7" t="str">
        <f>IF(B739&lt;&gt;"Silicone","",IFERROR(XLOOKUP(D739,#REF!,#REF!),""))</f>
        <v/>
      </c>
      <c r="J739" s="7" t="str">
        <f ca="1">IFERROR(XLOOKUP(D739,'Spec_Single_H&amp;S'!B:B,'Spec_Single_H&amp;S'!E:E),
IFERROR(XLOOKUP(D739,#REF!,#REF!),""))</f>
        <v/>
      </c>
      <c r="K739" s="7" t="str">
        <f ca="1">IFERROR(XLOOKUP(D739,'Spec_Single_H&amp;S'!B:B,'Spec_Single_H&amp;S'!F:F),
IFERROR(XLOOKUP(D739,#REF!,#REF!),""))</f>
        <v/>
      </c>
      <c r="L739" s="7" t="str">
        <f t="shared" ca="1" si="29"/>
        <v/>
      </c>
    </row>
    <row r="740" spans="5:12" x14ac:dyDescent="0.3">
      <c r="E740" s="7" t="str">
        <f t="shared" si="30"/>
        <v/>
      </c>
      <c r="H740" s="7" t="str">
        <f>IF(B740&lt;&gt;"Silicone","",IFERROR(XLOOKUP(D740,#REF!,#REF!),""))</f>
        <v/>
      </c>
      <c r="J740" s="7" t="str">
        <f ca="1">IFERROR(XLOOKUP(D740,'Spec_Single_H&amp;S'!B:B,'Spec_Single_H&amp;S'!E:E),
IFERROR(XLOOKUP(D740,#REF!,#REF!),""))</f>
        <v/>
      </c>
      <c r="K740" s="7" t="str">
        <f ca="1">IFERROR(XLOOKUP(D740,'Spec_Single_H&amp;S'!B:B,'Spec_Single_H&amp;S'!F:F),
IFERROR(XLOOKUP(D740,#REF!,#REF!),""))</f>
        <v/>
      </c>
      <c r="L740" s="7" t="str">
        <f t="shared" ca="1" si="29"/>
        <v/>
      </c>
    </row>
    <row r="741" spans="5:12" x14ac:dyDescent="0.3">
      <c r="E741" s="7" t="str">
        <f t="shared" si="30"/>
        <v/>
      </c>
      <c r="H741" s="7" t="str">
        <f>IF(B741&lt;&gt;"Silicone","",IFERROR(XLOOKUP(D741,#REF!,#REF!),""))</f>
        <v/>
      </c>
      <c r="J741" s="7" t="str">
        <f ca="1">IFERROR(XLOOKUP(D741,'Spec_Single_H&amp;S'!B:B,'Spec_Single_H&amp;S'!E:E),
IFERROR(XLOOKUP(D741,#REF!,#REF!),""))</f>
        <v/>
      </c>
      <c r="K741" s="7" t="str">
        <f ca="1">IFERROR(XLOOKUP(D741,'Spec_Single_H&amp;S'!B:B,'Spec_Single_H&amp;S'!F:F),
IFERROR(XLOOKUP(D741,#REF!,#REF!),""))</f>
        <v/>
      </c>
      <c r="L741" s="7" t="str">
        <f t="shared" ca="1" si="29"/>
        <v/>
      </c>
    </row>
    <row r="742" spans="5:12" x14ac:dyDescent="0.3">
      <c r="E742" s="7" t="str">
        <f t="shared" si="30"/>
        <v/>
      </c>
      <c r="H742" s="7" t="str">
        <f>IF(B742&lt;&gt;"Silicone","",IFERROR(XLOOKUP(D742,#REF!,#REF!),""))</f>
        <v/>
      </c>
      <c r="J742" s="7" t="str">
        <f ca="1">IFERROR(XLOOKUP(D742,'Spec_Single_H&amp;S'!B:B,'Spec_Single_H&amp;S'!E:E),
IFERROR(XLOOKUP(D742,#REF!,#REF!),""))</f>
        <v/>
      </c>
      <c r="K742" s="7" t="str">
        <f ca="1">IFERROR(XLOOKUP(D742,'Spec_Single_H&amp;S'!B:B,'Spec_Single_H&amp;S'!F:F),
IFERROR(XLOOKUP(D742,#REF!,#REF!),""))</f>
        <v/>
      </c>
      <c r="L742" s="7" t="str">
        <f t="shared" ca="1" si="29"/>
        <v/>
      </c>
    </row>
    <row r="743" spans="5:12" x14ac:dyDescent="0.3">
      <c r="E743" s="7" t="str">
        <f t="shared" si="30"/>
        <v/>
      </c>
      <c r="H743" s="7" t="str">
        <f>IF(B743&lt;&gt;"Silicone","",IFERROR(XLOOKUP(D743,#REF!,#REF!),""))</f>
        <v/>
      </c>
      <c r="J743" s="7" t="str">
        <f ca="1">IFERROR(XLOOKUP(D743,'Spec_Single_H&amp;S'!B:B,'Spec_Single_H&amp;S'!E:E),
IFERROR(XLOOKUP(D743,#REF!,#REF!),""))</f>
        <v/>
      </c>
      <c r="K743" s="7" t="str">
        <f ca="1">IFERROR(XLOOKUP(D743,'Spec_Single_H&amp;S'!B:B,'Spec_Single_H&amp;S'!F:F),
IFERROR(XLOOKUP(D743,#REF!,#REF!),""))</f>
        <v/>
      </c>
      <c r="L743" s="7" t="str">
        <f t="shared" ca="1" si="29"/>
        <v/>
      </c>
    </row>
    <row r="744" spans="5:12" x14ac:dyDescent="0.3">
      <c r="E744" s="7" t="str">
        <f t="shared" si="30"/>
        <v/>
      </c>
      <c r="H744" s="7" t="str">
        <f>IF(B744&lt;&gt;"Silicone","",IFERROR(XLOOKUP(D744,#REF!,#REF!),""))</f>
        <v/>
      </c>
      <c r="J744" s="7" t="str">
        <f ca="1">IFERROR(XLOOKUP(D744,'Spec_Single_H&amp;S'!B:B,'Spec_Single_H&amp;S'!E:E),
IFERROR(XLOOKUP(D744,#REF!,#REF!),""))</f>
        <v/>
      </c>
      <c r="K744" s="7" t="str">
        <f ca="1">IFERROR(XLOOKUP(D744,'Spec_Single_H&amp;S'!B:B,'Spec_Single_H&amp;S'!F:F),
IFERROR(XLOOKUP(D744,#REF!,#REF!),""))</f>
        <v/>
      </c>
      <c r="L744" s="7" t="str">
        <f t="shared" ca="1" si="29"/>
        <v/>
      </c>
    </row>
    <row r="745" spans="5:12" x14ac:dyDescent="0.3">
      <c r="E745" s="7" t="str">
        <f t="shared" si="30"/>
        <v/>
      </c>
      <c r="H745" s="7" t="str">
        <f>IF(B745&lt;&gt;"Silicone","",IFERROR(XLOOKUP(D745,#REF!,#REF!),""))</f>
        <v/>
      </c>
      <c r="J745" s="7" t="str">
        <f ca="1">IFERROR(XLOOKUP(D745,'Spec_Single_H&amp;S'!B:B,'Spec_Single_H&amp;S'!E:E),
IFERROR(XLOOKUP(D745,#REF!,#REF!),""))</f>
        <v/>
      </c>
      <c r="K745" s="7" t="str">
        <f ca="1">IFERROR(XLOOKUP(D745,'Spec_Single_H&amp;S'!B:B,'Spec_Single_H&amp;S'!F:F),
IFERROR(XLOOKUP(D745,#REF!,#REF!),""))</f>
        <v/>
      </c>
      <c r="L745" s="7" t="str">
        <f t="shared" ca="1" si="29"/>
        <v/>
      </c>
    </row>
    <row r="746" spans="5:12" x14ac:dyDescent="0.3">
      <c r="E746" s="7" t="str">
        <f t="shared" si="30"/>
        <v/>
      </c>
      <c r="H746" s="7" t="str">
        <f>IF(B746&lt;&gt;"Silicone","",IFERROR(XLOOKUP(D746,#REF!,#REF!),""))</f>
        <v/>
      </c>
      <c r="J746" s="7" t="str">
        <f ca="1">IFERROR(XLOOKUP(D746,'Spec_Single_H&amp;S'!B:B,'Spec_Single_H&amp;S'!E:E),
IFERROR(XLOOKUP(D746,#REF!,#REF!),""))</f>
        <v/>
      </c>
      <c r="K746" s="7" t="str">
        <f ca="1">IFERROR(XLOOKUP(D746,'Spec_Single_H&amp;S'!B:B,'Spec_Single_H&amp;S'!F:F),
IFERROR(XLOOKUP(D746,#REF!,#REF!),""))</f>
        <v/>
      </c>
      <c r="L746" s="7" t="str">
        <f t="shared" ca="1" si="29"/>
        <v/>
      </c>
    </row>
    <row r="747" spans="5:12" x14ac:dyDescent="0.3">
      <c r="E747" s="7" t="str">
        <f t="shared" si="30"/>
        <v/>
      </c>
      <c r="H747" s="7" t="str">
        <f>IF(B747&lt;&gt;"Silicone","",IFERROR(XLOOKUP(D747,#REF!,#REF!),""))</f>
        <v/>
      </c>
      <c r="J747" s="7" t="str">
        <f ca="1">IFERROR(XLOOKUP(D747,'Spec_Single_H&amp;S'!B:B,'Spec_Single_H&amp;S'!E:E),
IFERROR(XLOOKUP(D747,#REF!,#REF!),""))</f>
        <v/>
      </c>
      <c r="K747" s="7" t="str">
        <f ca="1">IFERROR(XLOOKUP(D747,'Spec_Single_H&amp;S'!B:B,'Spec_Single_H&amp;S'!F:F),
IFERROR(XLOOKUP(D747,#REF!,#REF!),""))</f>
        <v/>
      </c>
      <c r="L747" s="7" t="str">
        <f t="shared" ca="1" si="29"/>
        <v/>
      </c>
    </row>
    <row r="748" spans="5:12" x14ac:dyDescent="0.3">
      <c r="E748" s="7" t="str">
        <f t="shared" si="30"/>
        <v/>
      </c>
      <c r="H748" s="7" t="str">
        <f>IF(B748&lt;&gt;"Silicone","",IFERROR(XLOOKUP(D748,#REF!,#REF!),""))</f>
        <v/>
      </c>
      <c r="J748" s="7" t="str">
        <f ca="1">IFERROR(XLOOKUP(D748,'Spec_Single_H&amp;S'!B:B,'Spec_Single_H&amp;S'!E:E),
IFERROR(XLOOKUP(D748,#REF!,#REF!),""))</f>
        <v/>
      </c>
      <c r="K748" s="7" t="str">
        <f ca="1">IFERROR(XLOOKUP(D748,'Spec_Single_H&amp;S'!B:B,'Spec_Single_H&amp;S'!F:F),
IFERROR(XLOOKUP(D748,#REF!,#REF!),""))</f>
        <v/>
      </c>
      <c r="L748" s="7" t="str">
        <f t="shared" ca="1" si="29"/>
        <v/>
      </c>
    </row>
    <row r="749" spans="5:12" x14ac:dyDescent="0.3">
      <c r="E749" s="7" t="str">
        <f t="shared" si="30"/>
        <v/>
      </c>
      <c r="H749" s="7" t="str">
        <f>IF(B749&lt;&gt;"Silicone","",IFERROR(XLOOKUP(D749,#REF!,#REF!),""))</f>
        <v/>
      </c>
      <c r="J749" s="7" t="str">
        <f ca="1">IFERROR(XLOOKUP(D749,'Spec_Single_H&amp;S'!B:B,'Spec_Single_H&amp;S'!E:E),
IFERROR(XLOOKUP(D749,#REF!,#REF!),""))</f>
        <v/>
      </c>
      <c r="K749" s="7" t="str">
        <f ca="1">IFERROR(XLOOKUP(D749,'Spec_Single_H&amp;S'!B:B,'Spec_Single_H&amp;S'!F:F),
IFERROR(XLOOKUP(D749,#REF!,#REF!),""))</f>
        <v/>
      </c>
      <c r="L749" s="7" t="str">
        <f t="shared" ca="1" si="29"/>
        <v/>
      </c>
    </row>
    <row r="750" spans="5:12" x14ac:dyDescent="0.3">
      <c r="E750" s="7" t="str">
        <f t="shared" si="30"/>
        <v/>
      </c>
      <c r="H750" s="7" t="str">
        <f>IF(B750&lt;&gt;"Silicone","",IFERROR(XLOOKUP(D750,#REF!,#REF!),""))</f>
        <v/>
      </c>
      <c r="J750" s="7" t="str">
        <f ca="1">IFERROR(XLOOKUP(D750,'Spec_Single_H&amp;S'!B:B,'Spec_Single_H&amp;S'!E:E),
IFERROR(XLOOKUP(D750,#REF!,#REF!),""))</f>
        <v/>
      </c>
      <c r="K750" s="7" t="str">
        <f ca="1">IFERROR(XLOOKUP(D750,'Spec_Single_H&amp;S'!B:B,'Spec_Single_H&amp;S'!F:F),
IFERROR(XLOOKUP(D750,#REF!,#REF!),""))</f>
        <v/>
      </c>
      <c r="L750" s="7" t="str">
        <f t="shared" ca="1" si="29"/>
        <v/>
      </c>
    </row>
    <row r="751" spans="5:12" x14ac:dyDescent="0.3">
      <c r="E751" s="7" t="str">
        <f t="shared" si="30"/>
        <v/>
      </c>
      <c r="H751" s="7" t="str">
        <f>IF(B751&lt;&gt;"Silicone","",IFERROR(XLOOKUP(D751,#REF!,#REF!),""))</f>
        <v/>
      </c>
      <c r="J751" s="7" t="str">
        <f ca="1">IFERROR(XLOOKUP(D751,'Spec_Single_H&amp;S'!B:B,'Spec_Single_H&amp;S'!E:E),
IFERROR(XLOOKUP(D751,#REF!,#REF!),""))</f>
        <v/>
      </c>
      <c r="K751" s="7" t="str">
        <f ca="1">IFERROR(XLOOKUP(D751,'Spec_Single_H&amp;S'!B:B,'Spec_Single_H&amp;S'!F:F),
IFERROR(XLOOKUP(D751,#REF!,#REF!),""))</f>
        <v/>
      </c>
      <c r="L751" s="7" t="str">
        <f t="shared" ca="1" si="29"/>
        <v/>
      </c>
    </row>
    <row r="752" spans="5:12" x14ac:dyDescent="0.3">
      <c r="E752" s="7" t="str">
        <f t="shared" si="30"/>
        <v/>
      </c>
      <c r="H752" s="7" t="str">
        <f>IF(B752&lt;&gt;"Silicone","",IFERROR(XLOOKUP(D752,#REF!,#REF!),""))</f>
        <v/>
      </c>
      <c r="J752" s="7" t="str">
        <f ca="1">IFERROR(XLOOKUP(D752,'Spec_Single_H&amp;S'!B:B,'Spec_Single_H&amp;S'!E:E),
IFERROR(XLOOKUP(D752,#REF!,#REF!),""))</f>
        <v/>
      </c>
      <c r="K752" s="7" t="str">
        <f ca="1">IFERROR(XLOOKUP(D752,'Spec_Single_H&amp;S'!B:B,'Spec_Single_H&amp;S'!F:F),
IFERROR(XLOOKUP(D752,#REF!,#REF!),""))</f>
        <v/>
      </c>
      <c r="L752" s="7" t="str">
        <f t="shared" ca="1" si="29"/>
        <v/>
      </c>
    </row>
    <row r="753" spans="5:12" x14ac:dyDescent="0.3">
      <c r="E753" s="7" t="str">
        <f t="shared" si="30"/>
        <v/>
      </c>
      <c r="H753" s="7" t="str">
        <f>IF(B753&lt;&gt;"Silicone","",IFERROR(XLOOKUP(D753,#REF!,#REF!),""))</f>
        <v/>
      </c>
      <c r="J753" s="7" t="str">
        <f ca="1">IFERROR(XLOOKUP(D753,'Spec_Single_H&amp;S'!B:B,'Spec_Single_H&amp;S'!E:E),
IFERROR(XLOOKUP(D753,#REF!,#REF!),""))</f>
        <v/>
      </c>
      <c r="K753" s="7" t="str">
        <f ca="1">IFERROR(XLOOKUP(D753,'Spec_Single_H&amp;S'!B:B,'Spec_Single_H&amp;S'!F:F),
IFERROR(XLOOKUP(D753,#REF!,#REF!),""))</f>
        <v/>
      </c>
      <c r="L753" s="7" t="str">
        <f t="shared" ca="1" si="29"/>
        <v/>
      </c>
    </row>
    <row r="754" spans="5:12" x14ac:dyDescent="0.3">
      <c r="E754" s="7" t="str">
        <f t="shared" si="30"/>
        <v/>
      </c>
      <c r="H754" s="7" t="str">
        <f>IF(B754&lt;&gt;"Silicone","",IFERROR(XLOOKUP(D754,#REF!,#REF!),""))</f>
        <v/>
      </c>
      <c r="J754" s="7" t="str">
        <f ca="1">IFERROR(XLOOKUP(D754,'Spec_Single_H&amp;S'!B:B,'Spec_Single_H&amp;S'!E:E),
IFERROR(XLOOKUP(D754,#REF!,#REF!),""))</f>
        <v/>
      </c>
      <c r="K754" s="7" t="str">
        <f ca="1">IFERROR(XLOOKUP(D754,'Spec_Single_H&amp;S'!B:B,'Spec_Single_H&amp;S'!F:F),
IFERROR(XLOOKUP(D754,#REF!,#REF!),""))</f>
        <v/>
      </c>
      <c r="L754" s="7" t="str">
        <f t="shared" ca="1" si="29"/>
        <v/>
      </c>
    </row>
    <row r="755" spans="5:12" x14ac:dyDescent="0.3">
      <c r="E755" s="7" t="str">
        <f t="shared" si="30"/>
        <v/>
      </c>
      <c r="H755" s="7" t="str">
        <f>IF(B755&lt;&gt;"Silicone","",IFERROR(XLOOKUP(D755,#REF!,#REF!),""))</f>
        <v/>
      </c>
      <c r="J755" s="7" t="str">
        <f ca="1">IFERROR(XLOOKUP(D755,'Spec_Single_H&amp;S'!B:B,'Spec_Single_H&amp;S'!E:E),
IFERROR(XLOOKUP(D755,#REF!,#REF!),""))</f>
        <v/>
      </c>
      <c r="K755" s="7" t="str">
        <f ca="1">IFERROR(XLOOKUP(D755,'Spec_Single_H&amp;S'!B:B,'Spec_Single_H&amp;S'!F:F),
IFERROR(XLOOKUP(D755,#REF!,#REF!),""))</f>
        <v/>
      </c>
      <c r="L755" s="7" t="str">
        <f t="shared" ca="1" si="29"/>
        <v/>
      </c>
    </row>
    <row r="756" spans="5:12" x14ac:dyDescent="0.3">
      <c r="E756" s="7" t="str">
        <f t="shared" si="30"/>
        <v/>
      </c>
      <c r="H756" s="7" t="str">
        <f>IF(B756&lt;&gt;"Silicone","",IFERROR(XLOOKUP(D756,#REF!,#REF!),""))</f>
        <v/>
      </c>
      <c r="J756" s="7" t="str">
        <f ca="1">IFERROR(XLOOKUP(D756,'Spec_Single_H&amp;S'!B:B,'Spec_Single_H&amp;S'!E:E),
IFERROR(XLOOKUP(D756,#REF!,#REF!),""))</f>
        <v/>
      </c>
      <c r="K756" s="7" t="str">
        <f ca="1">IFERROR(XLOOKUP(D756,'Spec_Single_H&amp;S'!B:B,'Spec_Single_H&amp;S'!F:F),
IFERROR(XLOOKUP(D756,#REF!,#REF!),""))</f>
        <v/>
      </c>
      <c r="L756" s="7" t="str">
        <f t="shared" ca="1" si="29"/>
        <v/>
      </c>
    </row>
    <row r="757" spans="5:12" x14ac:dyDescent="0.3">
      <c r="E757" s="7" t="str">
        <f t="shared" si="30"/>
        <v/>
      </c>
      <c r="H757" s="7" t="str">
        <f>IF(B757&lt;&gt;"Silicone","",IFERROR(XLOOKUP(D757,#REF!,#REF!),""))</f>
        <v/>
      </c>
      <c r="J757" s="7" t="str">
        <f ca="1">IFERROR(XLOOKUP(D757,'Spec_Single_H&amp;S'!B:B,'Spec_Single_H&amp;S'!E:E),
IFERROR(XLOOKUP(D757,#REF!,#REF!),""))</f>
        <v/>
      </c>
      <c r="K757" s="7" t="str">
        <f ca="1">IFERROR(XLOOKUP(D757,'Spec_Single_H&amp;S'!B:B,'Spec_Single_H&amp;S'!F:F),
IFERROR(XLOOKUP(D757,#REF!,#REF!),""))</f>
        <v/>
      </c>
      <c r="L757" s="7" t="str">
        <f t="shared" ca="1" si="29"/>
        <v/>
      </c>
    </row>
    <row r="758" spans="5:12" x14ac:dyDescent="0.3">
      <c r="E758" s="7" t="str">
        <f t="shared" si="30"/>
        <v/>
      </c>
      <c r="H758" s="7" t="str">
        <f>IF(B758&lt;&gt;"Silicone","",IFERROR(XLOOKUP(D758,#REF!,#REF!),""))</f>
        <v/>
      </c>
      <c r="J758" s="7" t="str">
        <f ca="1">IFERROR(XLOOKUP(D758,'Spec_Single_H&amp;S'!B:B,'Spec_Single_H&amp;S'!E:E),
IFERROR(XLOOKUP(D758,#REF!,#REF!),""))</f>
        <v/>
      </c>
      <c r="K758" s="7" t="str">
        <f ca="1">IFERROR(XLOOKUP(D758,'Spec_Single_H&amp;S'!B:B,'Spec_Single_H&amp;S'!F:F),
IFERROR(XLOOKUP(D758,#REF!,#REF!),""))</f>
        <v/>
      </c>
      <c r="L758" s="7" t="str">
        <f t="shared" ca="1" si="29"/>
        <v/>
      </c>
    </row>
    <row r="759" spans="5:12" x14ac:dyDescent="0.3">
      <c r="E759" s="7" t="str">
        <f t="shared" si="30"/>
        <v/>
      </c>
      <c r="H759" s="7" t="str">
        <f>IF(B759&lt;&gt;"Silicone","",IFERROR(XLOOKUP(D759,#REF!,#REF!),""))</f>
        <v/>
      </c>
      <c r="J759" s="7" t="str">
        <f ca="1">IFERROR(XLOOKUP(D759,'Spec_Single_H&amp;S'!B:B,'Spec_Single_H&amp;S'!E:E),
IFERROR(XLOOKUP(D759,#REF!,#REF!),""))</f>
        <v/>
      </c>
      <c r="K759" s="7" t="str">
        <f ca="1">IFERROR(XLOOKUP(D759,'Spec_Single_H&amp;S'!B:B,'Spec_Single_H&amp;S'!F:F),
IFERROR(XLOOKUP(D759,#REF!,#REF!),""))</f>
        <v/>
      </c>
      <c r="L759" s="7" t="str">
        <f t="shared" ca="1" si="29"/>
        <v/>
      </c>
    </row>
    <row r="760" spans="5:12" x14ac:dyDescent="0.3">
      <c r="E760" s="7" t="str">
        <f t="shared" si="30"/>
        <v/>
      </c>
      <c r="H760" s="7" t="str">
        <f>IF(B760&lt;&gt;"Silicone","",IFERROR(XLOOKUP(D760,#REF!,#REF!),""))</f>
        <v/>
      </c>
      <c r="J760" s="7" t="str">
        <f ca="1">IFERROR(XLOOKUP(D760,'Spec_Single_H&amp;S'!B:B,'Spec_Single_H&amp;S'!E:E),
IFERROR(XLOOKUP(D760,#REF!,#REF!),""))</f>
        <v/>
      </c>
      <c r="K760" s="7" t="str">
        <f ca="1">IFERROR(XLOOKUP(D760,'Spec_Single_H&amp;S'!B:B,'Spec_Single_H&amp;S'!F:F),
IFERROR(XLOOKUP(D760,#REF!,#REF!),""))</f>
        <v/>
      </c>
      <c r="L760" s="7" t="str">
        <f t="shared" ca="1" si="29"/>
        <v/>
      </c>
    </row>
    <row r="761" spans="5:12" x14ac:dyDescent="0.3">
      <c r="E761" s="7" t="str">
        <f t="shared" si="30"/>
        <v/>
      </c>
      <c r="H761" s="7" t="str">
        <f>IF(B761&lt;&gt;"Silicone","",IFERROR(XLOOKUP(D761,#REF!,#REF!),""))</f>
        <v/>
      </c>
      <c r="J761" s="7" t="str">
        <f ca="1">IFERROR(XLOOKUP(D761,'Spec_Single_H&amp;S'!B:B,'Spec_Single_H&amp;S'!E:E),
IFERROR(XLOOKUP(D761,#REF!,#REF!),""))</f>
        <v/>
      </c>
      <c r="K761" s="7" t="str">
        <f ca="1">IFERROR(XLOOKUP(D761,'Spec_Single_H&amp;S'!B:B,'Spec_Single_H&amp;S'!F:F),
IFERROR(XLOOKUP(D761,#REF!,#REF!),""))</f>
        <v/>
      </c>
      <c r="L761" s="7" t="str">
        <f t="shared" ca="1" si="29"/>
        <v/>
      </c>
    </row>
    <row r="762" spans="5:12" x14ac:dyDescent="0.3">
      <c r="E762" s="7" t="str">
        <f t="shared" si="30"/>
        <v/>
      </c>
      <c r="H762" s="7" t="str">
        <f>IF(B762&lt;&gt;"Silicone","",IFERROR(XLOOKUP(D762,#REF!,#REF!),""))</f>
        <v/>
      </c>
      <c r="J762" s="7" t="str">
        <f ca="1">IFERROR(XLOOKUP(D762,'Spec_Single_H&amp;S'!B:B,'Spec_Single_H&amp;S'!E:E),
IFERROR(XLOOKUP(D762,#REF!,#REF!),""))</f>
        <v/>
      </c>
      <c r="K762" s="7" t="str">
        <f ca="1">IFERROR(XLOOKUP(D762,'Spec_Single_H&amp;S'!B:B,'Spec_Single_H&amp;S'!F:F),
IFERROR(XLOOKUP(D762,#REF!,#REF!),""))</f>
        <v/>
      </c>
      <c r="L762" s="7" t="str">
        <f t="shared" ca="1" si="29"/>
        <v/>
      </c>
    </row>
    <row r="763" spans="5:12" x14ac:dyDescent="0.3">
      <c r="E763" s="7" t="str">
        <f t="shared" si="30"/>
        <v/>
      </c>
      <c r="H763" s="7" t="str">
        <f>IF(B763&lt;&gt;"Silicone","",IFERROR(XLOOKUP(D763,#REF!,#REF!),""))</f>
        <v/>
      </c>
      <c r="J763" s="7" t="str">
        <f ca="1">IFERROR(XLOOKUP(D763,'Spec_Single_H&amp;S'!B:B,'Spec_Single_H&amp;S'!E:E),
IFERROR(XLOOKUP(D763,#REF!,#REF!),""))</f>
        <v/>
      </c>
      <c r="K763" s="7" t="str">
        <f ca="1">IFERROR(XLOOKUP(D763,'Spec_Single_H&amp;S'!B:B,'Spec_Single_H&amp;S'!F:F),
IFERROR(XLOOKUP(D763,#REF!,#REF!),""))</f>
        <v/>
      </c>
      <c r="L763" s="7" t="str">
        <f t="shared" ca="1" si="29"/>
        <v/>
      </c>
    </row>
    <row r="764" spans="5:12" x14ac:dyDescent="0.3">
      <c r="E764" s="7" t="str">
        <f t="shared" si="30"/>
        <v/>
      </c>
      <c r="H764" s="7" t="str">
        <f>IF(B764&lt;&gt;"Silicone","",IFERROR(XLOOKUP(D764,#REF!,#REF!),""))</f>
        <v/>
      </c>
      <c r="J764" s="7" t="str">
        <f ca="1">IFERROR(XLOOKUP(D764,'Spec_Single_H&amp;S'!B:B,'Spec_Single_H&amp;S'!E:E),
IFERROR(XLOOKUP(D764,#REF!,#REF!),""))</f>
        <v/>
      </c>
      <c r="K764" s="7" t="str">
        <f ca="1">IFERROR(XLOOKUP(D764,'Spec_Single_H&amp;S'!B:B,'Spec_Single_H&amp;S'!F:F),
IFERROR(XLOOKUP(D764,#REF!,#REF!),""))</f>
        <v/>
      </c>
      <c r="L764" s="7" t="str">
        <f t="shared" ca="1" si="29"/>
        <v/>
      </c>
    </row>
    <row r="765" spans="5:12" x14ac:dyDescent="0.3">
      <c r="E765" s="7" t="str">
        <f t="shared" si="30"/>
        <v/>
      </c>
      <c r="H765" s="7" t="str">
        <f>IF(B765&lt;&gt;"Silicone","",IFERROR(XLOOKUP(D765,#REF!,#REF!),""))</f>
        <v/>
      </c>
      <c r="J765" s="7" t="str">
        <f ca="1">IFERROR(XLOOKUP(D765,'Spec_Single_H&amp;S'!B:B,'Spec_Single_H&amp;S'!E:E),
IFERROR(XLOOKUP(D765,#REF!,#REF!),""))</f>
        <v/>
      </c>
      <c r="K765" s="7" t="str">
        <f ca="1">IFERROR(XLOOKUP(D765,'Spec_Single_H&amp;S'!B:B,'Spec_Single_H&amp;S'!F:F),
IFERROR(XLOOKUP(D765,#REF!,#REF!),""))</f>
        <v/>
      </c>
      <c r="L765" s="7" t="str">
        <f t="shared" ca="1" si="29"/>
        <v/>
      </c>
    </row>
    <row r="766" spans="5:12" x14ac:dyDescent="0.3">
      <c r="E766" s="7" t="str">
        <f t="shared" si="30"/>
        <v/>
      </c>
      <c r="H766" s="7" t="str">
        <f>IF(B766&lt;&gt;"Silicone","",IFERROR(XLOOKUP(D766,#REF!,#REF!),""))</f>
        <v/>
      </c>
      <c r="J766" s="7" t="str">
        <f ca="1">IFERROR(XLOOKUP(D766,'Spec_Single_H&amp;S'!B:B,'Spec_Single_H&amp;S'!E:E),
IFERROR(XLOOKUP(D766,#REF!,#REF!),""))</f>
        <v/>
      </c>
      <c r="K766" s="7" t="str">
        <f ca="1">IFERROR(XLOOKUP(D766,'Spec_Single_H&amp;S'!B:B,'Spec_Single_H&amp;S'!F:F),
IFERROR(XLOOKUP(D766,#REF!,#REF!),""))</f>
        <v/>
      </c>
      <c r="L766" s="7" t="str">
        <f t="shared" ca="1" si="29"/>
        <v/>
      </c>
    </row>
    <row r="767" spans="5:12" x14ac:dyDescent="0.3">
      <c r="E767" s="7" t="str">
        <f t="shared" si="30"/>
        <v/>
      </c>
      <c r="H767" s="7" t="str">
        <f>IF(B767&lt;&gt;"Silicone","",IFERROR(XLOOKUP(D767,#REF!,#REF!),""))</f>
        <v/>
      </c>
      <c r="J767" s="7" t="str">
        <f ca="1">IFERROR(XLOOKUP(D767,'Spec_Single_H&amp;S'!B:B,'Spec_Single_H&amp;S'!E:E),
IFERROR(XLOOKUP(D767,#REF!,#REF!),""))</f>
        <v/>
      </c>
      <c r="K767" s="7" t="str">
        <f ca="1">IFERROR(XLOOKUP(D767,'Spec_Single_H&amp;S'!B:B,'Spec_Single_H&amp;S'!F:F),
IFERROR(XLOOKUP(D767,#REF!,#REF!),""))</f>
        <v/>
      </c>
      <c r="L767" s="7" t="str">
        <f t="shared" ca="1" si="29"/>
        <v/>
      </c>
    </row>
    <row r="768" spans="5:12" x14ac:dyDescent="0.3">
      <c r="E768" s="7" t="str">
        <f t="shared" si="30"/>
        <v/>
      </c>
      <c r="H768" s="7" t="str">
        <f>IF(B768&lt;&gt;"Silicone","",IFERROR(XLOOKUP(D768,#REF!,#REF!),""))</f>
        <v/>
      </c>
      <c r="J768" s="7" t="str">
        <f ca="1">IFERROR(XLOOKUP(D768,'Spec_Single_H&amp;S'!B:B,'Spec_Single_H&amp;S'!E:E),
IFERROR(XLOOKUP(D768,#REF!,#REF!),""))</f>
        <v/>
      </c>
      <c r="K768" s="7" t="str">
        <f ca="1">IFERROR(XLOOKUP(D768,'Spec_Single_H&amp;S'!B:B,'Spec_Single_H&amp;S'!F:F),
IFERROR(XLOOKUP(D768,#REF!,#REF!),""))</f>
        <v/>
      </c>
      <c r="L768" s="7" t="str">
        <f t="shared" ca="1" si="29"/>
        <v/>
      </c>
    </row>
    <row r="769" spans="5:12" x14ac:dyDescent="0.3">
      <c r="E769" s="7" t="str">
        <f t="shared" si="30"/>
        <v/>
      </c>
      <c r="H769" s="7" t="str">
        <f>IF(B769&lt;&gt;"Silicone","",IFERROR(XLOOKUP(D769,#REF!,#REF!),""))</f>
        <v/>
      </c>
      <c r="J769" s="7" t="str">
        <f ca="1">IFERROR(XLOOKUP(D769,'Spec_Single_H&amp;S'!B:B,'Spec_Single_H&amp;S'!E:E),
IFERROR(XLOOKUP(D769,#REF!,#REF!),""))</f>
        <v/>
      </c>
      <c r="K769" s="7" t="str">
        <f ca="1">IFERROR(XLOOKUP(D769,'Spec_Single_H&amp;S'!B:B,'Spec_Single_H&amp;S'!F:F),
IFERROR(XLOOKUP(D769,#REF!,#REF!),""))</f>
        <v/>
      </c>
      <c r="L769" s="7" t="str">
        <f t="shared" ca="1" si="29"/>
        <v/>
      </c>
    </row>
    <row r="770" spans="5:12" x14ac:dyDescent="0.3">
      <c r="E770" s="7" t="str">
        <f t="shared" si="30"/>
        <v/>
      </c>
      <c r="H770" s="7" t="str">
        <f>IF(B770&lt;&gt;"Silicone","",IFERROR(XLOOKUP(D770,#REF!,#REF!),""))</f>
        <v/>
      </c>
      <c r="J770" s="7" t="str">
        <f ca="1">IFERROR(XLOOKUP(D770,'Spec_Single_H&amp;S'!B:B,'Spec_Single_H&amp;S'!E:E),
IFERROR(XLOOKUP(D770,#REF!,#REF!),""))</f>
        <v/>
      </c>
      <c r="K770" s="7" t="str">
        <f ca="1">IFERROR(XLOOKUP(D770,'Spec_Single_H&amp;S'!B:B,'Spec_Single_H&amp;S'!F:F),
IFERROR(XLOOKUP(D770,#REF!,#REF!),""))</f>
        <v/>
      </c>
      <c r="L770" s="7" t="str">
        <f t="shared" ca="1" si="29"/>
        <v/>
      </c>
    </row>
    <row r="771" spans="5:12" x14ac:dyDescent="0.3">
      <c r="E771" s="7" t="str">
        <f t="shared" si="30"/>
        <v/>
      </c>
      <c r="H771" s="7" t="str">
        <f>IF(B771&lt;&gt;"Silicone","",IFERROR(XLOOKUP(D771,#REF!,#REF!),""))</f>
        <v/>
      </c>
      <c r="J771" s="7" t="str">
        <f ca="1">IFERROR(XLOOKUP(D771,'Spec_Single_H&amp;S'!B:B,'Spec_Single_H&amp;S'!E:E),
IFERROR(XLOOKUP(D771,#REF!,#REF!),""))</f>
        <v/>
      </c>
      <c r="K771" s="7" t="str">
        <f ca="1">IFERROR(XLOOKUP(D771,'Spec_Single_H&amp;S'!B:B,'Spec_Single_H&amp;S'!F:F),
IFERROR(XLOOKUP(D771,#REF!,#REF!),""))</f>
        <v/>
      </c>
      <c r="L771" s="7" t="str">
        <f t="shared" ca="1" si="29"/>
        <v/>
      </c>
    </row>
    <row r="772" spans="5:12" x14ac:dyDescent="0.3">
      <c r="E772" s="7" t="str">
        <f t="shared" si="30"/>
        <v/>
      </c>
      <c r="H772" s="7" t="str">
        <f>IF(B772&lt;&gt;"Silicone","",IFERROR(XLOOKUP(D772,#REF!,#REF!),""))</f>
        <v/>
      </c>
      <c r="J772" s="7" t="str">
        <f ca="1">IFERROR(XLOOKUP(D772,'Spec_Single_H&amp;S'!B:B,'Spec_Single_H&amp;S'!E:E),
IFERROR(XLOOKUP(D772,#REF!,#REF!),""))</f>
        <v/>
      </c>
      <c r="K772" s="7" t="str">
        <f ca="1">IFERROR(XLOOKUP(D772,'Spec_Single_H&amp;S'!B:B,'Spec_Single_H&amp;S'!F:F),
IFERROR(XLOOKUP(D772,#REF!,#REF!),""))</f>
        <v/>
      </c>
      <c r="L772" s="7" t="str">
        <f t="shared" ca="1" si="29"/>
        <v/>
      </c>
    </row>
    <row r="773" spans="5:12" x14ac:dyDescent="0.3">
      <c r="E773" s="7" t="str">
        <f t="shared" si="30"/>
        <v/>
      </c>
      <c r="H773" s="7" t="str">
        <f>IF(B773&lt;&gt;"Silicone","",IFERROR(XLOOKUP(D773,#REF!,#REF!),""))</f>
        <v/>
      </c>
      <c r="J773" s="7" t="str">
        <f ca="1">IFERROR(XLOOKUP(D773,'Spec_Single_H&amp;S'!B:B,'Spec_Single_H&amp;S'!E:E),
IFERROR(XLOOKUP(D773,#REF!,#REF!),""))</f>
        <v/>
      </c>
      <c r="K773" s="7" t="str">
        <f ca="1">IFERROR(XLOOKUP(D773,'Spec_Single_H&amp;S'!B:B,'Spec_Single_H&amp;S'!F:F),
IFERROR(XLOOKUP(D773,#REF!,#REF!),""))</f>
        <v/>
      </c>
      <c r="L773" s="7" t="str">
        <f t="shared" ca="1" si="29"/>
        <v/>
      </c>
    </row>
    <row r="774" spans="5:12" x14ac:dyDescent="0.3">
      <c r="E774" s="7" t="str">
        <f t="shared" si="30"/>
        <v/>
      </c>
      <c r="H774" s="7" t="str">
        <f>IF(B774&lt;&gt;"Silicone","",IFERROR(XLOOKUP(D774,#REF!,#REF!),""))</f>
        <v/>
      </c>
      <c r="J774" s="7" t="str">
        <f ca="1">IFERROR(XLOOKUP(D774,'Spec_Single_H&amp;S'!B:B,'Spec_Single_H&amp;S'!E:E),
IFERROR(XLOOKUP(D774,#REF!,#REF!),""))</f>
        <v/>
      </c>
      <c r="K774" s="7" t="str">
        <f ca="1">IFERROR(XLOOKUP(D774,'Spec_Single_H&amp;S'!B:B,'Spec_Single_H&amp;S'!F:F),
IFERROR(XLOOKUP(D774,#REF!,#REF!),""))</f>
        <v/>
      </c>
      <c r="L774" s="7" t="str">
        <f t="shared" ca="1" si="29"/>
        <v/>
      </c>
    </row>
    <row r="775" spans="5:12" x14ac:dyDescent="0.3">
      <c r="E775" s="7" t="str">
        <f t="shared" si="30"/>
        <v/>
      </c>
      <c r="H775" s="7" t="str">
        <f>IF(B775&lt;&gt;"Silicone","",IFERROR(XLOOKUP(D775,#REF!,#REF!),""))</f>
        <v/>
      </c>
      <c r="J775" s="7" t="str">
        <f ca="1">IFERROR(XLOOKUP(D775,'Spec_Single_H&amp;S'!B:B,'Spec_Single_H&amp;S'!E:E),
IFERROR(XLOOKUP(D775,#REF!,#REF!),""))</f>
        <v/>
      </c>
      <c r="K775" s="7" t="str">
        <f ca="1">IFERROR(XLOOKUP(D775,'Spec_Single_H&amp;S'!B:B,'Spec_Single_H&amp;S'!F:F),
IFERROR(XLOOKUP(D775,#REF!,#REF!),""))</f>
        <v/>
      </c>
      <c r="L775" s="7" t="str">
        <f t="shared" ca="1" si="29"/>
        <v/>
      </c>
    </row>
    <row r="776" spans="5:12" x14ac:dyDescent="0.3">
      <c r="E776" s="7" t="str">
        <f t="shared" si="30"/>
        <v/>
      </c>
      <c r="H776" s="7" t="str">
        <f>IF(B776&lt;&gt;"Silicone","",IFERROR(XLOOKUP(D776,#REF!,#REF!),""))</f>
        <v/>
      </c>
      <c r="J776" s="7" t="str">
        <f ca="1">IFERROR(XLOOKUP(D776,'Spec_Single_H&amp;S'!B:B,'Spec_Single_H&amp;S'!E:E),
IFERROR(XLOOKUP(D776,#REF!,#REF!),""))</f>
        <v/>
      </c>
      <c r="K776" s="7" t="str">
        <f ca="1">IFERROR(XLOOKUP(D776,'Spec_Single_H&amp;S'!B:B,'Spec_Single_H&amp;S'!F:F),
IFERROR(XLOOKUP(D776,#REF!,#REF!),""))</f>
        <v/>
      </c>
      <c r="L776" s="7" t="str">
        <f t="shared" ref="L776:L839" ca="1" si="31">IF(AND(NOT(ISBLANK(I776)),I776&gt;=J776,I776&lt;=K776),"적합",IF(ISBLANK(I776),"", "부적합"))</f>
        <v/>
      </c>
    </row>
    <row r="777" spans="5:12" x14ac:dyDescent="0.3">
      <c r="E777" s="7" t="str">
        <f t="shared" ref="E777:E840" si="32">IF(D777="","",IF(B777="Silicone", "SL" &amp; IF(C777="Black","B",IF(C777="White","W",IF(C777="Blue","U",IF(C777="Green","G",IF(C777="Yellow","Y",IF(C777="Red","R",IF(C777="Pink","P",""))))))) &amp; TEXT(A777,"yymmdd") &amp; "01",IF(LEFT(D777,3)="NPL","NPL","PL") &amp; IF(C777="Black","B",IF(C777="White","W",IF(C777="Blue","U",IF(C777="Green","G",IF(C777="Yellow","Y",IF(C777="Red","R",IF(C777="Pink","P",""))))))) &amp; TEXT(A777,"yymmdd") &amp; "01"))</f>
        <v/>
      </c>
      <c r="H777" s="7" t="str">
        <f>IF(B777&lt;&gt;"Silicone","",IFERROR(XLOOKUP(D777,#REF!,#REF!),""))</f>
        <v/>
      </c>
      <c r="J777" s="7" t="str">
        <f ca="1">IFERROR(XLOOKUP(D777,'Spec_Single_H&amp;S'!B:B,'Spec_Single_H&amp;S'!E:E),
IFERROR(XLOOKUP(D777,#REF!,#REF!),""))</f>
        <v/>
      </c>
      <c r="K777" s="7" t="str">
        <f ca="1">IFERROR(XLOOKUP(D777,'Spec_Single_H&amp;S'!B:B,'Spec_Single_H&amp;S'!F:F),
IFERROR(XLOOKUP(D777,#REF!,#REF!),""))</f>
        <v/>
      </c>
      <c r="L777" s="7" t="str">
        <f t="shared" ca="1" si="31"/>
        <v/>
      </c>
    </row>
    <row r="778" spans="5:12" x14ac:dyDescent="0.3">
      <c r="E778" s="7" t="str">
        <f t="shared" si="32"/>
        <v/>
      </c>
      <c r="H778" s="7" t="str">
        <f>IF(B778&lt;&gt;"Silicone","",IFERROR(XLOOKUP(D778,#REF!,#REF!),""))</f>
        <v/>
      </c>
      <c r="J778" s="7" t="str">
        <f ca="1">IFERROR(XLOOKUP(D778,'Spec_Single_H&amp;S'!B:B,'Spec_Single_H&amp;S'!E:E),
IFERROR(XLOOKUP(D778,#REF!,#REF!),""))</f>
        <v/>
      </c>
      <c r="K778" s="7" t="str">
        <f ca="1">IFERROR(XLOOKUP(D778,'Spec_Single_H&amp;S'!B:B,'Spec_Single_H&amp;S'!F:F),
IFERROR(XLOOKUP(D778,#REF!,#REF!),""))</f>
        <v/>
      </c>
      <c r="L778" s="7" t="str">
        <f t="shared" ca="1" si="31"/>
        <v/>
      </c>
    </row>
    <row r="779" spans="5:12" x14ac:dyDescent="0.3">
      <c r="E779" s="7" t="str">
        <f t="shared" si="32"/>
        <v/>
      </c>
      <c r="H779" s="7" t="str">
        <f>IF(B779&lt;&gt;"Silicone","",IFERROR(XLOOKUP(D779,#REF!,#REF!),""))</f>
        <v/>
      </c>
      <c r="J779" s="7" t="str">
        <f ca="1">IFERROR(XLOOKUP(D779,'Spec_Single_H&amp;S'!B:B,'Spec_Single_H&amp;S'!E:E),
IFERROR(XLOOKUP(D779,#REF!,#REF!),""))</f>
        <v/>
      </c>
      <c r="K779" s="7" t="str">
        <f ca="1">IFERROR(XLOOKUP(D779,'Spec_Single_H&amp;S'!B:B,'Spec_Single_H&amp;S'!F:F),
IFERROR(XLOOKUP(D779,#REF!,#REF!),""))</f>
        <v/>
      </c>
      <c r="L779" s="7" t="str">
        <f t="shared" ca="1" si="31"/>
        <v/>
      </c>
    </row>
    <row r="780" spans="5:12" x14ac:dyDescent="0.3">
      <c r="E780" s="7" t="str">
        <f t="shared" si="32"/>
        <v/>
      </c>
      <c r="H780" s="7" t="str">
        <f>IF(B780&lt;&gt;"Silicone","",IFERROR(XLOOKUP(D780,#REF!,#REF!),""))</f>
        <v/>
      </c>
      <c r="J780" s="7" t="str">
        <f ca="1">IFERROR(XLOOKUP(D780,'Spec_Single_H&amp;S'!B:B,'Spec_Single_H&amp;S'!E:E),
IFERROR(XLOOKUP(D780,#REF!,#REF!),""))</f>
        <v/>
      </c>
      <c r="K780" s="7" t="str">
        <f ca="1">IFERROR(XLOOKUP(D780,'Spec_Single_H&amp;S'!B:B,'Spec_Single_H&amp;S'!F:F),
IFERROR(XLOOKUP(D780,#REF!,#REF!),""))</f>
        <v/>
      </c>
      <c r="L780" s="7" t="str">
        <f t="shared" ca="1" si="31"/>
        <v/>
      </c>
    </row>
    <row r="781" spans="5:12" x14ac:dyDescent="0.3">
      <c r="E781" s="7" t="str">
        <f t="shared" si="32"/>
        <v/>
      </c>
      <c r="H781" s="7" t="str">
        <f>IF(B781&lt;&gt;"Silicone","",IFERROR(XLOOKUP(D781,#REF!,#REF!),""))</f>
        <v/>
      </c>
      <c r="J781" s="7" t="str">
        <f ca="1">IFERROR(XLOOKUP(D781,'Spec_Single_H&amp;S'!B:B,'Spec_Single_H&amp;S'!E:E),
IFERROR(XLOOKUP(D781,#REF!,#REF!),""))</f>
        <v/>
      </c>
      <c r="K781" s="7" t="str">
        <f ca="1">IFERROR(XLOOKUP(D781,'Spec_Single_H&amp;S'!B:B,'Spec_Single_H&amp;S'!F:F),
IFERROR(XLOOKUP(D781,#REF!,#REF!),""))</f>
        <v/>
      </c>
      <c r="L781" s="7" t="str">
        <f t="shared" ca="1" si="31"/>
        <v/>
      </c>
    </row>
    <row r="782" spans="5:12" x14ac:dyDescent="0.3">
      <c r="E782" s="7" t="str">
        <f t="shared" si="32"/>
        <v/>
      </c>
      <c r="H782" s="7" t="str">
        <f>IF(B782&lt;&gt;"Silicone","",IFERROR(XLOOKUP(D782,#REF!,#REF!),""))</f>
        <v/>
      </c>
      <c r="J782" s="7" t="str">
        <f ca="1">IFERROR(XLOOKUP(D782,'Spec_Single_H&amp;S'!B:B,'Spec_Single_H&amp;S'!E:E),
IFERROR(XLOOKUP(D782,#REF!,#REF!),""))</f>
        <v/>
      </c>
      <c r="K782" s="7" t="str">
        <f ca="1">IFERROR(XLOOKUP(D782,'Spec_Single_H&amp;S'!B:B,'Spec_Single_H&amp;S'!F:F),
IFERROR(XLOOKUP(D782,#REF!,#REF!),""))</f>
        <v/>
      </c>
      <c r="L782" s="7" t="str">
        <f t="shared" ca="1" si="31"/>
        <v/>
      </c>
    </row>
    <row r="783" spans="5:12" x14ac:dyDescent="0.3">
      <c r="E783" s="7" t="str">
        <f t="shared" si="32"/>
        <v/>
      </c>
      <c r="H783" s="7" t="str">
        <f>IF(B783&lt;&gt;"Silicone","",IFERROR(XLOOKUP(D783,#REF!,#REF!),""))</f>
        <v/>
      </c>
      <c r="J783" s="7" t="str">
        <f ca="1">IFERROR(XLOOKUP(D783,'Spec_Single_H&amp;S'!B:B,'Spec_Single_H&amp;S'!E:E),
IFERROR(XLOOKUP(D783,#REF!,#REF!),""))</f>
        <v/>
      </c>
      <c r="K783" s="7" t="str">
        <f ca="1">IFERROR(XLOOKUP(D783,'Spec_Single_H&amp;S'!B:B,'Spec_Single_H&amp;S'!F:F),
IFERROR(XLOOKUP(D783,#REF!,#REF!),""))</f>
        <v/>
      </c>
      <c r="L783" s="7" t="str">
        <f t="shared" ca="1" si="31"/>
        <v/>
      </c>
    </row>
    <row r="784" spans="5:12" x14ac:dyDescent="0.3">
      <c r="E784" s="7" t="str">
        <f t="shared" si="32"/>
        <v/>
      </c>
      <c r="H784" s="7" t="str">
        <f>IF(B784&lt;&gt;"Silicone","",IFERROR(XLOOKUP(D784,#REF!,#REF!),""))</f>
        <v/>
      </c>
      <c r="J784" s="7" t="str">
        <f ca="1">IFERROR(XLOOKUP(D784,'Spec_Single_H&amp;S'!B:B,'Spec_Single_H&amp;S'!E:E),
IFERROR(XLOOKUP(D784,#REF!,#REF!),""))</f>
        <v/>
      </c>
      <c r="K784" s="7" t="str">
        <f ca="1">IFERROR(XLOOKUP(D784,'Spec_Single_H&amp;S'!B:B,'Spec_Single_H&amp;S'!F:F),
IFERROR(XLOOKUP(D784,#REF!,#REF!),""))</f>
        <v/>
      </c>
      <c r="L784" s="7" t="str">
        <f t="shared" ca="1" si="31"/>
        <v/>
      </c>
    </row>
    <row r="785" spans="5:12" x14ac:dyDescent="0.3">
      <c r="E785" s="7" t="str">
        <f t="shared" si="32"/>
        <v/>
      </c>
      <c r="H785" s="7" t="str">
        <f>IF(B785&lt;&gt;"Silicone","",IFERROR(XLOOKUP(D785,#REF!,#REF!),""))</f>
        <v/>
      </c>
      <c r="J785" s="7" t="str">
        <f ca="1">IFERROR(XLOOKUP(D785,'Spec_Single_H&amp;S'!B:B,'Spec_Single_H&amp;S'!E:E),
IFERROR(XLOOKUP(D785,#REF!,#REF!),""))</f>
        <v/>
      </c>
      <c r="K785" s="7" t="str">
        <f ca="1">IFERROR(XLOOKUP(D785,'Spec_Single_H&amp;S'!B:B,'Spec_Single_H&amp;S'!F:F),
IFERROR(XLOOKUP(D785,#REF!,#REF!),""))</f>
        <v/>
      </c>
      <c r="L785" s="7" t="str">
        <f t="shared" ca="1" si="31"/>
        <v/>
      </c>
    </row>
    <row r="786" spans="5:12" x14ac:dyDescent="0.3">
      <c r="E786" s="7" t="str">
        <f t="shared" si="32"/>
        <v/>
      </c>
      <c r="H786" s="7" t="str">
        <f>IF(B786&lt;&gt;"Silicone","",IFERROR(XLOOKUP(D786,#REF!,#REF!),""))</f>
        <v/>
      </c>
      <c r="J786" s="7" t="str">
        <f ca="1">IFERROR(XLOOKUP(D786,'Spec_Single_H&amp;S'!B:B,'Spec_Single_H&amp;S'!E:E),
IFERROR(XLOOKUP(D786,#REF!,#REF!),""))</f>
        <v/>
      </c>
      <c r="K786" s="7" t="str">
        <f ca="1">IFERROR(XLOOKUP(D786,'Spec_Single_H&amp;S'!B:B,'Spec_Single_H&amp;S'!F:F),
IFERROR(XLOOKUP(D786,#REF!,#REF!),""))</f>
        <v/>
      </c>
      <c r="L786" s="7" t="str">
        <f t="shared" ca="1" si="31"/>
        <v/>
      </c>
    </row>
    <row r="787" spans="5:12" x14ac:dyDescent="0.3">
      <c r="E787" s="7" t="str">
        <f t="shared" si="32"/>
        <v/>
      </c>
      <c r="H787" s="7" t="str">
        <f>IF(B787&lt;&gt;"Silicone","",IFERROR(XLOOKUP(D787,#REF!,#REF!),""))</f>
        <v/>
      </c>
      <c r="J787" s="7" t="str">
        <f ca="1">IFERROR(XLOOKUP(D787,'Spec_Single_H&amp;S'!B:B,'Spec_Single_H&amp;S'!E:E),
IFERROR(XLOOKUP(D787,#REF!,#REF!),""))</f>
        <v/>
      </c>
      <c r="K787" s="7" t="str">
        <f ca="1">IFERROR(XLOOKUP(D787,'Spec_Single_H&amp;S'!B:B,'Spec_Single_H&amp;S'!F:F),
IFERROR(XLOOKUP(D787,#REF!,#REF!),""))</f>
        <v/>
      </c>
      <c r="L787" s="7" t="str">
        <f t="shared" ca="1" si="31"/>
        <v/>
      </c>
    </row>
    <row r="788" spans="5:12" x14ac:dyDescent="0.3">
      <c r="E788" s="7" t="str">
        <f t="shared" si="32"/>
        <v/>
      </c>
      <c r="H788" s="7" t="str">
        <f>IF(B788&lt;&gt;"Silicone","",IFERROR(XLOOKUP(D788,#REF!,#REF!),""))</f>
        <v/>
      </c>
      <c r="J788" s="7" t="str">
        <f ca="1">IFERROR(XLOOKUP(D788,'Spec_Single_H&amp;S'!B:B,'Spec_Single_H&amp;S'!E:E),
IFERROR(XLOOKUP(D788,#REF!,#REF!),""))</f>
        <v/>
      </c>
      <c r="K788" s="7" t="str">
        <f ca="1">IFERROR(XLOOKUP(D788,'Spec_Single_H&amp;S'!B:B,'Spec_Single_H&amp;S'!F:F),
IFERROR(XLOOKUP(D788,#REF!,#REF!),""))</f>
        <v/>
      </c>
      <c r="L788" s="7" t="str">
        <f t="shared" ca="1" si="31"/>
        <v/>
      </c>
    </row>
    <row r="789" spans="5:12" x14ac:dyDescent="0.3">
      <c r="E789" s="7" t="str">
        <f t="shared" si="32"/>
        <v/>
      </c>
      <c r="H789" s="7" t="str">
        <f>IF(B789&lt;&gt;"Silicone","",IFERROR(XLOOKUP(D789,#REF!,#REF!),""))</f>
        <v/>
      </c>
      <c r="J789" s="7" t="str">
        <f ca="1">IFERROR(XLOOKUP(D789,'Spec_Single_H&amp;S'!B:B,'Spec_Single_H&amp;S'!E:E),
IFERROR(XLOOKUP(D789,#REF!,#REF!),""))</f>
        <v/>
      </c>
      <c r="K789" s="7" t="str">
        <f ca="1">IFERROR(XLOOKUP(D789,'Spec_Single_H&amp;S'!B:B,'Spec_Single_H&amp;S'!F:F),
IFERROR(XLOOKUP(D789,#REF!,#REF!),""))</f>
        <v/>
      </c>
      <c r="L789" s="7" t="str">
        <f t="shared" ca="1" si="31"/>
        <v/>
      </c>
    </row>
    <row r="790" spans="5:12" x14ac:dyDescent="0.3">
      <c r="E790" s="7" t="str">
        <f t="shared" si="32"/>
        <v/>
      </c>
      <c r="H790" s="7" t="str">
        <f>IF(B790&lt;&gt;"Silicone","",IFERROR(XLOOKUP(D790,#REF!,#REF!),""))</f>
        <v/>
      </c>
      <c r="J790" s="7" t="str">
        <f ca="1">IFERROR(XLOOKUP(D790,'Spec_Single_H&amp;S'!B:B,'Spec_Single_H&amp;S'!E:E),
IFERROR(XLOOKUP(D790,#REF!,#REF!),""))</f>
        <v/>
      </c>
      <c r="K790" s="7" t="str">
        <f ca="1">IFERROR(XLOOKUP(D790,'Spec_Single_H&amp;S'!B:B,'Spec_Single_H&amp;S'!F:F),
IFERROR(XLOOKUP(D790,#REF!,#REF!),""))</f>
        <v/>
      </c>
      <c r="L790" s="7" t="str">
        <f t="shared" ca="1" si="31"/>
        <v/>
      </c>
    </row>
    <row r="791" spans="5:12" x14ac:dyDescent="0.3">
      <c r="E791" s="7" t="str">
        <f t="shared" si="32"/>
        <v/>
      </c>
      <c r="H791" s="7" t="str">
        <f>IF(B791&lt;&gt;"Silicone","",IFERROR(XLOOKUP(D791,#REF!,#REF!),""))</f>
        <v/>
      </c>
      <c r="J791" s="7" t="str">
        <f ca="1">IFERROR(XLOOKUP(D791,'Spec_Single_H&amp;S'!B:B,'Spec_Single_H&amp;S'!E:E),
IFERROR(XLOOKUP(D791,#REF!,#REF!),""))</f>
        <v/>
      </c>
      <c r="K791" s="7" t="str">
        <f ca="1">IFERROR(XLOOKUP(D791,'Spec_Single_H&amp;S'!B:B,'Spec_Single_H&amp;S'!F:F),
IFERROR(XLOOKUP(D791,#REF!,#REF!),""))</f>
        <v/>
      </c>
      <c r="L791" s="7" t="str">
        <f t="shared" ca="1" si="31"/>
        <v/>
      </c>
    </row>
    <row r="792" spans="5:12" x14ac:dyDescent="0.3">
      <c r="E792" s="7" t="str">
        <f t="shared" si="32"/>
        <v/>
      </c>
      <c r="H792" s="7" t="str">
        <f>IF(B792&lt;&gt;"Silicone","",IFERROR(XLOOKUP(D792,#REF!,#REF!),""))</f>
        <v/>
      </c>
      <c r="J792" s="7" t="str">
        <f ca="1">IFERROR(XLOOKUP(D792,'Spec_Single_H&amp;S'!B:B,'Spec_Single_H&amp;S'!E:E),
IFERROR(XLOOKUP(D792,#REF!,#REF!),""))</f>
        <v/>
      </c>
      <c r="K792" s="7" t="str">
        <f ca="1">IFERROR(XLOOKUP(D792,'Spec_Single_H&amp;S'!B:B,'Spec_Single_H&amp;S'!F:F),
IFERROR(XLOOKUP(D792,#REF!,#REF!),""))</f>
        <v/>
      </c>
      <c r="L792" s="7" t="str">
        <f t="shared" ca="1" si="31"/>
        <v/>
      </c>
    </row>
    <row r="793" spans="5:12" x14ac:dyDescent="0.3">
      <c r="E793" s="7" t="str">
        <f t="shared" si="32"/>
        <v/>
      </c>
      <c r="H793" s="7" t="str">
        <f>IF(B793&lt;&gt;"Silicone","",IFERROR(XLOOKUP(D793,#REF!,#REF!),""))</f>
        <v/>
      </c>
      <c r="J793" s="7" t="str">
        <f ca="1">IFERROR(XLOOKUP(D793,'Spec_Single_H&amp;S'!B:B,'Spec_Single_H&amp;S'!E:E),
IFERROR(XLOOKUP(D793,#REF!,#REF!),""))</f>
        <v/>
      </c>
      <c r="K793" s="7" t="str">
        <f ca="1">IFERROR(XLOOKUP(D793,'Spec_Single_H&amp;S'!B:B,'Spec_Single_H&amp;S'!F:F),
IFERROR(XLOOKUP(D793,#REF!,#REF!),""))</f>
        <v/>
      </c>
      <c r="L793" s="7" t="str">
        <f t="shared" ca="1" si="31"/>
        <v/>
      </c>
    </row>
    <row r="794" spans="5:12" x14ac:dyDescent="0.3">
      <c r="E794" s="7" t="str">
        <f t="shared" si="32"/>
        <v/>
      </c>
      <c r="H794" s="7" t="str">
        <f>IF(B794&lt;&gt;"Silicone","",IFERROR(XLOOKUP(D794,#REF!,#REF!),""))</f>
        <v/>
      </c>
      <c r="J794" s="7" t="str">
        <f ca="1">IFERROR(XLOOKUP(D794,'Spec_Single_H&amp;S'!B:B,'Spec_Single_H&amp;S'!E:E),
IFERROR(XLOOKUP(D794,#REF!,#REF!),""))</f>
        <v/>
      </c>
      <c r="K794" s="7" t="str">
        <f ca="1">IFERROR(XLOOKUP(D794,'Spec_Single_H&amp;S'!B:B,'Spec_Single_H&amp;S'!F:F),
IFERROR(XLOOKUP(D794,#REF!,#REF!),""))</f>
        <v/>
      </c>
      <c r="L794" s="7" t="str">
        <f t="shared" ca="1" si="31"/>
        <v/>
      </c>
    </row>
    <row r="795" spans="5:12" x14ac:dyDescent="0.3">
      <c r="E795" s="7" t="str">
        <f t="shared" si="32"/>
        <v/>
      </c>
      <c r="H795" s="7" t="str">
        <f>IF(B795&lt;&gt;"Silicone","",IFERROR(XLOOKUP(D795,#REF!,#REF!),""))</f>
        <v/>
      </c>
      <c r="J795" s="7" t="str">
        <f ca="1">IFERROR(XLOOKUP(D795,'Spec_Single_H&amp;S'!B:B,'Spec_Single_H&amp;S'!E:E),
IFERROR(XLOOKUP(D795,#REF!,#REF!),""))</f>
        <v/>
      </c>
      <c r="K795" s="7" t="str">
        <f ca="1">IFERROR(XLOOKUP(D795,'Spec_Single_H&amp;S'!B:B,'Spec_Single_H&amp;S'!F:F),
IFERROR(XLOOKUP(D795,#REF!,#REF!),""))</f>
        <v/>
      </c>
      <c r="L795" s="7" t="str">
        <f t="shared" ca="1" si="31"/>
        <v/>
      </c>
    </row>
    <row r="796" spans="5:12" x14ac:dyDescent="0.3">
      <c r="E796" s="7" t="str">
        <f t="shared" si="32"/>
        <v/>
      </c>
      <c r="H796" s="7" t="str">
        <f>IF(B796&lt;&gt;"Silicone","",IFERROR(XLOOKUP(D796,#REF!,#REF!),""))</f>
        <v/>
      </c>
      <c r="J796" s="7" t="str">
        <f ca="1">IFERROR(XLOOKUP(D796,'Spec_Single_H&amp;S'!B:B,'Spec_Single_H&amp;S'!E:E),
IFERROR(XLOOKUP(D796,#REF!,#REF!),""))</f>
        <v/>
      </c>
      <c r="K796" s="7" t="str">
        <f ca="1">IFERROR(XLOOKUP(D796,'Spec_Single_H&amp;S'!B:B,'Spec_Single_H&amp;S'!F:F),
IFERROR(XLOOKUP(D796,#REF!,#REF!),""))</f>
        <v/>
      </c>
      <c r="L796" s="7" t="str">
        <f t="shared" ca="1" si="31"/>
        <v/>
      </c>
    </row>
    <row r="797" spans="5:12" x14ac:dyDescent="0.3">
      <c r="E797" s="7" t="str">
        <f t="shared" si="32"/>
        <v/>
      </c>
      <c r="H797" s="7" t="str">
        <f>IF(B797&lt;&gt;"Silicone","",IFERROR(XLOOKUP(D797,#REF!,#REF!),""))</f>
        <v/>
      </c>
      <c r="J797" s="7" t="str">
        <f ca="1">IFERROR(XLOOKUP(D797,'Spec_Single_H&amp;S'!B:B,'Spec_Single_H&amp;S'!E:E),
IFERROR(XLOOKUP(D797,#REF!,#REF!),""))</f>
        <v/>
      </c>
      <c r="K797" s="7" t="str">
        <f ca="1">IFERROR(XLOOKUP(D797,'Spec_Single_H&amp;S'!B:B,'Spec_Single_H&amp;S'!F:F),
IFERROR(XLOOKUP(D797,#REF!,#REF!),""))</f>
        <v/>
      </c>
      <c r="L797" s="7" t="str">
        <f t="shared" ca="1" si="31"/>
        <v/>
      </c>
    </row>
    <row r="798" spans="5:12" x14ac:dyDescent="0.3">
      <c r="E798" s="7" t="str">
        <f t="shared" si="32"/>
        <v/>
      </c>
      <c r="H798" s="7" t="str">
        <f>IF(B798&lt;&gt;"Silicone","",IFERROR(XLOOKUP(D798,#REF!,#REF!),""))</f>
        <v/>
      </c>
      <c r="J798" s="7" t="str">
        <f ca="1">IFERROR(XLOOKUP(D798,'Spec_Single_H&amp;S'!B:B,'Spec_Single_H&amp;S'!E:E),
IFERROR(XLOOKUP(D798,#REF!,#REF!),""))</f>
        <v/>
      </c>
      <c r="K798" s="7" t="str">
        <f ca="1">IFERROR(XLOOKUP(D798,'Spec_Single_H&amp;S'!B:B,'Spec_Single_H&amp;S'!F:F),
IFERROR(XLOOKUP(D798,#REF!,#REF!),""))</f>
        <v/>
      </c>
      <c r="L798" s="7" t="str">
        <f t="shared" ca="1" si="31"/>
        <v/>
      </c>
    </row>
    <row r="799" spans="5:12" x14ac:dyDescent="0.3">
      <c r="E799" s="7" t="str">
        <f t="shared" si="32"/>
        <v/>
      </c>
      <c r="H799" s="7" t="str">
        <f>IF(B799&lt;&gt;"Silicone","",IFERROR(XLOOKUP(D799,#REF!,#REF!),""))</f>
        <v/>
      </c>
      <c r="J799" s="7" t="str">
        <f ca="1">IFERROR(XLOOKUP(D799,'Spec_Single_H&amp;S'!B:B,'Spec_Single_H&amp;S'!E:E),
IFERROR(XLOOKUP(D799,#REF!,#REF!),""))</f>
        <v/>
      </c>
      <c r="K799" s="7" t="str">
        <f ca="1">IFERROR(XLOOKUP(D799,'Spec_Single_H&amp;S'!B:B,'Spec_Single_H&amp;S'!F:F),
IFERROR(XLOOKUP(D799,#REF!,#REF!),""))</f>
        <v/>
      </c>
      <c r="L799" s="7" t="str">
        <f t="shared" ca="1" si="31"/>
        <v/>
      </c>
    </row>
    <row r="800" spans="5:12" x14ac:dyDescent="0.3">
      <c r="E800" s="7" t="str">
        <f t="shared" si="32"/>
        <v/>
      </c>
      <c r="H800" s="7" t="str">
        <f>IF(B800&lt;&gt;"Silicone","",IFERROR(XLOOKUP(D800,#REF!,#REF!),""))</f>
        <v/>
      </c>
      <c r="J800" s="7" t="str">
        <f ca="1">IFERROR(XLOOKUP(D800,'Spec_Single_H&amp;S'!B:B,'Spec_Single_H&amp;S'!E:E),
IFERROR(XLOOKUP(D800,#REF!,#REF!),""))</f>
        <v/>
      </c>
      <c r="K800" s="7" t="str">
        <f ca="1">IFERROR(XLOOKUP(D800,'Spec_Single_H&amp;S'!B:B,'Spec_Single_H&amp;S'!F:F),
IFERROR(XLOOKUP(D800,#REF!,#REF!),""))</f>
        <v/>
      </c>
      <c r="L800" s="7" t="str">
        <f t="shared" ca="1" si="31"/>
        <v/>
      </c>
    </row>
    <row r="801" spans="5:12" x14ac:dyDescent="0.3">
      <c r="E801" s="7" t="str">
        <f t="shared" si="32"/>
        <v/>
      </c>
      <c r="H801" s="7" t="str">
        <f>IF(B801&lt;&gt;"Silicone","",IFERROR(XLOOKUP(D801,#REF!,#REF!),""))</f>
        <v/>
      </c>
      <c r="J801" s="7" t="str">
        <f ca="1">IFERROR(XLOOKUP(D801,'Spec_Single_H&amp;S'!B:B,'Spec_Single_H&amp;S'!E:E),
IFERROR(XLOOKUP(D801,#REF!,#REF!),""))</f>
        <v/>
      </c>
      <c r="K801" s="7" t="str">
        <f ca="1">IFERROR(XLOOKUP(D801,'Spec_Single_H&amp;S'!B:B,'Spec_Single_H&amp;S'!F:F),
IFERROR(XLOOKUP(D801,#REF!,#REF!),""))</f>
        <v/>
      </c>
      <c r="L801" s="7" t="str">
        <f t="shared" ca="1" si="31"/>
        <v/>
      </c>
    </row>
    <row r="802" spans="5:12" x14ac:dyDescent="0.3">
      <c r="E802" s="7" t="str">
        <f t="shared" si="32"/>
        <v/>
      </c>
      <c r="H802" s="7" t="str">
        <f>IF(B802&lt;&gt;"Silicone","",IFERROR(XLOOKUP(D802,#REF!,#REF!),""))</f>
        <v/>
      </c>
      <c r="J802" s="7" t="str">
        <f ca="1">IFERROR(XLOOKUP(D802,'Spec_Single_H&amp;S'!B:B,'Spec_Single_H&amp;S'!E:E),
IFERROR(XLOOKUP(D802,#REF!,#REF!),""))</f>
        <v/>
      </c>
      <c r="K802" s="7" t="str">
        <f ca="1">IFERROR(XLOOKUP(D802,'Spec_Single_H&amp;S'!B:B,'Spec_Single_H&amp;S'!F:F),
IFERROR(XLOOKUP(D802,#REF!,#REF!),""))</f>
        <v/>
      </c>
      <c r="L802" s="7" t="str">
        <f t="shared" ca="1" si="31"/>
        <v/>
      </c>
    </row>
    <row r="803" spans="5:12" x14ac:dyDescent="0.3">
      <c r="E803" s="7" t="str">
        <f t="shared" si="32"/>
        <v/>
      </c>
      <c r="H803" s="7" t="str">
        <f>IF(B803&lt;&gt;"Silicone","",IFERROR(XLOOKUP(D803,#REF!,#REF!),""))</f>
        <v/>
      </c>
      <c r="J803" s="7" t="str">
        <f ca="1">IFERROR(XLOOKUP(D803,'Spec_Single_H&amp;S'!B:B,'Spec_Single_H&amp;S'!E:E),
IFERROR(XLOOKUP(D803,#REF!,#REF!),""))</f>
        <v/>
      </c>
      <c r="K803" s="7" t="str">
        <f ca="1">IFERROR(XLOOKUP(D803,'Spec_Single_H&amp;S'!B:B,'Spec_Single_H&amp;S'!F:F),
IFERROR(XLOOKUP(D803,#REF!,#REF!),""))</f>
        <v/>
      </c>
      <c r="L803" s="7" t="str">
        <f t="shared" ca="1" si="31"/>
        <v/>
      </c>
    </row>
    <row r="804" spans="5:12" x14ac:dyDescent="0.3">
      <c r="E804" s="7" t="str">
        <f t="shared" si="32"/>
        <v/>
      </c>
      <c r="H804" s="7" t="str">
        <f>IF(B804&lt;&gt;"Silicone","",IFERROR(XLOOKUP(D804,#REF!,#REF!),""))</f>
        <v/>
      </c>
      <c r="J804" s="7" t="str">
        <f ca="1">IFERROR(XLOOKUP(D804,'Spec_Single_H&amp;S'!B:B,'Spec_Single_H&amp;S'!E:E),
IFERROR(XLOOKUP(D804,#REF!,#REF!),""))</f>
        <v/>
      </c>
      <c r="K804" s="7" t="str">
        <f ca="1">IFERROR(XLOOKUP(D804,'Spec_Single_H&amp;S'!B:B,'Spec_Single_H&amp;S'!F:F),
IFERROR(XLOOKUP(D804,#REF!,#REF!),""))</f>
        <v/>
      </c>
      <c r="L804" s="7" t="str">
        <f t="shared" ca="1" si="31"/>
        <v/>
      </c>
    </row>
    <row r="805" spans="5:12" x14ac:dyDescent="0.3">
      <c r="E805" s="7" t="str">
        <f t="shared" si="32"/>
        <v/>
      </c>
      <c r="H805" s="7" t="str">
        <f>IF(B805&lt;&gt;"Silicone","",IFERROR(XLOOKUP(D805,#REF!,#REF!),""))</f>
        <v/>
      </c>
      <c r="J805" s="7" t="str">
        <f ca="1">IFERROR(XLOOKUP(D805,'Spec_Single_H&amp;S'!B:B,'Spec_Single_H&amp;S'!E:E),
IFERROR(XLOOKUP(D805,#REF!,#REF!),""))</f>
        <v/>
      </c>
      <c r="K805" s="7" t="str">
        <f ca="1">IFERROR(XLOOKUP(D805,'Spec_Single_H&amp;S'!B:B,'Spec_Single_H&amp;S'!F:F),
IFERROR(XLOOKUP(D805,#REF!,#REF!),""))</f>
        <v/>
      </c>
      <c r="L805" s="7" t="str">
        <f t="shared" ca="1" si="31"/>
        <v/>
      </c>
    </row>
    <row r="806" spans="5:12" x14ac:dyDescent="0.3">
      <c r="E806" s="7" t="str">
        <f t="shared" si="32"/>
        <v/>
      </c>
      <c r="H806" s="7" t="str">
        <f>IF(B806&lt;&gt;"Silicone","",IFERROR(XLOOKUP(D806,#REF!,#REF!),""))</f>
        <v/>
      </c>
      <c r="J806" s="7" t="str">
        <f ca="1">IFERROR(XLOOKUP(D806,'Spec_Single_H&amp;S'!B:B,'Spec_Single_H&amp;S'!E:E),
IFERROR(XLOOKUP(D806,#REF!,#REF!),""))</f>
        <v/>
      </c>
      <c r="K806" s="7" t="str">
        <f ca="1">IFERROR(XLOOKUP(D806,'Spec_Single_H&amp;S'!B:B,'Spec_Single_H&amp;S'!F:F),
IFERROR(XLOOKUP(D806,#REF!,#REF!),""))</f>
        <v/>
      </c>
      <c r="L806" s="7" t="str">
        <f t="shared" ca="1" si="31"/>
        <v/>
      </c>
    </row>
    <row r="807" spans="5:12" x14ac:dyDescent="0.3">
      <c r="E807" s="7" t="str">
        <f t="shared" si="32"/>
        <v/>
      </c>
      <c r="H807" s="7" t="str">
        <f>IF(B807&lt;&gt;"Silicone","",IFERROR(XLOOKUP(D807,#REF!,#REF!),""))</f>
        <v/>
      </c>
      <c r="J807" s="7" t="str">
        <f ca="1">IFERROR(XLOOKUP(D807,'Spec_Single_H&amp;S'!B:B,'Spec_Single_H&amp;S'!E:E),
IFERROR(XLOOKUP(D807,#REF!,#REF!),""))</f>
        <v/>
      </c>
      <c r="K807" s="7" t="str">
        <f ca="1">IFERROR(XLOOKUP(D807,'Spec_Single_H&amp;S'!B:B,'Spec_Single_H&amp;S'!F:F),
IFERROR(XLOOKUP(D807,#REF!,#REF!),""))</f>
        <v/>
      </c>
      <c r="L807" s="7" t="str">
        <f t="shared" ca="1" si="31"/>
        <v/>
      </c>
    </row>
    <row r="808" spans="5:12" x14ac:dyDescent="0.3">
      <c r="E808" s="7" t="str">
        <f t="shared" si="32"/>
        <v/>
      </c>
      <c r="H808" s="7" t="str">
        <f>IF(B808&lt;&gt;"Silicone","",IFERROR(XLOOKUP(D808,#REF!,#REF!),""))</f>
        <v/>
      </c>
      <c r="J808" s="7" t="str">
        <f ca="1">IFERROR(XLOOKUP(D808,'Spec_Single_H&amp;S'!B:B,'Spec_Single_H&amp;S'!E:E),
IFERROR(XLOOKUP(D808,#REF!,#REF!),""))</f>
        <v/>
      </c>
      <c r="K808" s="7" t="str">
        <f ca="1">IFERROR(XLOOKUP(D808,'Spec_Single_H&amp;S'!B:B,'Spec_Single_H&amp;S'!F:F),
IFERROR(XLOOKUP(D808,#REF!,#REF!),""))</f>
        <v/>
      </c>
      <c r="L808" s="7" t="str">
        <f t="shared" ca="1" si="31"/>
        <v/>
      </c>
    </row>
    <row r="809" spans="5:12" x14ac:dyDescent="0.3">
      <c r="E809" s="7" t="str">
        <f t="shared" si="32"/>
        <v/>
      </c>
      <c r="H809" s="7" t="str">
        <f>IF(B809&lt;&gt;"Silicone","",IFERROR(XLOOKUP(D809,#REF!,#REF!),""))</f>
        <v/>
      </c>
      <c r="J809" s="7" t="str">
        <f ca="1">IFERROR(XLOOKUP(D809,'Spec_Single_H&amp;S'!B:B,'Spec_Single_H&amp;S'!E:E),
IFERROR(XLOOKUP(D809,#REF!,#REF!),""))</f>
        <v/>
      </c>
      <c r="K809" s="7" t="str">
        <f ca="1">IFERROR(XLOOKUP(D809,'Spec_Single_H&amp;S'!B:B,'Spec_Single_H&amp;S'!F:F),
IFERROR(XLOOKUP(D809,#REF!,#REF!),""))</f>
        <v/>
      </c>
      <c r="L809" s="7" t="str">
        <f t="shared" ca="1" si="31"/>
        <v/>
      </c>
    </row>
    <row r="810" spans="5:12" x14ac:dyDescent="0.3">
      <c r="E810" s="7" t="str">
        <f t="shared" si="32"/>
        <v/>
      </c>
      <c r="H810" s="7" t="str">
        <f>IF(B810&lt;&gt;"Silicone","",IFERROR(XLOOKUP(D810,#REF!,#REF!),""))</f>
        <v/>
      </c>
      <c r="J810" s="7" t="str">
        <f ca="1">IFERROR(XLOOKUP(D810,'Spec_Single_H&amp;S'!B:B,'Spec_Single_H&amp;S'!E:E),
IFERROR(XLOOKUP(D810,#REF!,#REF!),""))</f>
        <v/>
      </c>
      <c r="K810" s="7" t="str">
        <f ca="1">IFERROR(XLOOKUP(D810,'Spec_Single_H&amp;S'!B:B,'Spec_Single_H&amp;S'!F:F),
IFERROR(XLOOKUP(D810,#REF!,#REF!),""))</f>
        <v/>
      </c>
      <c r="L810" s="7" t="str">
        <f t="shared" ca="1" si="31"/>
        <v/>
      </c>
    </row>
    <row r="811" spans="5:12" x14ac:dyDescent="0.3">
      <c r="E811" s="7" t="str">
        <f t="shared" si="32"/>
        <v/>
      </c>
      <c r="H811" s="7" t="str">
        <f>IF(B811&lt;&gt;"Silicone","",IFERROR(XLOOKUP(D811,#REF!,#REF!),""))</f>
        <v/>
      </c>
      <c r="J811" s="7" t="str">
        <f ca="1">IFERROR(XLOOKUP(D811,'Spec_Single_H&amp;S'!B:B,'Spec_Single_H&amp;S'!E:E),
IFERROR(XLOOKUP(D811,#REF!,#REF!),""))</f>
        <v/>
      </c>
      <c r="K811" s="7" t="str">
        <f ca="1">IFERROR(XLOOKUP(D811,'Spec_Single_H&amp;S'!B:B,'Spec_Single_H&amp;S'!F:F),
IFERROR(XLOOKUP(D811,#REF!,#REF!),""))</f>
        <v/>
      </c>
      <c r="L811" s="7" t="str">
        <f t="shared" ca="1" si="31"/>
        <v/>
      </c>
    </row>
    <row r="812" spans="5:12" x14ac:dyDescent="0.3">
      <c r="E812" s="7" t="str">
        <f t="shared" si="32"/>
        <v/>
      </c>
      <c r="H812" s="7" t="str">
        <f>IF(B812&lt;&gt;"Silicone","",IFERROR(XLOOKUP(D812,#REF!,#REF!),""))</f>
        <v/>
      </c>
      <c r="J812" s="7" t="str">
        <f ca="1">IFERROR(XLOOKUP(D812,'Spec_Single_H&amp;S'!B:B,'Spec_Single_H&amp;S'!E:E),
IFERROR(XLOOKUP(D812,#REF!,#REF!),""))</f>
        <v/>
      </c>
      <c r="K812" s="7" t="str">
        <f ca="1">IFERROR(XLOOKUP(D812,'Spec_Single_H&amp;S'!B:B,'Spec_Single_H&amp;S'!F:F),
IFERROR(XLOOKUP(D812,#REF!,#REF!),""))</f>
        <v/>
      </c>
      <c r="L812" s="7" t="str">
        <f t="shared" ca="1" si="31"/>
        <v/>
      </c>
    </row>
    <row r="813" spans="5:12" x14ac:dyDescent="0.3">
      <c r="E813" s="7" t="str">
        <f t="shared" si="32"/>
        <v/>
      </c>
      <c r="H813" s="7" t="str">
        <f>IF(B813&lt;&gt;"Silicone","",IFERROR(XLOOKUP(D813,#REF!,#REF!),""))</f>
        <v/>
      </c>
      <c r="J813" s="7" t="str">
        <f ca="1">IFERROR(XLOOKUP(D813,'Spec_Single_H&amp;S'!B:B,'Spec_Single_H&amp;S'!E:E),
IFERROR(XLOOKUP(D813,#REF!,#REF!),""))</f>
        <v/>
      </c>
      <c r="K813" s="7" t="str">
        <f ca="1">IFERROR(XLOOKUP(D813,'Spec_Single_H&amp;S'!B:B,'Spec_Single_H&amp;S'!F:F),
IFERROR(XLOOKUP(D813,#REF!,#REF!),""))</f>
        <v/>
      </c>
      <c r="L813" s="7" t="str">
        <f t="shared" ca="1" si="31"/>
        <v/>
      </c>
    </row>
    <row r="814" spans="5:12" x14ac:dyDescent="0.3">
      <c r="E814" s="7" t="str">
        <f t="shared" si="32"/>
        <v/>
      </c>
      <c r="H814" s="7" t="str">
        <f>IF(B814&lt;&gt;"Silicone","",IFERROR(XLOOKUP(D814,#REF!,#REF!),""))</f>
        <v/>
      </c>
      <c r="J814" s="7" t="str">
        <f ca="1">IFERROR(XLOOKUP(D814,'Spec_Single_H&amp;S'!B:B,'Spec_Single_H&amp;S'!E:E),
IFERROR(XLOOKUP(D814,#REF!,#REF!),""))</f>
        <v/>
      </c>
      <c r="K814" s="7" t="str">
        <f ca="1">IFERROR(XLOOKUP(D814,'Spec_Single_H&amp;S'!B:B,'Spec_Single_H&amp;S'!F:F),
IFERROR(XLOOKUP(D814,#REF!,#REF!),""))</f>
        <v/>
      </c>
      <c r="L814" s="7" t="str">
        <f t="shared" ca="1" si="31"/>
        <v/>
      </c>
    </row>
    <row r="815" spans="5:12" x14ac:dyDescent="0.3">
      <c r="E815" s="7" t="str">
        <f t="shared" si="32"/>
        <v/>
      </c>
      <c r="H815" s="7" t="str">
        <f>IF(B815&lt;&gt;"Silicone","",IFERROR(XLOOKUP(D815,#REF!,#REF!),""))</f>
        <v/>
      </c>
      <c r="J815" s="7" t="str">
        <f ca="1">IFERROR(XLOOKUP(D815,'Spec_Single_H&amp;S'!B:B,'Spec_Single_H&amp;S'!E:E),
IFERROR(XLOOKUP(D815,#REF!,#REF!),""))</f>
        <v/>
      </c>
      <c r="K815" s="7" t="str">
        <f ca="1">IFERROR(XLOOKUP(D815,'Spec_Single_H&amp;S'!B:B,'Spec_Single_H&amp;S'!F:F),
IFERROR(XLOOKUP(D815,#REF!,#REF!),""))</f>
        <v/>
      </c>
      <c r="L815" s="7" t="str">
        <f t="shared" ca="1" si="31"/>
        <v/>
      </c>
    </row>
    <row r="816" spans="5:12" x14ac:dyDescent="0.3">
      <c r="E816" s="7" t="str">
        <f t="shared" si="32"/>
        <v/>
      </c>
      <c r="H816" s="7" t="str">
        <f>IF(B816&lt;&gt;"Silicone","",IFERROR(XLOOKUP(D816,#REF!,#REF!),""))</f>
        <v/>
      </c>
      <c r="J816" s="7" t="str">
        <f ca="1">IFERROR(XLOOKUP(D816,'Spec_Single_H&amp;S'!B:B,'Spec_Single_H&amp;S'!E:E),
IFERROR(XLOOKUP(D816,#REF!,#REF!),""))</f>
        <v/>
      </c>
      <c r="K816" s="7" t="str">
        <f ca="1">IFERROR(XLOOKUP(D816,'Spec_Single_H&amp;S'!B:B,'Spec_Single_H&amp;S'!F:F),
IFERROR(XLOOKUP(D816,#REF!,#REF!),""))</f>
        <v/>
      </c>
      <c r="L816" s="7" t="str">
        <f t="shared" ca="1" si="31"/>
        <v/>
      </c>
    </row>
    <row r="817" spans="5:12" x14ac:dyDescent="0.3">
      <c r="E817" s="7" t="str">
        <f t="shared" si="32"/>
        <v/>
      </c>
      <c r="H817" s="7" t="str">
        <f>IF(B817&lt;&gt;"Silicone","",IFERROR(XLOOKUP(D817,#REF!,#REF!),""))</f>
        <v/>
      </c>
      <c r="J817" s="7" t="str">
        <f ca="1">IFERROR(XLOOKUP(D817,'Spec_Single_H&amp;S'!B:B,'Spec_Single_H&amp;S'!E:E),
IFERROR(XLOOKUP(D817,#REF!,#REF!),""))</f>
        <v/>
      </c>
      <c r="K817" s="7" t="str">
        <f ca="1">IFERROR(XLOOKUP(D817,'Spec_Single_H&amp;S'!B:B,'Spec_Single_H&amp;S'!F:F),
IFERROR(XLOOKUP(D817,#REF!,#REF!),""))</f>
        <v/>
      </c>
      <c r="L817" s="7" t="str">
        <f t="shared" ca="1" si="31"/>
        <v/>
      </c>
    </row>
    <row r="818" spans="5:12" x14ac:dyDescent="0.3">
      <c r="E818" s="7" t="str">
        <f t="shared" si="32"/>
        <v/>
      </c>
      <c r="H818" s="7" t="str">
        <f>IF(B818&lt;&gt;"Silicone","",IFERROR(XLOOKUP(D818,#REF!,#REF!),""))</f>
        <v/>
      </c>
      <c r="J818" s="7" t="str">
        <f ca="1">IFERROR(XLOOKUP(D818,'Spec_Single_H&amp;S'!B:B,'Spec_Single_H&amp;S'!E:E),
IFERROR(XLOOKUP(D818,#REF!,#REF!),""))</f>
        <v/>
      </c>
      <c r="K818" s="7" t="str">
        <f ca="1">IFERROR(XLOOKUP(D818,'Spec_Single_H&amp;S'!B:B,'Spec_Single_H&amp;S'!F:F),
IFERROR(XLOOKUP(D818,#REF!,#REF!),""))</f>
        <v/>
      </c>
      <c r="L818" s="7" t="str">
        <f t="shared" ca="1" si="31"/>
        <v/>
      </c>
    </row>
    <row r="819" spans="5:12" x14ac:dyDescent="0.3">
      <c r="E819" s="7" t="str">
        <f t="shared" si="32"/>
        <v/>
      </c>
      <c r="H819" s="7" t="str">
        <f>IF(B819&lt;&gt;"Silicone","",IFERROR(XLOOKUP(D819,#REF!,#REF!),""))</f>
        <v/>
      </c>
      <c r="J819" s="7" t="str">
        <f ca="1">IFERROR(XLOOKUP(D819,'Spec_Single_H&amp;S'!B:B,'Spec_Single_H&amp;S'!E:E),
IFERROR(XLOOKUP(D819,#REF!,#REF!),""))</f>
        <v/>
      </c>
      <c r="K819" s="7" t="str">
        <f ca="1">IFERROR(XLOOKUP(D819,'Spec_Single_H&amp;S'!B:B,'Spec_Single_H&amp;S'!F:F),
IFERROR(XLOOKUP(D819,#REF!,#REF!),""))</f>
        <v/>
      </c>
      <c r="L819" s="7" t="str">
        <f t="shared" ca="1" si="31"/>
        <v/>
      </c>
    </row>
    <row r="820" spans="5:12" x14ac:dyDescent="0.3">
      <c r="E820" s="7" t="str">
        <f t="shared" si="32"/>
        <v/>
      </c>
      <c r="H820" s="7" t="str">
        <f>IF(B820&lt;&gt;"Silicone","",IFERROR(XLOOKUP(D820,#REF!,#REF!),""))</f>
        <v/>
      </c>
      <c r="J820" s="7" t="str">
        <f ca="1">IFERROR(XLOOKUP(D820,'Spec_Single_H&amp;S'!B:B,'Spec_Single_H&amp;S'!E:E),
IFERROR(XLOOKUP(D820,#REF!,#REF!),""))</f>
        <v/>
      </c>
      <c r="K820" s="7" t="str">
        <f ca="1">IFERROR(XLOOKUP(D820,'Spec_Single_H&amp;S'!B:B,'Spec_Single_H&amp;S'!F:F),
IFERROR(XLOOKUP(D820,#REF!,#REF!),""))</f>
        <v/>
      </c>
      <c r="L820" s="7" t="str">
        <f t="shared" ca="1" si="31"/>
        <v/>
      </c>
    </row>
    <row r="821" spans="5:12" x14ac:dyDescent="0.3">
      <c r="E821" s="7" t="str">
        <f t="shared" si="32"/>
        <v/>
      </c>
      <c r="H821" s="7" t="str">
        <f>IF(B821&lt;&gt;"Silicone","",IFERROR(XLOOKUP(D821,#REF!,#REF!),""))</f>
        <v/>
      </c>
      <c r="J821" s="7" t="str">
        <f ca="1">IFERROR(XLOOKUP(D821,'Spec_Single_H&amp;S'!B:B,'Spec_Single_H&amp;S'!E:E),
IFERROR(XLOOKUP(D821,#REF!,#REF!),""))</f>
        <v/>
      </c>
      <c r="K821" s="7" t="str">
        <f ca="1">IFERROR(XLOOKUP(D821,'Spec_Single_H&amp;S'!B:B,'Spec_Single_H&amp;S'!F:F),
IFERROR(XLOOKUP(D821,#REF!,#REF!),""))</f>
        <v/>
      </c>
      <c r="L821" s="7" t="str">
        <f t="shared" ca="1" si="31"/>
        <v/>
      </c>
    </row>
    <row r="822" spans="5:12" x14ac:dyDescent="0.3">
      <c r="E822" s="7" t="str">
        <f t="shared" si="32"/>
        <v/>
      </c>
      <c r="H822" s="7" t="str">
        <f>IF(B822&lt;&gt;"Silicone","",IFERROR(XLOOKUP(D822,#REF!,#REF!),""))</f>
        <v/>
      </c>
      <c r="J822" s="7" t="str">
        <f ca="1">IFERROR(XLOOKUP(D822,'Spec_Single_H&amp;S'!B:B,'Spec_Single_H&amp;S'!E:E),
IFERROR(XLOOKUP(D822,#REF!,#REF!),""))</f>
        <v/>
      </c>
      <c r="K822" s="7" t="str">
        <f ca="1">IFERROR(XLOOKUP(D822,'Spec_Single_H&amp;S'!B:B,'Spec_Single_H&amp;S'!F:F),
IFERROR(XLOOKUP(D822,#REF!,#REF!),""))</f>
        <v/>
      </c>
      <c r="L822" s="7" t="str">
        <f t="shared" ca="1" si="31"/>
        <v/>
      </c>
    </row>
    <row r="823" spans="5:12" x14ac:dyDescent="0.3">
      <c r="E823" s="7" t="str">
        <f t="shared" si="32"/>
        <v/>
      </c>
      <c r="H823" s="7" t="str">
        <f>IF(B823&lt;&gt;"Silicone","",IFERROR(XLOOKUP(D823,#REF!,#REF!),""))</f>
        <v/>
      </c>
      <c r="J823" s="7" t="str">
        <f ca="1">IFERROR(XLOOKUP(D823,'Spec_Single_H&amp;S'!B:B,'Spec_Single_H&amp;S'!E:E),
IFERROR(XLOOKUP(D823,#REF!,#REF!),""))</f>
        <v/>
      </c>
      <c r="K823" s="7" t="str">
        <f ca="1">IFERROR(XLOOKUP(D823,'Spec_Single_H&amp;S'!B:B,'Spec_Single_H&amp;S'!F:F),
IFERROR(XLOOKUP(D823,#REF!,#REF!),""))</f>
        <v/>
      </c>
      <c r="L823" s="7" t="str">
        <f t="shared" ca="1" si="31"/>
        <v/>
      </c>
    </row>
    <row r="824" spans="5:12" x14ac:dyDescent="0.3">
      <c r="E824" s="7" t="str">
        <f t="shared" si="32"/>
        <v/>
      </c>
      <c r="H824" s="7" t="str">
        <f>IF(B824&lt;&gt;"Silicone","",IFERROR(XLOOKUP(D824,#REF!,#REF!),""))</f>
        <v/>
      </c>
      <c r="J824" s="7" t="str">
        <f ca="1">IFERROR(XLOOKUP(D824,'Spec_Single_H&amp;S'!B:B,'Spec_Single_H&amp;S'!E:E),
IFERROR(XLOOKUP(D824,#REF!,#REF!),""))</f>
        <v/>
      </c>
      <c r="K824" s="7" t="str">
        <f ca="1">IFERROR(XLOOKUP(D824,'Spec_Single_H&amp;S'!B:B,'Spec_Single_H&amp;S'!F:F),
IFERROR(XLOOKUP(D824,#REF!,#REF!),""))</f>
        <v/>
      </c>
      <c r="L824" s="7" t="str">
        <f t="shared" ca="1" si="31"/>
        <v/>
      </c>
    </row>
    <row r="825" spans="5:12" x14ac:dyDescent="0.3">
      <c r="E825" s="7" t="str">
        <f t="shared" si="32"/>
        <v/>
      </c>
      <c r="H825" s="7" t="str">
        <f>IF(B825&lt;&gt;"Silicone","",IFERROR(XLOOKUP(D825,#REF!,#REF!),""))</f>
        <v/>
      </c>
      <c r="J825" s="7" t="str">
        <f ca="1">IFERROR(XLOOKUP(D825,'Spec_Single_H&amp;S'!B:B,'Spec_Single_H&amp;S'!E:E),
IFERROR(XLOOKUP(D825,#REF!,#REF!),""))</f>
        <v/>
      </c>
      <c r="K825" s="7" t="str">
        <f ca="1">IFERROR(XLOOKUP(D825,'Spec_Single_H&amp;S'!B:B,'Spec_Single_H&amp;S'!F:F),
IFERROR(XLOOKUP(D825,#REF!,#REF!),""))</f>
        <v/>
      </c>
      <c r="L825" s="7" t="str">
        <f t="shared" ca="1" si="31"/>
        <v/>
      </c>
    </row>
    <row r="826" spans="5:12" x14ac:dyDescent="0.3">
      <c r="E826" s="7" t="str">
        <f t="shared" si="32"/>
        <v/>
      </c>
      <c r="H826" s="7" t="str">
        <f>IF(B826&lt;&gt;"Silicone","",IFERROR(XLOOKUP(D826,#REF!,#REF!),""))</f>
        <v/>
      </c>
      <c r="J826" s="7" t="str">
        <f ca="1">IFERROR(XLOOKUP(D826,'Spec_Single_H&amp;S'!B:B,'Spec_Single_H&amp;S'!E:E),
IFERROR(XLOOKUP(D826,#REF!,#REF!),""))</f>
        <v/>
      </c>
      <c r="K826" s="7" t="str">
        <f ca="1">IFERROR(XLOOKUP(D826,'Spec_Single_H&amp;S'!B:B,'Spec_Single_H&amp;S'!F:F),
IFERROR(XLOOKUP(D826,#REF!,#REF!),""))</f>
        <v/>
      </c>
      <c r="L826" s="7" t="str">
        <f t="shared" ca="1" si="31"/>
        <v/>
      </c>
    </row>
    <row r="827" spans="5:12" x14ac:dyDescent="0.3">
      <c r="E827" s="7" t="str">
        <f t="shared" si="32"/>
        <v/>
      </c>
      <c r="H827" s="7" t="str">
        <f>IF(B827&lt;&gt;"Silicone","",IFERROR(XLOOKUP(D827,#REF!,#REF!),""))</f>
        <v/>
      </c>
      <c r="J827" s="7" t="str">
        <f ca="1">IFERROR(XLOOKUP(D827,'Spec_Single_H&amp;S'!B:B,'Spec_Single_H&amp;S'!E:E),
IFERROR(XLOOKUP(D827,#REF!,#REF!),""))</f>
        <v/>
      </c>
      <c r="K827" s="7" t="str">
        <f ca="1">IFERROR(XLOOKUP(D827,'Spec_Single_H&amp;S'!B:B,'Spec_Single_H&amp;S'!F:F),
IFERROR(XLOOKUP(D827,#REF!,#REF!),""))</f>
        <v/>
      </c>
      <c r="L827" s="7" t="str">
        <f t="shared" ca="1" si="31"/>
        <v/>
      </c>
    </row>
    <row r="828" spans="5:12" x14ac:dyDescent="0.3">
      <c r="E828" s="7" t="str">
        <f t="shared" si="32"/>
        <v/>
      </c>
      <c r="H828" s="7" t="str">
        <f>IF(B828&lt;&gt;"Silicone","",IFERROR(XLOOKUP(D828,#REF!,#REF!),""))</f>
        <v/>
      </c>
      <c r="J828" s="7" t="str">
        <f ca="1">IFERROR(XLOOKUP(D828,'Spec_Single_H&amp;S'!B:B,'Spec_Single_H&amp;S'!E:E),
IFERROR(XLOOKUP(D828,#REF!,#REF!),""))</f>
        <v/>
      </c>
      <c r="K828" s="7" t="str">
        <f ca="1">IFERROR(XLOOKUP(D828,'Spec_Single_H&amp;S'!B:B,'Spec_Single_H&amp;S'!F:F),
IFERROR(XLOOKUP(D828,#REF!,#REF!),""))</f>
        <v/>
      </c>
      <c r="L828" s="7" t="str">
        <f t="shared" ca="1" si="31"/>
        <v/>
      </c>
    </row>
    <row r="829" spans="5:12" x14ac:dyDescent="0.3">
      <c r="E829" s="7" t="str">
        <f t="shared" si="32"/>
        <v/>
      </c>
      <c r="H829" s="7" t="str">
        <f>IF(B829&lt;&gt;"Silicone","",IFERROR(XLOOKUP(D829,#REF!,#REF!),""))</f>
        <v/>
      </c>
      <c r="J829" s="7" t="str">
        <f ca="1">IFERROR(XLOOKUP(D829,'Spec_Single_H&amp;S'!B:B,'Spec_Single_H&amp;S'!E:E),
IFERROR(XLOOKUP(D829,#REF!,#REF!),""))</f>
        <v/>
      </c>
      <c r="K829" s="7" t="str">
        <f ca="1">IFERROR(XLOOKUP(D829,'Spec_Single_H&amp;S'!B:B,'Spec_Single_H&amp;S'!F:F),
IFERROR(XLOOKUP(D829,#REF!,#REF!),""))</f>
        <v/>
      </c>
      <c r="L829" s="7" t="str">
        <f t="shared" ca="1" si="31"/>
        <v/>
      </c>
    </row>
    <row r="830" spans="5:12" x14ac:dyDescent="0.3">
      <c r="E830" s="7" t="str">
        <f t="shared" si="32"/>
        <v/>
      </c>
      <c r="H830" s="7" t="str">
        <f>IF(B830&lt;&gt;"Silicone","",IFERROR(XLOOKUP(D830,#REF!,#REF!),""))</f>
        <v/>
      </c>
      <c r="J830" s="7" t="str">
        <f ca="1">IFERROR(XLOOKUP(D830,'Spec_Single_H&amp;S'!B:B,'Spec_Single_H&amp;S'!E:E),
IFERROR(XLOOKUP(D830,#REF!,#REF!),""))</f>
        <v/>
      </c>
      <c r="K830" s="7" t="str">
        <f ca="1">IFERROR(XLOOKUP(D830,'Spec_Single_H&amp;S'!B:B,'Spec_Single_H&amp;S'!F:F),
IFERROR(XLOOKUP(D830,#REF!,#REF!),""))</f>
        <v/>
      </c>
      <c r="L830" s="7" t="str">
        <f t="shared" ca="1" si="31"/>
        <v/>
      </c>
    </row>
    <row r="831" spans="5:12" x14ac:dyDescent="0.3">
      <c r="E831" s="7" t="str">
        <f t="shared" si="32"/>
        <v/>
      </c>
      <c r="H831" s="7" t="str">
        <f>IF(B831&lt;&gt;"Silicone","",IFERROR(XLOOKUP(D831,#REF!,#REF!),""))</f>
        <v/>
      </c>
      <c r="J831" s="7" t="str">
        <f ca="1">IFERROR(XLOOKUP(D831,'Spec_Single_H&amp;S'!B:B,'Spec_Single_H&amp;S'!E:E),
IFERROR(XLOOKUP(D831,#REF!,#REF!),""))</f>
        <v/>
      </c>
      <c r="K831" s="7" t="str">
        <f ca="1">IFERROR(XLOOKUP(D831,'Spec_Single_H&amp;S'!B:B,'Spec_Single_H&amp;S'!F:F),
IFERROR(XLOOKUP(D831,#REF!,#REF!),""))</f>
        <v/>
      </c>
      <c r="L831" s="7" t="str">
        <f t="shared" ca="1" si="31"/>
        <v/>
      </c>
    </row>
    <row r="832" spans="5:12" x14ac:dyDescent="0.3">
      <c r="E832" s="7" t="str">
        <f t="shared" si="32"/>
        <v/>
      </c>
      <c r="H832" s="7" t="str">
        <f>IF(B832&lt;&gt;"Silicone","",IFERROR(XLOOKUP(D832,#REF!,#REF!),""))</f>
        <v/>
      </c>
      <c r="J832" s="7" t="str">
        <f ca="1">IFERROR(XLOOKUP(D832,'Spec_Single_H&amp;S'!B:B,'Spec_Single_H&amp;S'!E:E),
IFERROR(XLOOKUP(D832,#REF!,#REF!),""))</f>
        <v/>
      </c>
      <c r="K832" s="7" t="str">
        <f ca="1">IFERROR(XLOOKUP(D832,'Spec_Single_H&amp;S'!B:B,'Spec_Single_H&amp;S'!F:F),
IFERROR(XLOOKUP(D832,#REF!,#REF!),""))</f>
        <v/>
      </c>
      <c r="L832" s="7" t="str">
        <f t="shared" ca="1" si="31"/>
        <v/>
      </c>
    </row>
    <row r="833" spans="5:12" x14ac:dyDescent="0.3">
      <c r="E833" s="7" t="str">
        <f t="shared" si="32"/>
        <v/>
      </c>
      <c r="H833" s="7" t="str">
        <f>IF(B833&lt;&gt;"Silicone","",IFERROR(XLOOKUP(D833,#REF!,#REF!),""))</f>
        <v/>
      </c>
      <c r="J833" s="7" t="str">
        <f ca="1">IFERROR(XLOOKUP(D833,'Spec_Single_H&amp;S'!B:B,'Spec_Single_H&amp;S'!E:E),
IFERROR(XLOOKUP(D833,#REF!,#REF!),""))</f>
        <v/>
      </c>
      <c r="K833" s="7" t="str">
        <f ca="1">IFERROR(XLOOKUP(D833,'Spec_Single_H&amp;S'!B:B,'Spec_Single_H&amp;S'!F:F),
IFERROR(XLOOKUP(D833,#REF!,#REF!),""))</f>
        <v/>
      </c>
      <c r="L833" s="7" t="str">
        <f t="shared" ca="1" si="31"/>
        <v/>
      </c>
    </row>
    <row r="834" spans="5:12" x14ac:dyDescent="0.3">
      <c r="E834" s="7" t="str">
        <f t="shared" si="32"/>
        <v/>
      </c>
      <c r="H834" s="7" t="str">
        <f>IF(B834&lt;&gt;"Silicone","",IFERROR(XLOOKUP(D834,#REF!,#REF!),""))</f>
        <v/>
      </c>
      <c r="J834" s="7" t="str">
        <f ca="1">IFERROR(XLOOKUP(D834,'Spec_Single_H&amp;S'!B:B,'Spec_Single_H&amp;S'!E:E),
IFERROR(XLOOKUP(D834,#REF!,#REF!),""))</f>
        <v/>
      </c>
      <c r="K834" s="7" t="str">
        <f ca="1">IFERROR(XLOOKUP(D834,'Spec_Single_H&amp;S'!B:B,'Spec_Single_H&amp;S'!F:F),
IFERROR(XLOOKUP(D834,#REF!,#REF!),""))</f>
        <v/>
      </c>
      <c r="L834" s="7" t="str">
        <f t="shared" ca="1" si="31"/>
        <v/>
      </c>
    </row>
    <row r="835" spans="5:12" x14ac:dyDescent="0.3">
      <c r="E835" s="7" t="str">
        <f t="shared" si="32"/>
        <v/>
      </c>
      <c r="H835" s="7" t="str">
        <f>IF(B835&lt;&gt;"Silicone","",IFERROR(XLOOKUP(D835,#REF!,#REF!),""))</f>
        <v/>
      </c>
      <c r="J835" s="7" t="str">
        <f ca="1">IFERROR(XLOOKUP(D835,'Spec_Single_H&amp;S'!B:B,'Spec_Single_H&amp;S'!E:E),
IFERROR(XLOOKUP(D835,#REF!,#REF!),""))</f>
        <v/>
      </c>
      <c r="K835" s="7" t="str">
        <f ca="1">IFERROR(XLOOKUP(D835,'Spec_Single_H&amp;S'!B:B,'Spec_Single_H&amp;S'!F:F),
IFERROR(XLOOKUP(D835,#REF!,#REF!),""))</f>
        <v/>
      </c>
      <c r="L835" s="7" t="str">
        <f t="shared" ca="1" si="31"/>
        <v/>
      </c>
    </row>
    <row r="836" spans="5:12" x14ac:dyDescent="0.3">
      <c r="E836" s="7" t="str">
        <f t="shared" si="32"/>
        <v/>
      </c>
      <c r="H836" s="7" t="str">
        <f>IF(B836&lt;&gt;"Silicone","",IFERROR(XLOOKUP(D836,#REF!,#REF!),""))</f>
        <v/>
      </c>
      <c r="J836" s="7" t="str">
        <f ca="1">IFERROR(XLOOKUP(D836,'Spec_Single_H&amp;S'!B:B,'Spec_Single_H&amp;S'!E:E),
IFERROR(XLOOKUP(D836,#REF!,#REF!),""))</f>
        <v/>
      </c>
      <c r="K836" s="7" t="str">
        <f ca="1">IFERROR(XLOOKUP(D836,'Spec_Single_H&amp;S'!B:B,'Spec_Single_H&amp;S'!F:F),
IFERROR(XLOOKUP(D836,#REF!,#REF!),""))</f>
        <v/>
      </c>
      <c r="L836" s="7" t="str">
        <f t="shared" ca="1" si="31"/>
        <v/>
      </c>
    </row>
    <row r="837" spans="5:12" x14ac:dyDescent="0.3">
      <c r="E837" s="7" t="str">
        <f t="shared" si="32"/>
        <v/>
      </c>
      <c r="H837" s="7" t="str">
        <f>IF(B837&lt;&gt;"Silicone","",IFERROR(XLOOKUP(D837,#REF!,#REF!),""))</f>
        <v/>
      </c>
      <c r="J837" s="7" t="str">
        <f ca="1">IFERROR(XLOOKUP(D837,'Spec_Single_H&amp;S'!B:B,'Spec_Single_H&amp;S'!E:E),
IFERROR(XLOOKUP(D837,#REF!,#REF!),""))</f>
        <v/>
      </c>
      <c r="K837" s="7" t="str">
        <f ca="1">IFERROR(XLOOKUP(D837,'Spec_Single_H&amp;S'!B:B,'Spec_Single_H&amp;S'!F:F),
IFERROR(XLOOKUP(D837,#REF!,#REF!),""))</f>
        <v/>
      </c>
      <c r="L837" s="7" t="str">
        <f t="shared" ca="1" si="31"/>
        <v/>
      </c>
    </row>
    <row r="838" spans="5:12" x14ac:dyDescent="0.3">
      <c r="E838" s="7" t="str">
        <f t="shared" si="32"/>
        <v/>
      </c>
      <c r="H838" s="7" t="str">
        <f>IF(B838&lt;&gt;"Silicone","",IFERROR(XLOOKUP(D838,#REF!,#REF!),""))</f>
        <v/>
      </c>
      <c r="J838" s="7" t="str">
        <f ca="1">IFERROR(XLOOKUP(D838,'Spec_Single_H&amp;S'!B:B,'Spec_Single_H&amp;S'!E:E),
IFERROR(XLOOKUP(D838,#REF!,#REF!),""))</f>
        <v/>
      </c>
      <c r="K838" s="7" t="str">
        <f ca="1">IFERROR(XLOOKUP(D838,'Spec_Single_H&amp;S'!B:B,'Spec_Single_H&amp;S'!F:F),
IFERROR(XLOOKUP(D838,#REF!,#REF!),""))</f>
        <v/>
      </c>
      <c r="L838" s="7" t="str">
        <f t="shared" ca="1" si="31"/>
        <v/>
      </c>
    </row>
    <row r="839" spans="5:12" x14ac:dyDescent="0.3">
      <c r="E839" s="7" t="str">
        <f t="shared" si="32"/>
        <v/>
      </c>
      <c r="H839" s="7" t="str">
        <f>IF(B839&lt;&gt;"Silicone","",IFERROR(XLOOKUP(D839,#REF!,#REF!),""))</f>
        <v/>
      </c>
      <c r="J839" s="7" t="str">
        <f ca="1">IFERROR(XLOOKUP(D839,'Spec_Single_H&amp;S'!B:B,'Spec_Single_H&amp;S'!E:E),
IFERROR(XLOOKUP(D839,#REF!,#REF!),""))</f>
        <v/>
      </c>
      <c r="K839" s="7" t="str">
        <f ca="1">IFERROR(XLOOKUP(D839,'Spec_Single_H&amp;S'!B:B,'Spec_Single_H&amp;S'!F:F),
IFERROR(XLOOKUP(D839,#REF!,#REF!),""))</f>
        <v/>
      </c>
      <c r="L839" s="7" t="str">
        <f t="shared" ca="1" si="31"/>
        <v/>
      </c>
    </row>
    <row r="840" spans="5:12" x14ac:dyDescent="0.3">
      <c r="E840" s="7" t="str">
        <f t="shared" si="32"/>
        <v/>
      </c>
      <c r="H840" s="7" t="str">
        <f>IF(B840&lt;&gt;"Silicone","",IFERROR(XLOOKUP(D840,#REF!,#REF!),""))</f>
        <v/>
      </c>
      <c r="J840" s="7" t="str">
        <f ca="1">IFERROR(XLOOKUP(D840,'Spec_Single_H&amp;S'!B:B,'Spec_Single_H&amp;S'!E:E),
IFERROR(XLOOKUP(D840,#REF!,#REF!),""))</f>
        <v/>
      </c>
      <c r="K840" s="7" t="str">
        <f ca="1">IFERROR(XLOOKUP(D840,'Spec_Single_H&amp;S'!B:B,'Spec_Single_H&amp;S'!F:F),
IFERROR(XLOOKUP(D840,#REF!,#REF!),""))</f>
        <v/>
      </c>
      <c r="L840" s="7" t="str">
        <f t="shared" ref="L840:L903" ca="1" si="33">IF(AND(NOT(ISBLANK(I840)),I840&gt;=J840,I840&lt;=K840),"적합",IF(ISBLANK(I840),"", "부적합"))</f>
        <v/>
      </c>
    </row>
    <row r="841" spans="5:12" x14ac:dyDescent="0.3">
      <c r="E841" s="7" t="str">
        <f t="shared" ref="E841:E904" si="34">IF(D841="","",IF(B841="Silicone", "SL" &amp; IF(C841="Black","B",IF(C841="White","W",IF(C841="Blue","U",IF(C841="Green","G",IF(C841="Yellow","Y",IF(C841="Red","R",IF(C841="Pink","P",""))))))) &amp; TEXT(A841,"yymmdd") &amp; "01",IF(LEFT(D841,3)="NPL","NPL","PL") &amp; IF(C841="Black","B",IF(C841="White","W",IF(C841="Blue","U",IF(C841="Green","G",IF(C841="Yellow","Y",IF(C841="Red","R",IF(C841="Pink","P",""))))))) &amp; TEXT(A841,"yymmdd") &amp; "01"))</f>
        <v/>
      </c>
      <c r="H841" s="7" t="str">
        <f>IF(B841&lt;&gt;"Silicone","",IFERROR(XLOOKUP(D841,#REF!,#REF!),""))</f>
        <v/>
      </c>
      <c r="J841" s="7" t="str">
        <f ca="1">IFERROR(XLOOKUP(D841,'Spec_Single_H&amp;S'!B:B,'Spec_Single_H&amp;S'!E:E),
IFERROR(XLOOKUP(D841,#REF!,#REF!),""))</f>
        <v/>
      </c>
      <c r="K841" s="7" t="str">
        <f ca="1">IFERROR(XLOOKUP(D841,'Spec_Single_H&amp;S'!B:B,'Spec_Single_H&amp;S'!F:F),
IFERROR(XLOOKUP(D841,#REF!,#REF!),""))</f>
        <v/>
      </c>
      <c r="L841" s="7" t="str">
        <f t="shared" ca="1" si="33"/>
        <v/>
      </c>
    </row>
    <row r="842" spans="5:12" x14ac:dyDescent="0.3">
      <c r="E842" s="7" t="str">
        <f t="shared" si="34"/>
        <v/>
      </c>
      <c r="H842" s="7" t="str">
        <f>IF(B842&lt;&gt;"Silicone","",IFERROR(XLOOKUP(D842,#REF!,#REF!),""))</f>
        <v/>
      </c>
      <c r="J842" s="7" t="str">
        <f ca="1">IFERROR(XLOOKUP(D842,'Spec_Single_H&amp;S'!B:B,'Spec_Single_H&amp;S'!E:E),
IFERROR(XLOOKUP(D842,#REF!,#REF!),""))</f>
        <v/>
      </c>
      <c r="K842" s="7" t="str">
        <f ca="1">IFERROR(XLOOKUP(D842,'Spec_Single_H&amp;S'!B:B,'Spec_Single_H&amp;S'!F:F),
IFERROR(XLOOKUP(D842,#REF!,#REF!),""))</f>
        <v/>
      </c>
      <c r="L842" s="7" t="str">
        <f t="shared" ca="1" si="33"/>
        <v/>
      </c>
    </row>
    <row r="843" spans="5:12" x14ac:dyDescent="0.3">
      <c r="E843" s="7" t="str">
        <f t="shared" si="34"/>
        <v/>
      </c>
      <c r="H843" s="7" t="str">
        <f>IF(B843&lt;&gt;"Silicone","",IFERROR(XLOOKUP(D843,#REF!,#REF!),""))</f>
        <v/>
      </c>
      <c r="J843" s="7" t="str">
        <f ca="1">IFERROR(XLOOKUP(D843,'Spec_Single_H&amp;S'!B:B,'Spec_Single_H&amp;S'!E:E),
IFERROR(XLOOKUP(D843,#REF!,#REF!),""))</f>
        <v/>
      </c>
      <c r="K843" s="7" t="str">
        <f ca="1">IFERROR(XLOOKUP(D843,'Spec_Single_H&amp;S'!B:B,'Spec_Single_H&amp;S'!F:F),
IFERROR(XLOOKUP(D843,#REF!,#REF!),""))</f>
        <v/>
      </c>
      <c r="L843" s="7" t="str">
        <f t="shared" ca="1" si="33"/>
        <v/>
      </c>
    </row>
    <row r="844" spans="5:12" x14ac:dyDescent="0.3">
      <c r="E844" s="7" t="str">
        <f t="shared" si="34"/>
        <v/>
      </c>
      <c r="H844" s="7" t="str">
        <f>IF(B844&lt;&gt;"Silicone","",IFERROR(XLOOKUP(D844,#REF!,#REF!),""))</f>
        <v/>
      </c>
      <c r="J844" s="7" t="str">
        <f ca="1">IFERROR(XLOOKUP(D844,'Spec_Single_H&amp;S'!B:B,'Spec_Single_H&amp;S'!E:E),
IFERROR(XLOOKUP(D844,#REF!,#REF!),""))</f>
        <v/>
      </c>
      <c r="K844" s="7" t="str">
        <f ca="1">IFERROR(XLOOKUP(D844,'Spec_Single_H&amp;S'!B:B,'Spec_Single_H&amp;S'!F:F),
IFERROR(XLOOKUP(D844,#REF!,#REF!),""))</f>
        <v/>
      </c>
      <c r="L844" s="7" t="str">
        <f t="shared" ca="1" si="33"/>
        <v/>
      </c>
    </row>
    <row r="845" spans="5:12" x14ac:dyDescent="0.3">
      <c r="E845" s="7" t="str">
        <f t="shared" si="34"/>
        <v/>
      </c>
      <c r="H845" s="7" t="str">
        <f>IF(B845&lt;&gt;"Silicone","",IFERROR(XLOOKUP(D845,#REF!,#REF!),""))</f>
        <v/>
      </c>
      <c r="J845" s="7" t="str">
        <f ca="1">IFERROR(XLOOKUP(D845,'Spec_Single_H&amp;S'!B:B,'Spec_Single_H&amp;S'!E:E),
IFERROR(XLOOKUP(D845,#REF!,#REF!),""))</f>
        <v/>
      </c>
      <c r="K845" s="7" t="str">
        <f ca="1">IFERROR(XLOOKUP(D845,'Spec_Single_H&amp;S'!B:B,'Spec_Single_H&amp;S'!F:F),
IFERROR(XLOOKUP(D845,#REF!,#REF!),""))</f>
        <v/>
      </c>
      <c r="L845" s="7" t="str">
        <f t="shared" ca="1" si="33"/>
        <v/>
      </c>
    </row>
    <row r="846" spans="5:12" x14ac:dyDescent="0.3">
      <c r="E846" s="7" t="str">
        <f t="shared" si="34"/>
        <v/>
      </c>
      <c r="H846" s="7" t="str">
        <f>IF(B846&lt;&gt;"Silicone","",IFERROR(XLOOKUP(D846,#REF!,#REF!),""))</f>
        <v/>
      </c>
      <c r="J846" s="7" t="str">
        <f ca="1">IFERROR(XLOOKUP(D846,'Spec_Single_H&amp;S'!B:B,'Spec_Single_H&amp;S'!E:E),
IFERROR(XLOOKUP(D846,#REF!,#REF!),""))</f>
        <v/>
      </c>
      <c r="K846" s="7" t="str">
        <f ca="1">IFERROR(XLOOKUP(D846,'Spec_Single_H&amp;S'!B:B,'Spec_Single_H&amp;S'!F:F),
IFERROR(XLOOKUP(D846,#REF!,#REF!),""))</f>
        <v/>
      </c>
      <c r="L846" s="7" t="str">
        <f t="shared" ca="1" si="33"/>
        <v/>
      </c>
    </row>
    <row r="847" spans="5:12" x14ac:dyDescent="0.3">
      <c r="E847" s="7" t="str">
        <f t="shared" si="34"/>
        <v/>
      </c>
      <c r="H847" s="7" t="str">
        <f>IF(B847&lt;&gt;"Silicone","",IFERROR(XLOOKUP(D847,#REF!,#REF!),""))</f>
        <v/>
      </c>
      <c r="J847" s="7" t="str">
        <f ca="1">IFERROR(XLOOKUP(D847,'Spec_Single_H&amp;S'!B:B,'Spec_Single_H&amp;S'!E:E),
IFERROR(XLOOKUP(D847,#REF!,#REF!),""))</f>
        <v/>
      </c>
      <c r="K847" s="7" t="str">
        <f ca="1">IFERROR(XLOOKUP(D847,'Spec_Single_H&amp;S'!B:B,'Spec_Single_H&amp;S'!F:F),
IFERROR(XLOOKUP(D847,#REF!,#REF!),""))</f>
        <v/>
      </c>
      <c r="L847" s="7" t="str">
        <f t="shared" ca="1" si="33"/>
        <v/>
      </c>
    </row>
    <row r="848" spans="5:12" x14ac:dyDescent="0.3">
      <c r="E848" s="7" t="str">
        <f t="shared" si="34"/>
        <v/>
      </c>
      <c r="H848" s="7" t="str">
        <f>IF(B848&lt;&gt;"Silicone","",IFERROR(XLOOKUP(D848,#REF!,#REF!),""))</f>
        <v/>
      </c>
      <c r="J848" s="7" t="str">
        <f ca="1">IFERROR(XLOOKUP(D848,'Spec_Single_H&amp;S'!B:B,'Spec_Single_H&amp;S'!E:E),
IFERROR(XLOOKUP(D848,#REF!,#REF!),""))</f>
        <v/>
      </c>
      <c r="K848" s="7" t="str">
        <f ca="1">IFERROR(XLOOKUP(D848,'Spec_Single_H&amp;S'!B:B,'Spec_Single_H&amp;S'!F:F),
IFERROR(XLOOKUP(D848,#REF!,#REF!),""))</f>
        <v/>
      </c>
      <c r="L848" s="7" t="str">
        <f t="shared" ca="1" si="33"/>
        <v/>
      </c>
    </row>
    <row r="849" spans="5:12" x14ac:dyDescent="0.3">
      <c r="E849" s="7" t="str">
        <f t="shared" si="34"/>
        <v/>
      </c>
      <c r="H849" s="7" t="str">
        <f>IF(B849&lt;&gt;"Silicone","",IFERROR(XLOOKUP(D849,#REF!,#REF!),""))</f>
        <v/>
      </c>
      <c r="J849" s="7" t="str">
        <f ca="1">IFERROR(XLOOKUP(D849,'Spec_Single_H&amp;S'!B:B,'Spec_Single_H&amp;S'!E:E),
IFERROR(XLOOKUP(D849,#REF!,#REF!),""))</f>
        <v/>
      </c>
      <c r="K849" s="7" t="str">
        <f ca="1">IFERROR(XLOOKUP(D849,'Spec_Single_H&amp;S'!B:B,'Spec_Single_H&amp;S'!F:F),
IFERROR(XLOOKUP(D849,#REF!,#REF!),""))</f>
        <v/>
      </c>
      <c r="L849" s="7" t="str">
        <f t="shared" ca="1" si="33"/>
        <v/>
      </c>
    </row>
    <row r="850" spans="5:12" x14ac:dyDescent="0.3">
      <c r="E850" s="7" t="str">
        <f t="shared" si="34"/>
        <v/>
      </c>
      <c r="H850" s="7" t="str">
        <f>IF(B850&lt;&gt;"Silicone","",IFERROR(XLOOKUP(D850,#REF!,#REF!),""))</f>
        <v/>
      </c>
      <c r="J850" s="7" t="str">
        <f ca="1">IFERROR(XLOOKUP(D850,'Spec_Single_H&amp;S'!B:B,'Spec_Single_H&amp;S'!E:E),
IFERROR(XLOOKUP(D850,#REF!,#REF!),""))</f>
        <v/>
      </c>
      <c r="K850" s="7" t="str">
        <f ca="1">IFERROR(XLOOKUP(D850,'Spec_Single_H&amp;S'!B:B,'Spec_Single_H&amp;S'!F:F),
IFERROR(XLOOKUP(D850,#REF!,#REF!),""))</f>
        <v/>
      </c>
      <c r="L850" s="7" t="str">
        <f t="shared" ca="1" si="33"/>
        <v/>
      </c>
    </row>
    <row r="851" spans="5:12" x14ac:dyDescent="0.3">
      <c r="E851" s="7" t="str">
        <f t="shared" si="34"/>
        <v/>
      </c>
      <c r="H851" s="7" t="str">
        <f>IF(B851&lt;&gt;"Silicone","",IFERROR(XLOOKUP(D851,#REF!,#REF!),""))</f>
        <v/>
      </c>
      <c r="J851" s="7" t="str">
        <f ca="1">IFERROR(XLOOKUP(D851,'Spec_Single_H&amp;S'!B:B,'Spec_Single_H&amp;S'!E:E),
IFERROR(XLOOKUP(D851,#REF!,#REF!),""))</f>
        <v/>
      </c>
      <c r="K851" s="7" t="str">
        <f ca="1">IFERROR(XLOOKUP(D851,'Spec_Single_H&amp;S'!B:B,'Spec_Single_H&amp;S'!F:F),
IFERROR(XLOOKUP(D851,#REF!,#REF!),""))</f>
        <v/>
      </c>
      <c r="L851" s="7" t="str">
        <f t="shared" ca="1" si="33"/>
        <v/>
      </c>
    </row>
    <row r="852" spans="5:12" x14ac:dyDescent="0.3">
      <c r="E852" s="7" t="str">
        <f t="shared" si="34"/>
        <v/>
      </c>
      <c r="H852" s="7" t="str">
        <f>IF(B852&lt;&gt;"Silicone","",IFERROR(XLOOKUP(D852,#REF!,#REF!),""))</f>
        <v/>
      </c>
      <c r="J852" s="7" t="str">
        <f ca="1">IFERROR(XLOOKUP(D852,'Spec_Single_H&amp;S'!B:B,'Spec_Single_H&amp;S'!E:E),
IFERROR(XLOOKUP(D852,#REF!,#REF!),""))</f>
        <v/>
      </c>
      <c r="K852" s="7" t="str">
        <f ca="1">IFERROR(XLOOKUP(D852,'Spec_Single_H&amp;S'!B:B,'Spec_Single_H&amp;S'!F:F),
IFERROR(XLOOKUP(D852,#REF!,#REF!),""))</f>
        <v/>
      </c>
      <c r="L852" s="7" t="str">
        <f t="shared" ca="1" si="33"/>
        <v/>
      </c>
    </row>
    <row r="853" spans="5:12" x14ac:dyDescent="0.3">
      <c r="E853" s="7" t="str">
        <f t="shared" si="34"/>
        <v/>
      </c>
      <c r="H853" s="7" t="str">
        <f>IF(B853&lt;&gt;"Silicone","",IFERROR(XLOOKUP(D853,#REF!,#REF!),""))</f>
        <v/>
      </c>
      <c r="J853" s="7" t="str">
        <f ca="1">IFERROR(XLOOKUP(D853,'Spec_Single_H&amp;S'!B:B,'Spec_Single_H&amp;S'!E:E),
IFERROR(XLOOKUP(D853,#REF!,#REF!),""))</f>
        <v/>
      </c>
      <c r="K853" s="7" t="str">
        <f ca="1">IFERROR(XLOOKUP(D853,'Spec_Single_H&amp;S'!B:B,'Spec_Single_H&amp;S'!F:F),
IFERROR(XLOOKUP(D853,#REF!,#REF!),""))</f>
        <v/>
      </c>
      <c r="L853" s="7" t="str">
        <f t="shared" ca="1" si="33"/>
        <v/>
      </c>
    </row>
    <row r="854" spans="5:12" x14ac:dyDescent="0.3">
      <c r="E854" s="7" t="str">
        <f t="shared" si="34"/>
        <v/>
      </c>
      <c r="H854" s="7" t="str">
        <f>IF(B854&lt;&gt;"Silicone","",IFERROR(XLOOKUP(D854,#REF!,#REF!),""))</f>
        <v/>
      </c>
      <c r="J854" s="7" t="str">
        <f ca="1">IFERROR(XLOOKUP(D854,'Spec_Single_H&amp;S'!B:B,'Spec_Single_H&amp;S'!E:E),
IFERROR(XLOOKUP(D854,#REF!,#REF!),""))</f>
        <v/>
      </c>
      <c r="K854" s="7" t="str">
        <f ca="1">IFERROR(XLOOKUP(D854,'Spec_Single_H&amp;S'!B:B,'Spec_Single_H&amp;S'!F:F),
IFERROR(XLOOKUP(D854,#REF!,#REF!),""))</f>
        <v/>
      </c>
      <c r="L854" s="7" t="str">
        <f t="shared" ca="1" si="33"/>
        <v/>
      </c>
    </row>
    <row r="855" spans="5:12" x14ac:dyDescent="0.3">
      <c r="E855" s="7" t="str">
        <f t="shared" si="34"/>
        <v/>
      </c>
      <c r="H855" s="7" t="str">
        <f>IF(B855&lt;&gt;"Silicone","",IFERROR(XLOOKUP(D855,#REF!,#REF!),""))</f>
        <v/>
      </c>
      <c r="J855" s="7" t="str">
        <f ca="1">IFERROR(XLOOKUP(D855,'Spec_Single_H&amp;S'!B:B,'Spec_Single_H&amp;S'!E:E),
IFERROR(XLOOKUP(D855,#REF!,#REF!),""))</f>
        <v/>
      </c>
      <c r="K855" s="7" t="str">
        <f ca="1">IFERROR(XLOOKUP(D855,'Spec_Single_H&amp;S'!B:B,'Spec_Single_H&amp;S'!F:F),
IFERROR(XLOOKUP(D855,#REF!,#REF!),""))</f>
        <v/>
      </c>
      <c r="L855" s="7" t="str">
        <f t="shared" ca="1" si="33"/>
        <v/>
      </c>
    </row>
    <row r="856" spans="5:12" x14ac:dyDescent="0.3">
      <c r="E856" s="7" t="str">
        <f t="shared" si="34"/>
        <v/>
      </c>
      <c r="H856" s="7" t="str">
        <f>IF(B856&lt;&gt;"Silicone","",IFERROR(XLOOKUP(D856,#REF!,#REF!),""))</f>
        <v/>
      </c>
      <c r="J856" s="7" t="str">
        <f ca="1">IFERROR(XLOOKUP(D856,'Spec_Single_H&amp;S'!B:B,'Spec_Single_H&amp;S'!E:E),
IFERROR(XLOOKUP(D856,#REF!,#REF!),""))</f>
        <v/>
      </c>
      <c r="K856" s="7" t="str">
        <f ca="1">IFERROR(XLOOKUP(D856,'Spec_Single_H&amp;S'!B:B,'Spec_Single_H&amp;S'!F:F),
IFERROR(XLOOKUP(D856,#REF!,#REF!),""))</f>
        <v/>
      </c>
      <c r="L856" s="7" t="str">
        <f t="shared" ca="1" si="33"/>
        <v/>
      </c>
    </row>
    <row r="857" spans="5:12" x14ac:dyDescent="0.3">
      <c r="E857" s="7" t="str">
        <f t="shared" si="34"/>
        <v/>
      </c>
      <c r="H857" s="7" t="str">
        <f>IF(B857&lt;&gt;"Silicone","",IFERROR(XLOOKUP(D857,#REF!,#REF!),""))</f>
        <v/>
      </c>
      <c r="J857" s="7" t="str">
        <f ca="1">IFERROR(XLOOKUP(D857,'Spec_Single_H&amp;S'!B:B,'Spec_Single_H&amp;S'!E:E),
IFERROR(XLOOKUP(D857,#REF!,#REF!),""))</f>
        <v/>
      </c>
      <c r="K857" s="7" t="str">
        <f ca="1">IFERROR(XLOOKUP(D857,'Spec_Single_H&amp;S'!B:B,'Spec_Single_H&amp;S'!F:F),
IFERROR(XLOOKUP(D857,#REF!,#REF!),""))</f>
        <v/>
      </c>
      <c r="L857" s="7" t="str">
        <f t="shared" ca="1" si="33"/>
        <v/>
      </c>
    </row>
    <row r="858" spans="5:12" x14ac:dyDescent="0.3">
      <c r="E858" s="7" t="str">
        <f t="shared" si="34"/>
        <v/>
      </c>
      <c r="H858" s="7" t="str">
        <f>IF(B858&lt;&gt;"Silicone","",IFERROR(XLOOKUP(D858,#REF!,#REF!),""))</f>
        <v/>
      </c>
      <c r="J858" s="7" t="str">
        <f ca="1">IFERROR(XLOOKUP(D858,'Spec_Single_H&amp;S'!B:B,'Spec_Single_H&amp;S'!E:E),
IFERROR(XLOOKUP(D858,#REF!,#REF!),""))</f>
        <v/>
      </c>
      <c r="K858" s="7" t="str">
        <f ca="1">IFERROR(XLOOKUP(D858,'Spec_Single_H&amp;S'!B:B,'Spec_Single_H&amp;S'!F:F),
IFERROR(XLOOKUP(D858,#REF!,#REF!),""))</f>
        <v/>
      </c>
      <c r="L858" s="7" t="str">
        <f t="shared" ca="1" si="33"/>
        <v/>
      </c>
    </row>
    <row r="859" spans="5:12" x14ac:dyDescent="0.3">
      <c r="E859" s="7" t="str">
        <f t="shared" si="34"/>
        <v/>
      </c>
      <c r="H859" s="7" t="str">
        <f>IF(B859&lt;&gt;"Silicone","",IFERROR(XLOOKUP(D859,#REF!,#REF!),""))</f>
        <v/>
      </c>
      <c r="J859" s="7" t="str">
        <f ca="1">IFERROR(XLOOKUP(D859,'Spec_Single_H&amp;S'!B:B,'Spec_Single_H&amp;S'!E:E),
IFERROR(XLOOKUP(D859,#REF!,#REF!),""))</f>
        <v/>
      </c>
      <c r="K859" s="7" t="str">
        <f ca="1">IFERROR(XLOOKUP(D859,'Spec_Single_H&amp;S'!B:B,'Spec_Single_H&amp;S'!F:F),
IFERROR(XLOOKUP(D859,#REF!,#REF!),""))</f>
        <v/>
      </c>
      <c r="L859" s="7" t="str">
        <f t="shared" ca="1" si="33"/>
        <v/>
      </c>
    </row>
    <row r="860" spans="5:12" x14ac:dyDescent="0.3">
      <c r="E860" s="7" t="str">
        <f t="shared" si="34"/>
        <v/>
      </c>
      <c r="H860" s="7" t="str">
        <f>IF(B860&lt;&gt;"Silicone","",IFERROR(XLOOKUP(D860,#REF!,#REF!),""))</f>
        <v/>
      </c>
      <c r="J860" s="7" t="str">
        <f ca="1">IFERROR(XLOOKUP(D860,'Spec_Single_H&amp;S'!B:B,'Spec_Single_H&amp;S'!E:E),
IFERROR(XLOOKUP(D860,#REF!,#REF!),""))</f>
        <v/>
      </c>
      <c r="K860" s="7" t="str">
        <f ca="1">IFERROR(XLOOKUP(D860,'Spec_Single_H&amp;S'!B:B,'Spec_Single_H&amp;S'!F:F),
IFERROR(XLOOKUP(D860,#REF!,#REF!),""))</f>
        <v/>
      </c>
      <c r="L860" s="7" t="str">
        <f t="shared" ca="1" si="33"/>
        <v/>
      </c>
    </row>
    <row r="861" spans="5:12" x14ac:dyDescent="0.3">
      <c r="E861" s="7" t="str">
        <f t="shared" si="34"/>
        <v/>
      </c>
      <c r="H861" s="7" t="str">
        <f>IF(B861&lt;&gt;"Silicone","",IFERROR(XLOOKUP(D861,#REF!,#REF!),""))</f>
        <v/>
      </c>
      <c r="J861" s="7" t="str">
        <f ca="1">IFERROR(XLOOKUP(D861,'Spec_Single_H&amp;S'!B:B,'Spec_Single_H&amp;S'!E:E),
IFERROR(XLOOKUP(D861,#REF!,#REF!),""))</f>
        <v/>
      </c>
      <c r="K861" s="7" t="str">
        <f ca="1">IFERROR(XLOOKUP(D861,'Spec_Single_H&amp;S'!B:B,'Spec_Single_H&amp;S'!F:F),
IFERROR(XLOOKUP(D861,#REF!,#REF!),""))</f>
        <v/>
      </c>
      <c r="L861" s="7" t="str">
        <f t="shared" ca="1" si="33"/>
        <v/>
      </c>
    </row>
    <row r="862" spans="5:12" x14ac:dyDescent="0.3">
      <c r="E862" s="7" t="str">
        <f t="shared" si="34"/>
        <v/>
      </c>
      <c r="H862" s="7" t="str">
        <f>IF(B862&lt;&gt;"Silicone","",IFERROR(XLOOKUP(D862,#REF!,#REF!),""))</f>
        <v/>
      </c>
      <c r="J862" s="7" t="str">
        <f ca="1">IFERROR(XLOOKUP(D862,'Spec_Single_H&amp;S'!B:B,'Spec_Single_H&amp;S'!E:E),
IFERROR(XLOOKUP(D862,#REF!,#REF!),""))</f>
        <v/>
      </c>
      <c r="K862" s="7" t="str">
        <f ca="1">IFERROR(XLOOKUP(D862,'Spec_Single_H&amp;S'!B:B,'Spec_Single_H&amp;S'!F:F),
IFERROR(XLOOKUP(D862,#REF!,#REF!),""))</f>
        <v/>
      </c>
      <c r="L862" s="7" t="str">
        <f t="shared" ca="1" si="33"/>
        <v/>
      </c>
    </row>
    <row r="863" spans="5:12" x14ac:dyDescent="0.3">
      <c r="E863" s="7" t="str">
        <f t="shared" si="34"/>
        <v/>
      </c>
      <c r="H863" s="7" t="str">
        <f>IF(B863&lt;&gt;"Silicone","",IFERROR(XLOOKUP(D863,#REF!,#REF!),""))</f>
        <v/>
      </c>
      <c r="J863" s="7" t="str">
        <f ca="1">IFERROR(XLOOKUP(D863,'Spec_Single_H&amp;S'!B:B,'Spec_Single_H&amp;S'!E:E),
IFERROR(XLOOKUP(D863,#REF!,#REF!),""))</f>
        <v/>
      </c>
      <c r="K863" s="7" t="str">
        <f ca="1">IFERROR(XLOOKUP(D863,'Spec_Single_H&amp;S'!B:B,'Spec_Single_H&amp;S'!F:F),
IFERROR(XLOOKUP(D863,#REF!,#REF!),""))</f>
        <v/>
      </c>
      <c r="L863" s="7" t="str">
        <f t="shared" ca="1" si="33"/>
        <v/>
      </c>
    </row>
    <row r="864" spans="5:12" x14ac:dyDescent="0.3">
      <c r="E864" s="7" t="str">
        <f t="shared" si="34"/>
        <v/>
      </c>
      <c r="H864" s="7" t="str">
        <f>IF(B864&lt;&gt;"Silicone","",IFERROR(XLOOKUP(D864,#REF!,#REF!),""))</f>
        <v/>
      </c>
      <c r="J864" s="7" t="str">
        <f ca="1">IFERROR(XLOOKUP(D864,'Spec_Single_H&amp;S'!B:B,'Spec_Single_H&amp;S'!E:E),
IFERROR(XLOOKUP(D864,#REF!,#REF!),""))</f>
        <v/>
      </c>
      <c r="K864" s="7" t="str">
        <f ca="1">IFERROR(XLOOKUP(D864,'Spec_Single_H&amp;S'!B:B,'Spec_Single_H&amp;S'!F:F),
IFERROR(XLOOKUP(D864,#REF!,#REF!),""))</f>
        <v/>
      </c>
      <c r="L864" s="7" t="str">
        <f t="shared" ca="1" si="33"/>
        <v/>
      </c>
    </row>
    <row r="865" spans="5:12" x14ac:dyDescent="0.3">
      <c r="E865" s="7" t="str">
        <f t="shared" si="34"/>
        <v/>
      </c>
      <c r="H865" s="7" t="str">
        <f>IF(B865&lt;&gt;"Silicone","",IFERROR(XLOOKUP(D865,#REF!,#REF!),""))</f>
        <v/>
      </c>
      <c r="J865" s="7" t="str">
        <f ca="1">IFERROR(XLOOKUP(D865,'Spec_Single_H&amp;S'!B:B,'Spec_Single_H&amp;S'!E:E),
IFERROR(XLOOKUP(D865,#REF!,#REF!),""))</f>
        <v/>
      </c>
      <c r="K865" s="7" t="str">
        <f ca="1">IFERROR(XLOOKUP(D865,'Spec_Single_H&amp;S'!B:B,'Spec_Single_H&amp;S'!F:F),
IFERROR(XLOOKUP(D865,#REF!,#REF!),""))</f>
        <v/>
      </c>
      <c r="L865" s="7" t="str">
        <f t="shared" ca="1" si="33"/>
        <v/>
      </c>
    </row>
    <row r="866" spans="5:12" x14ac:dyDescent="0.3">
      <c r="E866" s="7" t="str">
        <f t="shared" si="34"/>
        <v/>
      </c>
      <c r="H866" s="7" t="str">
        <f>IF(B866&lt;&gt;"Silicone","",IFERROR(XLOOKUP(D866,#REF!,#REF!),""))</f>
        <v/>
      </c>
      <c r="J866" s="7" t="str">
        <f ca="1">IFERROR(XLOOKUP(D866,'Spec_Single_H&amp;S'!B:B,'Spec_Single_H&amp;S'!E:E),
IFERROR(XLOOKUP(D866,#REF!,#REF!),""))</f>
        <v/>
      </c>
      <c r="K866" s="7" t="str">
        <f ca="1">IFERROR(XLOOKUP(D866,'Spec_Single_H&amp;S'!B:B,'Spec_Single_H&amp;S'!F:F),
IFERROR(XLOOKUP(D866,#REF!,#REF!),""))</f>
        <v/>
      </c>
      <c r="L866" s="7" t="str">
        <f t="shared" ca="1" si="33"/>
        <v/>
      </c>
    </row>
    <row r="867" spans="5:12" x14ac:dyDescent="0.3">
      <c r="E867" s="7" t="str">
        <f t="shared" si="34"/>
        <v/>
      </c>
      <c r="H867" s="7" t="str">
        <f>IF(B867&lt;&gt;"Silicone","",IFERROR(XLOOKUP(D867,#REF!,#REF!),""))</f>
        <v/>
      </c>
      <c r="J867" s="7" t="str">
        <f ca="1">IFERROR(XLOOKUP(D867,'Spec_Single_H&amp;S'!B:B,'Spec_Single_H&amp;S'!E:E),
IFERROR(XLOOKUP(D867,#REF!,#REF!),""))</f>
        <v/>
      </c>
      <c r="K867" s="7" t="str">
        <f ca="1">IFERROR(XLOOKUP(D867,'Spec_Single_H&amp;S'!B:B,'Spec_Single_H&amp;S'!F:F),
IFERROR(XLOOKUP(D867,#REF!,#REF!),""))</f>
        <v/>
      </c>
      <c r="L867" s="7" t="str">
        <f t="shared" ca="1" si="33"/>
        <v/>
      </c>
    </row>
    <row r="868" spans="5:12" x14ac:dyDescent="0.3">
      <c r="E868" s="7" t="str">
        <f t="shared" si="34"/>
        <v/>
      </c>
      <c r="H868" s="7" t="str">
        <f>IF(B868&lt;&gt;"Silicone","",IFERROR(XLOOKUP(D868,#REF!,#REF!),""))</f>
        <v/>
      </c>
      <c r="J868" s="7" t="str">
        <f ca="1">IFERROR(XLOOKUP(D868,'Spec_Single_H&amp;S'!B:B,'Spec_Single_H&amp;S'!E:E),
IFERROR(XLOOKUP(D868,#REF!,#REF!),""))</f>
        <v/>
      </c>
      <c r="K868" s="7" t="str">
        <f ca="1">IFERROR(XLOOKUP(D868,'Spec_Single_H&amp;S'!B:B,'Spec_Single_H&amp;S'!F:F),
IFERROR(XLOOKUP(D868,#REF!,#REF!),""))</f>
        <v/>
      </c>
      <c r="L868" s="7" t="str">
        <f t="shared" ca="1" si="33"/>
        <v/>
      </c>
    </row>
    <row r="869" spans="5:12" x14ac:dyDescent="0.3">
      <c r="E869" s="7" t="str">
        <f t="shared" si="34"/>
        <v/>
      </c>
      <c r="H869" s="7" t="str">
        <f>IF(B869&lt;&gt;"Silicone","",IFERROR(XLOOKUP(D869,#REF!,#REF!),""))</f>
        <v/>
      </c>
      <c r="J869" s="7" t="str">
        <f ca="1">IFERROR(XLOOKUP(D869,'Spec_Single_H&amp;S'!B:B,'Spec_Single_H&amp;S'!E:E),
IFERROR(XLOOKUP(D869,#REF!,#REF!),""))</f>
        <v/>
      </c>
      <c r="K869" s="7" t="str">
        <f ca="1">IFERROR(XLOOKUP(D869,'Spec_Single_H&amp;S'!B:B,'Spec_Single_H&amp;S'!F:F),
IFERROR(XLOOKUP(D869,#REF!,#REF!),""))</f>
        <v/>
      </c>
      <c r="L869" s="7" t="str">
        <f t="shared" ca="1" si="33"/>
        <v/>
      </c>
    </row>
    <row r="870" spans="5:12" x14ac:dyDescent="0.3">
      <c r="E870" s="7" t="str">
        <f t="shared" si="34"/>
        <v/>
      </c>
      <c r="H870" s="7" t="str">
        <f>IF(B870&lt;&gt;"Silicone","",IFERROR(XLOOKUP(D870,#REF!,#REF!),""))</f>
        <v/>
      </c>
      <c r="J870" s="7" t="str">
        <f ca="1">IFERROR(XLOOKUP(D870,'Spec_Single_H&amp;S'!B:B,'Spec_Single_H&amp;S'!E:E),
IFERROR(XLOOKUP(D870,#REF!,#REF!),""))</f>
        <v/>
      </c>
      <c r="K870" s="7" t="str">
        <f ca="1">IFERROR(XLOOKUP(D870,'Spec_Single_H&amp;S'!B:B,'Spec_Single_H&amp;S'!F:F),
IFERROR(XLOOKUP(D870,#REF!,#REF!),""))</f>
        <v/>
      </c>
      <c r="L870" s="7" t="str">
        <f t="shared" ca="1" si="33"/>
        <v/>
      </c>
    </row>
    <row r="871" spans="5:12" x14ac:dyDescent="0.3">
      <c r="E871" s="7" t="str">
        <f t="shared" si="34"/>
        <v/>
      </c>
      <c r="H871" s="7" t="str">
        <f>IF(B871&lt;&gt;"Silicone","",IFERROR(XLOOKUP(D871,#REF!,#REF!),""))</f>
        <v/>
      </c>
      <c r="J871" s="7" t="str">
        <f ca="1">IFERROR(XLOOKUP(D871,'Spec_Single_H&amp;S'!B:B,'Spec_Single_H&amp;S'!E:E),
IFERROR(XLOOKUP(D871,#REF!,#REF!),""))</f>
        <v/>
      </c>
      <c r="K871" s="7" t="str">
        <f ca="1">IFERROR(XLOOKUP(D871,'Spec_Single_H&amp;S'!B:B,'Spec_Single_H&amp;S'!F:F),
IFERROR(XLOOKUP(D871,#REF!,#REF!),""))</f>
        <v/>
      </c>
      <c r="L871" s="7" t="str">
        <f t="shared" ca="1" si="33"/>
        <v/>
      </c>
    </row>
    <row r="872" spans="5:12" x14ac:dyDescent="0.3">
      <c r="E872" s="7" t="str">
        <f t="shared" si="34"/>
        <v/>
      </c>
      <c r="H872" s="7" t="str">
        <f>IF(B872&lt;&gt;"Silicone","",IFERROR(XLOOKUP(D872,#REF!,#REF!),""))</f>
        <v/>
      </c>
      <c r="J872" s="7" t="str">
        <f ca="1">IFERROR(XLOOKUP(D872,'Spec_Single_H&amp;S'!B:B,'Spec_Single_H&amp;S'!E:E),
IFERROR(XLOOKUP(D872,#REF!,#REF!),""))</f>
        <v/>
      </c>
      <c r="K872" s="7" t="str">
        <f ca="1">IFERROR(XLOOKUP(D872,'Spec_Single_H&amp;S'!B:B,'Spec_Single_H&amp;S'!F:F),
IFERROR(XLOOKUP(D872,#REF!,#REF!),""))</f>
        <v/>
      </c>
      <c r="L872" s="7" t="str">
        <f t="shared" ca="1" si="33"/>
        <v/>
      </c>
    </row>
    <row r="873" spans="5:12" x14ac:dyDescent="0.3">
      <c r="E873" s="7" t="str">
        <f t="shared" si="34"/>
        <v/>
      </c>
      <c r="H873" s="7" t="str">
        <f>IF(B873&lt;&gt;"Silicone","",IFERROR(XLOOKUP(D873,#REF!,#REF!),""))</f>
        <v/>
      </c>
      <c r="J873" s="7" t="str">
        <f ca="1">IFERROR(XLOOKUP(D873,'Spec_Single_H&amp;S'!B:B,'Spec_Single_H&amp;S'!E:E),
IFERROR(XLOOKUP(D873,#REF!,#REF!),""))</f>
        <v/>
      </c>
      <c r="K873" s="7" t="str">
        <f ca="1">IFERROR(XLOOKUP(D873,'Spec_Single_H&amp;S'!B:B,'Spec_Single_H&amp;S'!F:F),
IFERROR(XLOOKUP(D873,#REF!,#REF!),""))</f>
        <v/>
      </c>
      <c r="L873" s="7" t="str">
        <f t="shared" ca="1" si="33"/>
        <v/>
      </c>
    </row>
    <row r="874" spans="5:12" x14ac:dyDescent="0.3">
      <c r="E874" s="7" t="str">
        <f t="shared" si="34"/>
        <v/>
      </c>
      <c r="H874" s="7" t="str">
        <f>IF(B874&lt;&gt;"Silicone","",IFERROR(XLOOKUP(D874,#REF!,#REF!),""))</f>
        <v/>
      </c>
      <c r="J874" s="7" t="str">
        <f ca="1">IFERROR(XLOOKUP(D874,'Spec_Single_H&amp;S'!B:B,'Spec_Single_H&amp;S'!E:E),
IFERROR(XLOOKUP(D874,#REF!,#REF!),""))</f>
        <v/>
      </c>
      <c r="K874" s="7" t="str">
        <f ca="1">IFERROR(XLOOKUP(D874,'Spec_Single_H&amp;S'!B:B,'Spec_Single_H&amp;S'!F:F),
IFERROR(XLOOKUP(D874,#REF!,#REF!),""))</f>
        <v/>
      </c>
      <c r="L874" s="7" t="str">
        <f t="shared" ca="1" si="33"/>
        <v/>
      </c>
    </row>
    <row r="875" spans="5:12" x14ac:dyDescent="0.3">
      <c r="E875" s="7" t="str">
        <f t="shared" si="34"/>
        <v/>
      </c>
      <c r="H875" s="7" t="str">
        <f>IF(B875&lt;&gt;"Silicone","",IFERROR(XLOOKUP(D875,#REF!,#REF!),""))</f>
        <v/>
      </c>
      <c r="J875" s="7" t="str">
        <f ca="1">IFERROR(XLOOKUP(D875,'Spec_Single_H&amp;S'!B:B,'Spec_Single_H&amp;S'!E:E),
IFERROR(XLOOKUP(D875,#REF!,#REF!),""))</f>
        <v/>
      </c>
      <c r="K875" s="7" t="str">
        <f ca="1">IFERROR(XLOOKUP(D875,'Spec_Single_H&amp;S'!B:B,'Spec_Single_H&amp;S'!F:F),
IFERROR(XLOOKUP(D875,#REF!,#REF!),""))</f>
        <v/>
      </c>
      <c r="L875" s="7" t="str">
        <f t="shared" ca="1" si="33"/>
        <v/>
      </c>
    </row>
    <row r="876" spans="5:12" x14ac:dyDescent="0.3">
      <c r="E876" s="7" t="str">
        <f t="shared" si="34"/>
        <v/>
      </c>
      <c r="H876" s="7" t="str">
        <f>IF(B876&lt;&gt;"Silicone","",IFERROR(XLOOKUP(D876,#REF!,#REF!),""))</f>
        <v/>
      </c>
      <c r="J876" s="7" t="str">
        <f ca="1">IFERROR(XLOOKUP(D876,'Spec_Single_H&amp;S'!B:B,'Spec_Single_H&amp;S'!E:E),
IFERROR(XLOOKUP(D876,#REF!,#REF!),""))</f>
        <v/>
      </c>
      <c r="K876" s="7" t="str">
        <f ca="1">IFERROR(XLOOKUP(D876,'Spec_Single_H&amp;S'!B:B,'Spec_Single_H&amp;S'!F:F),
IFERROR(XLOOKUP(D876,#REF!,#REF!),""))</f>
        <v/>
      </c>
      <c r="L876" s="7" t="str">
        <f t="shared" ca="1" si="33"/>
        <v/>
      </c>
    </row>
    <row r="877" spans="5:12" x14ac:dyDescent="0.3">
      <c r="E877" s="7" t="str">
        <f t="shared" si="34"/>
        <v/>
      </c>
      <c r="H877" s="7" t="str">
        <f>IF(B877&lt;&gt;"Silicone","",IFERROR(XLOOKUP(D877,#REF!,#REF!),""))</f>
        <v/>
      </c>
      <c r="J877" s="7" t="str">
        <f ca="1">IFERROR(XLOOKUP(D877,'Spec_Single_H&amp;S'!B:B,'Spec_Single_H&amp;S'!E:E),
IFERROR(XLOOKUP(D877,#REF!,#REF!),""))</f>
        <v/>
      </c>
      <c r="K877" s="7" t="str">
        <f ca="1">IFERROR(XLOOKUP(D877,'Spec_Single_H&amp;S'!B:B,'Spec_Single_H&amp;S'!F:F),
IFERROR(XLOOKUP(D877,#REF!,#REF!),""))</f>
        <v/>
      </c>
      <c r="L877" s="7" t="str">
        <f t="shared" ca="1" si="33"/>
        <v/>
      </c>
    </row>
    <row r="878" spans="5:12" x14ac:dyDescent="0.3">
      <c r="E878" s="7" t="str">
        <f t="shared" si="34"/>
        <v/>
      </c>
      <c r="H878" s="7" t="str">
        <f>IF(B878&lt;&gt;"Silicone","",IFERROR(XLOOKUP(D878,#REF!,#REF!),""))</f>
        <v/>
      </c>
      <c r="J878" s="7" t="str">
        <f ca="1">IFERROR(XLOOKUP(D878,'Spec_Single_H&amp;S'!B:B,'Spec_Single_H&amp;S'!E:E),
IFERROR(XLOOKUP(D878,#REF!,#REF!),""))</f>
        <v/>
      </c>
      <c r="K878" s="7" t="str">
        <f ca="1">IFERROR(XLOOKUP(D878,'Spec_Single_H&amp;S'!B:B,'Spec_Single_H&amp;S'!F:F),
IFERROR(XLOOKUP(D878,#REF!,#REF!),""))</f>
        <v/>
      </c>
      <c r="L878" s="7" t="str">
        <f t="shared" ca="1" si="33"/>
        <v/>
      </c>
    </row>
    <row r="879" spans="5:12" x14ac:dyDescent="0.3">
      <c r="E879" s="7" t="str">
        <f t="shared" si="34"/>
        <v/>
      </c>
      <c r="H879" s="7" t="str">
        <f>IF(B879&lt;&gt;"Silicone","",IFERROR(XLOOKUP(D879,#REF!,#REF!),""))</f>
        <v/>
      </c>
      <c r="J879" s="7" t="str">
        <f ca="1">IFERROR(XLOOKUP(D879,'Spec_Single_H&amp;S'!B:B,'Spec_Single_H&amp;S'!E:E),
IFERROR(XLOOKUP(D879,#REF!,#REF!),""))</f>
        <v/>
      </c>
      <c r="K879" s="7" t="str">
        <f ca="1">IFERROR(XLOOKUP(D879,'Spec_Single_H&amp;S'!B:B,'Spec_Single_H&amp;S'!F:F),
IFERROR(XLOOKUP(D879,#REF!,#REF!),""))</f>
        <v/>
      </c>
      <c r="L879" s="7" t="str">
        <f t="shared" ca="1" si="33"/>
        <v/>
      </c>
    </row>
    <row r="880" spans="5:12" x14ac:dyDescent="0.3">
      <c r="E880" s="7" t="str">
        <f t="shared" si="34"/>
        <v/>
      </c>
      <c r="H880" s="7" t="str">
        <f>IF(B880&lt;&gt;"Silicone","",IFERROR(XLOOKUP(D880,#REF!,#REF!),""))</f>
        <v/>
      </c>
      <c r="J880" s="7" t="str">
        <f ca="1">IFERROR(XLOOKUP(D880,'Spec_Single_H&amp;S'!B:B,'Spec_Single_H&amp;S'!E:E),
IFERROR(XLOOKUP(D880,#REF!,#REF!),""))</f>
        <v/>
      </c>
      <c r="K880" s="7" t="str">
        <f ca="1">IFERROR(XLOOKUP(D880,'Spec_Single_H&amp;S'!B:B,'Spec_Single_H&amp;S'!F:F),
IFERROR(XLOOKUP(D880,#REF!,#REF!),""))</f>
        <v/>
      </c>
      <c r="L880" s="7" t="str">
        <f t="shared" ca="1" si="33"/>
        <v/>
      </c>
    </row>
    <row r="881" spans="5:12" x14ac:dyDescent="0.3">
      <c r="E881" s="7" t="str">
        <f t="shared" si="34"/>
        <v/>
      </c>
      <c r="H881" s="7" t="str">
        <f>IF(B881&lt;&gt;"Silicone","",IFERROR(XLOOKUP(D881,#REF!,#REF!),""))</f>
        <v/>
      </c>
      <c r="J881" s="7" t="str">
        <f ca="1">IFERROR(XLOOKUP(D881,'Spec_Single_H&amp;S'!B:B,'Spec_Single_H&amp;S'!E:E),
IFERROR(XLOOKUP(D881,#REF!,#REF!),""))</f>
        <v/>
      </c>
      <c r="K881" s="7" t="str">
        <f ca="1">IFERROR(XLOOKUP(D881,'Spec_Single_H&amp;S'!B:B,'Spec_Single_H&amp;S'!F:F),
IFERROR(XLOOKUP(D881,#REF!,#REF!),""))</f>
        <v/>
      </c>
      <c r="L881" s="7" t="str">
        <f t="shared" ca="1" si="33"/>
        <v/>
      </c>
    </row>
    <row r="882" spans="5:12" x14ac:dyDescent="0.3">
      <c r="E882" s="7" t="str">
        <f t="shared" si="34"/>
        <v/>
      </c>
      <c r="H882" s="7" t="str">
        <f>IF(B882&lt;&gt;"Silicone","",IFERROR(XLOOKUP(D882,#REF!,#REF!),""))</f>
        <v/>
      </c>
      <c r="J882" s="7" t="str">
        <f ca="1">IFERROR(XLOOKUP(D882,'Spec_Single_H&amp;S'!B:B,'Spec_Single_H&amp;S'!E:E),
IFERROR(XLOOKUP(D882,#REF!,#REF!),""))</f>
        <v/>
      </c>
      <c r="K882" s="7" t="str">
        <f ca="1">IFERROR(XLOOKUP(D882,'Spec_Single_H&amp;S'!B:B,'Spec_Single_H&amp;S'!F:F),
IFERROR(XLOOKUP(D882,#REF!,#REF!),""))</f>
        <v/>
      </c>
      <c r="L882" s="7" t="str">
        <f t="shared" ca="1" si="33"/>
        <v/>
      </c>
    </row>
    <row r="883" spans="5:12" x14ac:dyDescent="0.3">
      <c r="E883" s="7" t="str">
        <f t="shared" si="34"/>
        <v/>
      </c>
      <c r="H883" s="7" t="str">
        <f>IF(B883&lt;&gt;"Silicone","",IFERROR(XLOOKUP(D883,#REF!,#REF!),""))</f>
        <v/>
      </c>
      <c r="J883" s="7" t="str">
        <f ca="1">IFERROR(XLOOKUP(D883,'Spec_Single_H&amp;S'!B:B,'Spec_Single_H&amp;S'!E:E),
IFERROR(XLOOKUP(D883,#REF!,#REF!),""))</f>
        <v/>
      </c>
      <c r="K883" s="7" t="str">
        <f ca="1">IFERROR(XLOOKUP(D883,'Spec_Single_H&amp;S'!B:B,'Spec_Single_H&amp;S'!F:F),
IFERROR(XLOOKUP(D883,#REF!,#REF!),""))</f>
        <v/>
      </c>
      <c r="L883" s="7" t="str">
        <f t="shared" ca="1" si="33"/>
        <v/>
      </c>
    </row>
    <row r="884" spans="5:12" x14ac:dyDescent="0.3">
      <c r="E884" s="7" t="str">
        <f t="shared" si="34"/>
        <v/>
      </c>
      <c r="H884" s="7" t="str">
        <f>IF(B884&lt;&gt;"Silicone","",IFERROR(XLOOKUP(D884,#REF!,#REF!),""))</f>
        <v/>
      </c>
      <c r="J884" s="7" t="str">
        <f ca="1">IFERROR(XLOOKUP(D884,'Spec_Single_H&amp;S'!B:B,'Spec_Single_H&amp;S'!E:E),
IFERROR(XLOOKUP(D884,#REF!,#REF!),""))</f>
        <v/>
      </c>
      <c r="K884" s="7" t="str">
        <f ca="1">IFERROR(XLOOKUP(D884,'Spec_Single_H&amp;S'!B:B,'Spec_Single_H&amp;S'!F:F),
IFERROR(XLOOKUP(D884,#REF!,#REF!),""))</f>
        <v/>
      </c>
      <c r="L884" s="7" t="str">
        <f t="shared" ca="1" si="33"/>
        <v/>
      </c>
    </row>
    <row r="885" spans="5:12" x14ac:dyDescent="0.3">
      <c r="E885" s="7" t="str">
        <f t="shared" si="34"/>
        <v/>
      </c>
      <c r="H885" s="7" t="str">
        <f>IF(B885&lt;&gt;"Silicone","",IFERROR(XLOOKUP(D885,#REF!,#REF!),""))</f>
        <v/>
      </c>
      <c r="J885" s="7" t="str">
        <f ca="1">IFERROR(XLOOKUP(D885,'Spec_Single_H&amp;S'!B:B,'Spec_Single_H&amp;S'!E:E),
IFERROR(XLOOKUP(D885,#REF!,#REF!),""))</f>
        <v/>
      </c>
      <c r="K885" s="7" t="str">
        <f ca="1">IFERROR(XLOOKUP(D885,'Spec_Single_H&amp;S'!B:B,'Spec_Single_H&amp;S'!F:F),
IFERROR(XLOOKUP(D885,#REF!,#REF!),""))</f>
        <v/>
      </c>
      <c r="L885" s="7" t="str">
        <f t="shared" ca="1" si="33"/>
        <v/>
      </c>
    </row>
    <row r="886" spans="5:12" x14ac:dyDescent="0.3">
      <c r="E886" s="7" t="str">
        <f t="shared" si="34"/>
        <v/>
      </c>
      <c r="H886" s="7" t="str">
        <f>IF(B886&lt;&gt;"Silicone","",IFERROR(XLOOKUP(D886,#REF!,#REF!),""))</f>
        <v/>
      </c>
      <c r="J886" s="7" t="str">
        <f ca="1">IFERROR(XLOOKUP(D886,'Spec_Single_H&amp;S'!B:B,'Spec_Single_H&amp;S'!E:E),
IFERROR(XLOOKUP(D886,#REF!,#REF!),""))</f>
        <v/>
      </c>
      <c r="K886" s="7" t="str">
        <f ca="1">IFERROR(XLOOKUP(D886,'Spec_Single_H&amp;S'!B:B,'Spec_Single_H&amp;S'!F:F),
IFERROR(XLOOKUP(D886,#REF!,#REF!),""))</f>
        <v/>
      </c>
      <c r="L886" s="7" t="str">
        <f t="shared" ca="1" si="33"/>
        <v/>
      </c>
    </row>
    <row r="887" spans="5:12" x14ac:dyDescent="0.3">
      <c r="E887" s="7" t="str">
        <f t="shared" si="34"/>
        <v/>
      </c>
      <c r="H887" s="7" t="str">
        <f>IF(B887&lt;&gt;"Silicone","",IFERROR(XLOOKUP(D887,#REF!,#REF!),""))</f>
        <v/>
      </c>
      <c r="J887" s="7" t="str">
        <f ca="1">IFERROR(XLOOKUP(D887,'Spec_Single_H&amp;S'!B:B,'Spec_Single_H&amp;S'!E:E),
IFERROR(XLOOKUP(D887,#REF!,#REF!),""))</f>
        <v/>
      </c>
      <c r="K887" s="7" t="str">
        <f ca="1">IFERROR(XLOOKUP(D887,'Spec_Single_H&amp;S'!B:B,'Spec_Single_H&amp;S'!F:F),
IFERROR(XLOOKUP(D887,#REF!,#REF!),""))</f>
        <v/>
      </c>
      <c r="L887" s="7" t="str">
        <f t="shared" ca="1" si="33"/>
        <v/>
      </c>
    </row>
    <row r="888" spans="5:12" x14ac:dyDescent="0.3">
      <c r="E888" s="7" t="str">
        <f t="shared" si="34"/>
        <v/>
      </c>
      <c r="H888" s="7" t="str">
        <f>IF(B888&lt;&gt;"Silicone","",IFERROR(XLOOKUP(D888,#REF!,#REF!),""))</f>
        <v/>
      </c>
      <c r="J888" s="7" t="str">
        <f ca="1">IFERROR(XLOOKUP(D888,'Spec_Single_H&amp;S'!B:B,'Spec_Single_H&amp;S'!E:E),
IFERROR(XLOOKUP(D888,#REF!,#REF!),""))</f>
        <v/>
      </c>
      <c r="K888" s="7" t="str">
        <f ca="1">IFERROR(XLOOKUP(D888,'Spec_Single_H&amp;S'!B:B,'Spec_Single_H&amp;S'!F:F),
IFERROR(XLOOKUP(D888,#REF!,#REF!),""))</f>
        <v/>
      </c>
      <c r="L888" s="7" t="str">
        <f t="shared" ca="1" si="33"/>
        <v/>
      </c>
    </row>
    <row r="889" spans="5:12" x14ac:dyDescent="0.3">
      <c r="E889" s="7" t="str">
        <f t="shared" si="34"/>
        <v/>
      </c>
      <c r="H889" s="7" t="str">
        <f>IF(B889&lt;&gt;"Silicone","",IFERROR(XLOOKUP(D889,#REF!,#REF!),""))</f>
        <v/>
      </c>
      <c r="J889" s="7" t="str">
        <f ca="1">IFERROR(XLOOKUP(D889,'Spec_Single_H&amp;S'!B:B,'Spec_Single_H&amp;S'!E:E),
IFERROR(XLOOKUP(D889,#REF!,#REF!),""))</f>
        <v/>
      </c>
      <c r="K889" s="7" t="str">
        <f ca="1">IFERROR(XLOOKUP(D889,'Spec_Single_H&amp;S'!B:B,'Spec_Single_H&amp;S'!F:F),
IFERROR(XLOOKUP(D889,#REF!,#REF!),""))</f>
        <v/>
      </c>
      <c r="L889" s="7" t="str">
        <f t="shared" ca="1" si="33"/>
        <v/>
      </c>
    </row>
    <row r="890" spans="5:12" x14ac:dyDescent="0.3">
      <c r="E890" s="7" t="str">
        <f t="shared" si="34"/>
        <v/>
      </c>
      <c r="H890" s="7" t="str">
        <f>IF(B890&lt;&gt;"Silicone","",IFERROR(XLOOKUP(D890,#REF!,#REF!),""))</f>
        <v/>
      </c>
      <c r="J890" s="7" t="str">
        <f ca="1">IFERROR(XLOOKUP(D890,'Spec_Single_H&amp;S'!B:B,'Spec_Single_H&amp;S'!E:E),
IFERROR(XLOOKUP(D890,#REF!,#REF!),""))</f>
        <v/>
      </c>
      <c r="K890" s="7" t="str">
        <f ca="1">IFERROR(XLOOKUP(D890,'Spec_Single_H&amp;S'!B:B,'Spec_Single_H&amp;S'!F:F),
IFERROR(XLOOKUP(D890,#REF!,#REF!),""))</f>
        <v/>
      </c>
      <c r="L890" s="7" t="str">
        <f t="shared" ca="1" si="33"/>
        <v/>
      </c>
    </row>
    <row r="891" spans="5:12" x14ac:dyDescent="0.3">
      <c r="E891" s="7" t="str">
        <f t="shared" si="34"/>
        <v/>
      </c>
      <c r="H891" s="7" t="str">
        <f>IF(B891&lt;&gt;"Silicone","",IFERROR(XLOOKUP(D891,#REF!,#REF!),""))</f>
        <v/>
      </c>
      <c r="J891" s="7" t="str">
        <f ca="1">IFERROR(XLOOKUP(D891,'Spec_Single_H&amp;S'!B:B,'Spec_Single_H&amp;S'!E:E),
IFERROR(XLOOKUP(D891,#REF!,#REF!),""))</f>
        <v/>
      </c>
      <c r="K891" s="7" t="str">
        <f ca="1">IFERROR(XLOOKUP(D891,'Spec_Single_H&amp;S'!B:B,'Spec_Single_H&amp;S'!F:F),
IFERROR(XLOOKUP(D891,#REF!,#REF!),""))</f>
        <v/>
      </c>
      <c r="L891" s="7" t="str">
        <f t="shared" ca="1" si="33"/>
        <v/>
      </c>
    </row>
    <row r="892" spans="5:12" x14ac:dyDescent="0.3">
      <c r="E892" s="7" t="str">
        <f t="shared" si="34"/>
        <v/>
      </c>
      <c r="H892" s="7" t="str">
        <f>IF(B892&lt;&gt;"Silicone","",IFERROR(XLOOKUP(D892,#REF!,#REF!),""))</f>
        <v/>
      </c>
      <c r="J892" s="7" t="str">
        <f ca="1">IFERROR(XLOOKUP(D892,'Spec_Single_H&amp;S'!B:B,'Spec_Single_H&amp;S'!E:E),
IFERROR(XLOOKUP(D892,#REF!,#REF!),""))</f>
        <v/>
      </c>
      <c r="K892" s="7" t="str">
        <f ca="1">IFERROR(XLOOKUP(D892,'Spec_Single_H&amp;S'!B:B,'Spec_Single_H&amp;S'!F:F),
IFERROR(XLOOKUP(D892,#REF!,#REF!),""))</f>
        <v/>
      </c>
      <c r="L892" s="7" t="str">
        <f t="shared" ca="1" si="33"/>
        <v/>
      </c>
    </row>
    <row r="893" spans="5:12" x14ac:dyDescent="0.3">
      <c r="E893" s="7" t="str">
        <f t="shared" si="34"/>
        <v/>
      </c>
      <c r="H893" s="7" t="str">
        <f>IF(B893&lt;&gt;"Silicone","",IFERROR(XLOOKUP(D893,#REF!,#REF!),""))</f>
        <v/>
      </c>
      <c r="J893" s="7" t="str">
        <f ca="1">IFERROR(XLOOKUP(D893,'Spec_Single_H&amp;S'!B:B,'Spec_Single_H&amp;S'!E:E),
IFERROR(XLOOKUP(D893,#REF!,#REF!),""))</f>
        <v/>
      </c>
      <c r="K893" s="7" t="str">
        <f ca="1">IFERROR(XLOOKUP(D893,'Spec_Single_H&amp;S'!B:B,'Spec_Single_H&amp;S'!F:F),
IFERROR(XLOOKUP(D893,#REF!,#REF!),""))</f>
        <v/>
      </c>
      <c r="L893" s="7" t="str">
        <f t="shared" ca="1" si="33"/>
        <v/>
      </c>
    </row>
    <row r="894" spans="5:12" x14ac:dyDescent="0.3">
      <c r="E894" s="7" t="str">
        <f t="shared" si="34"/>
        <v/>
      </c>
      <c r="H894" s="7" t="str">
        <f>IF(B894&lt;&gt;"Silicone","",IFERROR(XLOOKUP(D894,#REF!,#REF!),""))</f>
        <v/>
      </c>
      <c r="J894" s="7" t="str">
        <f ca="1">IFERROR(XLOOKUP(D894,'Spec_Single_H&amp;S'!B:B,'Spec_Single_H&amp;S'!E:E),
IFERROR(XLOOKUP(D894,#REF!,#REF!),""))</f>
        <v/>
      </c>
      <c r="K894" s="7" t="str">
        <f ca="1">IFERROR(XLOOKUP(D894,'Spec_Single_H&amp;S'!B:B,'Spec_Single_H&amp;S'!F:F),
IFERROR(XLOOKUP(D894,#REF!,#REF!),""))</f>
        <v/>
      </c>
      <c r="L894" s="7" t="str">
        <f t="shared" ca="1" si="33"/>
        <v/>
      </c>
    </row>
    <row r="895" spans="5:12" x14ac:dyDescent="0.3">
      <c r="E895" s="7" t="str">
        <f t="shared" si="34"/>
        <v/>
      </c>
      <c r="H895" s="7" t="str">
        <f>IF(B895&lt;&gt;"Silicone","",IFERROR(XLOOKUP(D895,#REF!,#REF!),""))</f>
        <v/>
      </c>
      <c r="J895" s="7" t="str">
        <f ca="1">IFERROR(XLOOKUP(D895,'Spec_Single_H&amp;S'!B:B,'Spec_Single_H&amp;S'!E:E),
IFERROR(XLOOKUP(D895,#REF!,#REF!),""))</f>
        <v/>
      </c>
      <c r="K895" s="7" t="str">
        <f ca="1">IFERROR(XLOOKUP(D895,'Spec_Single_H&amp;S'!B:B,'Spec_Single_H&amp;S'!F:F),
IFERROR(XLOOKUP(D895,#REF!,#REF!),""))</f>
        <v/>
      </c>
      <c r="L895" s="7" t="str">
        <f t="shared" ca="1" si="33"/>
        <v/>
      </c>
    </row>
    <row r="896" spans="5:12" x14ac:dyDescent="0.3">
      <c r="E896" s="7" t="str">
        <f t="shared" si="34"/>
        <v/>
      </c>
      <c r="H896" s="7" t="str">
        <f>IF(B896&lt;&gt;"Silicone","",IFERROR(XLOOKUP(D896,#REF!,#REF!),""))</f>
        <v/>
      </c>
      <c r="J896" s="7" t="str">
        <f ca="1">IFERROR(XLOOKUP(D896,'Spec_Single_H&amp;S'!B:B,'Spec_Single_H&amp;S'!E:E),
IFERROR(XLOOKUP(D896,#REF!,#REF!),""))</f>
        <v/>
      </c>
      <c r="K896" s="7" t="str">
        <f ca="1">IFERROR(XLOOKUP(D896,'Spec_Single_H&amp;S'!B:B,'Spec_Single_H&amp;S'!F:F),
IFERROR(XLOOKUP(D896,#REF!,#REF!),""))</f>
        <v/>
      </c>
      <c r="L896" s="7" t="str">
        <f t="shared" ca="1" si="33"/>
        <v/>
      </c>
    </row>
    <row r="897" spans="5:12" x14ac:dyDescent="0.3">
      <c r="E897" s="7" t="str">
        <f t="shared" si="34"/>
        <v/>
      </c>
      <c r="H897" s="7" t="str">
        <f>IF(B897&lt;&gt;"Silicone","",IFERROR(XLOOKUP(D897,#REF!,#REF!),""))</f>
        <v/>
      </c>
      <c r="J897" s="7" t="str">
        <f ca="1">IFERROR(XLOOKUP(D897,'Spec_Single_H&amp;S'!B:B,'Spec_Single_H&amp;S'!E:E),
IFERROR(XLOOKUP(D897,#REF!,#REF!),""))</f>
        <v/>
      </c>
      <c r="K897" s="7" t="str">
        <f ca="1">IFERROR(XLOOKUP(D897,'Spec_Single_H&amp;S'!B:B,'Spec_Single_H&amp;S'!F:F),
IFERROR(XLOOKUP(D897,#REF!,#REF!),""))</f>
        <v/>
      </c>
      <c r="L897" s="7" t="str">
        <f t="shared" ca="1" si="33"/>
        <v/>
      </c>
    </row>
    <row r="898" spans="5:12" x14ac:dyDescent="0.3">
      <c r="E898" s="7" t="str">
        <f t="shared" si="34"/>
        <v/>
      </c>
      <c r="H898" s="7" t="str">
        <f>IF(B898&lt;&gt;"Silicone","",IFERROR(XLOOKUP(D898,#REF!,#REF!),""))</f>
        <v/>
      </c>
      <c r="J898" s="7" t="str">
        <f ca="1">IFERROR(XLOOKUP(D898,'Spec_Single_H&amp;S'!B:B,'Spec_Single_H&amp;S'!E:E),
IFERROR(XLOOKUP(D898,#REF!,#REF!),""))</f>
        <v/>
      </c>
      <c r="K898" s="7" t="str">
        <f ca="1">IFERROR(XLOOKUP(D898,'Spec_Single_H&amp;S'!B:B,'Spec_Single_H&amp;S'!F:F),
IFERROR(XLOOKUP(D898,#REF!,#REF!),""))</f>
        <v/>
      </c>
      <c r="L898" s="7" t="str">
        <f t="shared" ca="1" si="33"/>
        <v/>
      </c>
    </row>
    <row r="899" spans="5:12" x14ac:dyDescent="0.3">
      <c r="E899" s="7" t="str">
        <f t="shared" si="34"/>
        <v/>
      </c>
      <c r="H899" s="7" t="str">
        <f>IF(B899&lt;&gt;"Silicone","",IFERROR(XLOOKUP(D899,#REF!,#REF!),""))</f>
        <v/>
      </c>
      <c r="J899" s="7" t="str">
        <f ca="1">IFERROR(XLOOKUP(D899,'Spec_Single_H&amp;S'!B:B,'Spec_Single_H&amp;S'!E:E),
IFERROR(XLOOKUP(D899,#REF!,#REF!),""))</f>
        <v/>
      </c>
      <c r="K899" s="7" t="str">
        <f ca="1">IFERROR(XLOOKUP(D899,'Spec_Single_H&amp;S'!B:B,'Spec_Single_H&amp;S'!F:F),
IFERROR(XLOOKUP(D899,#REF!,#REF!),""))</f>
        <v/>
      </c>
      <c r="L899" s="7" t="str">
        <f t="shared" ca="1" si="33"/>
        <v/>
      </c>
    </row>
    <row r="900" spans="5:12" x14ac:dyDescent="0.3">
      <c r="E900" s="7" t="str">
        <f t="shared" si="34"/>
        <v/>
      </c>
      <c r="H900" s="7" t="str">
        <f>IF(B900&lt;&gt;"Silicone","",IFERROR(XLOOKUP(D900,#REF!,#REF!),""))</f>
        <v/>
      </c>
      <c r="J900" s="7" t="str">
        <f ca="1">IFERROR(XLOOKUP(D900,'Spec_Single_H&amp;S'!B:B,'Spec_Single_H&amp;S'!E:E),
IFERROR(XLOOKUP(D900,#REF!,#REF!),""))</f>
        <v/>
      </c>
      <c r="K900" s="7" t="str">
        <f ca="1">IFERROR(XLOOKUP(D900,'Spec_Single_H&amp;S'!B:B,'Spec_Single_H&amp;S'!F:F),
IFERROR(XLOOKUP(D900,#REF!,#REF!),""))</f>
        <v/>
      </c>
      <c r="L900" s="7" t="str">
        <f t="shared" ca="1" si="33"/>
        <v/>
      </c>
    </row>
    <row r="901" spans="5:12" x14ac:dyDescent="0.3">
      <c r="E901" s="7" t="str">
        <f t="shared" si="34"/>
        <v/>
      </c>
      <c r="H901" s="7" t="str">
        <f>IF(B901&lt;&gt;"Silicone","",IFERROR(XLOOKUP(D901,#REF!,#REF!),""))</f>
        <v/>
      </c>
      <c r="J901" s="7" t="str">
        <f ca="1">IFERROR(XLOOKUP(D901,'Spec_Single_H&amp;S'!B:B,'Spec_Single_H&amp;S'!E:E),
IFERROR(XLOOKUP(D901,#REF!,#REF!),""))</f>
        <v/>
      </c>
      <c r="K901" s="7" t="str">
        <f ca="1">IFERROR(XLOOKUP(D901,'Spec_Single_H&amp;S'!B:B,'Spec_Single_H&amp;S'!F:F),
IFERROR(XLOOKUP(D901,#REF!,#REF!),""))</f>
        <v/>
      </c>
      <c r="L901" s="7" t="str">
        <f t="shared" ca="1" si="33"/>
        <v/>
      </c>
    </row>
    <row r="902" spans="5:12" x14ac:dyDescent="0.3">
      <c r="E902" s="7" t="str">
        <f t="shared" si="34"/>
        <v/>
      </c>
      <c r="H902" s="7" t="str">
        <f>IF(B902&lt;&gt;"Silicone","",IFERROR(XLOOKUP(D902,#REF!,#REF!),""))</f>
        <v/>
      </c>
      <c r="J902" s="7" t="str">
        <f ca="1">IFERROR(XLOOKUP(D902,'Spec_Single_H&amp;S'!B:B,'Spec_Single_H&amp;S'!E:E),
IFERROR(XLOOKUP(D902,#REF!,#REF!),""))</f>
        <v/>
      </c>
      <c r="K902" s="7" t="str">
        <f ca="1">IFERROR(XLOOKUP(D902,'Spec_Single_H&amp;S'!B:B,'Spec_Single_H&amp;S'!F:F),
IFERROR(XLOOKUP(D902,#REF!,#REF!),""))</f>
        <v/>
      </c>
      <c r="L902" s="7" t="str">
        <f t="shared" ca="1" si="33"/>
        <v/>
      </c>
    </row>
    <row r="903" spans="5:12" x14ac:dyDescent="0.3">
      <c r="E903" s="7" t="str">
        <f t="shared" si="34"/>
        <v/>
      </c>
      <c r="H903" s="7" t="str">
        <f>IF(B903&lt;&gt;"Silicone","",IFERROR(XLOOKUP(D903,#REF!,#REF!),""))</f>
        <v/>
      </c>
      <c r="J903" s="7" t="str">
        <f ca="1">IFERROR(XLOOKUP(D903,'Spec_Single_H&amp;S'!B:B,'Spec_Single_H&amp;S'!E:E),
IFERROR(XLOOKUP(D903,#REF!,#REF!),""))</f>
        <v/>
      </c>
      <c r="K903" s="7" t="str">
        <f ca="1">IFERROR(XLOOKUP(D903,'Spec_Single_H&amp;S'!B:B,'Spec_Single_H&amp;S'!F:F),
IFERROR(XLOOKUP(D903,#REF!,#REF!),""))</f>
        <v/>
      </c>
      <c r="L903" s="7" t="str">
        <f t="shared" ca="1" si="33"/>
        <v/>
      </c>
    </row>
    <row r="904" spans="5:12" x14ac:dyDescent="0.3">
      <c r="E904" s="7" t="str">
        <f t="shared" si="34"/>
        <v/>
      </c>
      <c r="H904" s="7" t="str">
        <f>IF(B904&lt;&gt;"Silicone","",IFERROR(XLOOKUP(D904,#REF!,#REF!),""))</f>
        <v/>
      </c>
      <c r="J904" s="7" t="str">
        <f ca="1">IFERROR(XLOOKUP(D904,'Spec_Single_H&amp;S'!B:B,'Spec_Single_H&amp;S'!E:E),
IFERROR(XLOOKUP(D904,#REF!,#REF!),""))</f>
        <v/>
      </c>
      <c r="K904" s="7" t="str">
        <f ca="1">IFERROR(XLOOKUP(D904,'Spec_Single_H&amp;S'!B:B,'Spec_Single_H&amp;S'!F:F),
IFERROR(XLOOKUP(D904,#REF!,#REF!),""))</f>
        <v/>
      </c>
      <c r="L904" s="7" t="str">
        <f t="shared" ref="L904:L967" ca="1" si="35">IF(AND(NOT(ISBLANK(I904)),I904&gt;=J904,I904&lt;=K904),"적합",IF(ISBLANK(I904),"", "부적합"))</f>
        <v/>
      </c>
    </row>
    <row r="905" spans="5:12" x14ac:dyDescent="0.3">
      <c r="E905" s="7" t="str">
        <f t="shared" ref="E905:E911" si="36">IF(D905="","",IF(B905="Silicone", "SL" &amp; IF(C905="Black","B",IF(C905="White","W",IF(C905="Blue","U",IF(C905="Green","G",IF(C905="Yellow","Y",IF(C905="Red","R",IF(C905="Pink","P",""))))))) &amp; TEXT(A905,"yymmdd") &amp; "01",IF(LEFT(D905,3)="NPL","NPL","PL") &amp; IF(C905="Black","B",IF(C905="White","W",IF(C905="Blue","U",IF(C905="Green","G",IF(C905="Yellow","Y",IF(C905="Red","R",IF(C905="Pink","P",""))))))) &amp; TEXT(A905,"yymmdd") &amp; "01"))</f>
        <v/>
      </c>
      <c r="H905" s="7" t="str">
        <f>IF(B905&lt;&gt;"Silicone","",IFERROR(XLOOKUP(D905,#REF!,#REF!),""))</f>
        <v/>
      </c>
      <c r="J905" s="7" t="str">
        <f ca="1">IFERROR(XLOOKUP(D905,'Spec_Single_H&amp;S'!B:B,'Spec_Single_H&amp;S'!E:E),
IFERROR(XLOOKUP(D905,#REF!,#REF!),""))</f>
        <v/>
      </c>
      <c r="K905" s="7" t="str">
        <f ca="1">IFERROR(XLOOKUP(D905,'Spec_Single_H&amp;S'!B:B,'Spec_Single_H&amp;S'!F:F),
IFERROR(XLOOKUP(D905,#REF!,#REF!),""))</f>
        <v/>
      </c>
      <c r="L905" s="7" t="str">
        <f t="shared" ca="1" si="35"/>
        <v/>
      </c>
    </row>
    <row r="906" spans="5:12" x14ac:dyDescent="0.3">
      <c r="E906" s="7" t="str">
        <f t="shared" si="36"/>
        <v/>
      </c>
      <c r="H906" s="7" t="str">
        <f>IF(B906&lt;&gt;"Silicone","",IFERROR(XLOOKUP(D906,#REF!,#REF!),""))</f>
        <v/>
      </c>
      <c r="J906" s="7" t="str">
        <f ca="1">IFERROR(XLOOKUP(D906,'Spec_Single_H&amp;S'!B:B,'Spec_Single_H&amp;S'!E:E),
IFERROR(XLOOKUP(D906,#REF!,#REF!),""))</f>
        <v/>
      </c>
      <c r="K906" s="7" t="str">
        <f ca="1">IFERROR(XLOOKUP(D906,'Spec_Single_H&amp;S'!B:B,'Spec_Single_H&amp;S'!F:F),
IFERROR(XLOOKUP(D906,#REF!,#REF!),""))</f>
        <v/>
      </c>
      <c r="L906" s="7" t="str">
        <f t="shared" ca="1" si="35"/>
        <v/>
      </c>
    </row>
    <row r="907" spans="5:12" x14ac:dyDescent="0.3">
      <c r="E907" s="7" t="str">
        <f t="shared" si="36"/>
        <v/>
      </c>
      <c r="H907" s="7" t="str">
        <f>IF(B907&lt;&gt;"Silicone","",IFERROR(XLOOKUP(D907,#REF!,#REF!),""))</f>
        <v/>
      </c>
      <c r="J907" s="7" t="str">
        <f ca="1">IFERROR(XLOOKUP(D907,'Spec_Single_H&amp;S'!B:B,'Spec_Single_H&amp;S'!E:E),
IFERROR(XLOOKUP(D907,#REF!,#REF!),""))</f>
        <v/>
      </c>
      <c r="K907" s="7" t="str">
        <f ca="1">IFERROR(XLOOKUP(D907,'Spec_Single_H&amp;S'!B:B,'Spec_Single_H&amp;S'!F:F),
IFERROR(XLOOKUP(D907,#REF!,#REF!),""))</f>
        <v/>
      </c>
      <c r="L907" s="7" t="str">
        <f t="shared" ca="1" si="35"/>
        <v/>
      </c>
    </row>
    <row r="908" spans="5:12" x14ac:dyDescent="0.3">
      <c r="E908" s="7" t="str">
        <f t="shared" si="36"/>
        <v/>
      </c>
      <c r="H908" s="7" t="str">
        <f>IF(B908&lt;&gt;"Silicone","",IFERROR(XLOOKUP(D908,#REF!,#REF!),""))</f>
        <v/>
      </c>
      <c r="J908" s="7" t="str">
        <f ca="1">IFERROR(XLOOKUP(D908,'Spec_Single_H&amp;S'!B:B,'Spec_Single_H&amp;S'!E:E),
IFERROR(XLOOKUP(D908,#REF!,#REF!),""))</f>
        <v/>
      </c>
      <c r="K908" s="7" t="str">
        <f ca="1">IFERROR(XLOOKUP(D908,'Spec_Single_H&amp;S'!B:B,'Spec_Single_H&amp;S'!F:F),
IFERROR(XLOOKUP(D908,#REF!,#REF!),""))</f>
        <v/>
      </c>
      <c r="L908" s="7" t="str">
        <f t="shared" ca="1" si="35"/>
        <v/>
      </c>
    </row>
    <row r="909" spans="5:12" x14ac:dyDescent="0.3">
      <c r="E909" s="7" t="str">
        <f t="shared" si="36"/>
        <v/>
      </c>
      <c r="H909" s="7" t="str">
        <f>IF(B909&lt;&gt;"Silicone","",IFERROR(XLOOKUP(D909,#REF!,#REF!),""))</f>
        <v/>
      </c>
      <c r="J909" s="7" t="str">
        <f ca="1">IFERROR(XLOOKUP(D909,'Spec_Single_H&amp;S'!B:B,'Spec_Single_H&amp;S'!E:E),
IFERROR(XLOOKUP(D909,#REF!,#REF!),""))</f>
        <v/>
      </c>
      <c r="K909" s="7" t="str">
        <f ca="1">IFERROR(XLOOKUP(D909,'Spec_Single_H&amp;S'!B:B,'Spec_Single_H&amp;S'!F:F),
IFERROR(XLOOKUP(D909,#REF!,#REF!),""))</f>
        <v/>
      </c>
      <c r="L909" s="7" t="str">
        <f t="shared" ca="1" si="35"/>
        <v/>
      </c>
    </row>
    <row r="910" spans="5:12" x14ac:dyDescent="0.3">
      <c r="E910" s="7" t="str">
        <f t="shared" si="36"/>
        <v/>
      </c>
      <c r="H910" s="7" t="str">
        <f>IF(B910&lt;&gt;"Silicone","",IFERROR(XLOOKUP(D910,#REF!,#REF!),""))</f>
        <v/>
      </c>
      <c r="J910" s="7" t="str">
        <f ca="1">IFERROR(XLOOKUP(D910,'Spec_Single_H&amp;S'!B:B,'Spec_Single_H&amp;S'!E:E),
IFERROR(XLOOKUP(D910,#REF!,#REF!),""))</f>
        <v/>
      </c>
      <c r="K910" s="7" t="str">
        <f ca="1">IFERROR(XLOOKUP(D910,'Spec_Single_H&amp;S'!B:B,'Spec_Single_H&amp;S'!F:F),
IFERROR(XLOOKUP(D910,#REF!,#REF!),""))</f>
        <v/>
      </c>
      <c r="L910" s="7" t="str">
        <f t="shared" ca="1" si="35"/>
        <v/>
      </c>
    </row>
    <row r="911" spans="5:12" x14ac:dyDescent="0.3">
      <c r="E911" s="7" t="str">
        <f t="shared" si="36"/>
        <v/>
      </c>
      <c r="H911" s="7" t="str">
        <f>IF(B911&lt;&gt;"Silicone","",IFERROR(XLOOKUP(D911,#REF!,#REF!),""))</f>
        <v/>
      </c>
      <c r="J911" s="7" t="str">
        <f ca="1">IFERROR(XLOOKUP(D911,'Spec_Single_H&amp;S'!B:B,'Spec_Single_H&amp;S'!E:E),
IFERROR(XLOOKUP(D911,#REF!,#REF!),""))</f>
        <v/>
      </c>
      <c r="K911" s="7" t="str">
        <f ca="1">IFERROR(XLOOKUP(D911,'Spec_Single_H&amp;S'!B:B,'Spec_Single_H&amp;S'!F:F),
IFERROR(XLOOKUP(D911,#REF!,#REF!),""))</f>
        <v/>
      </c>
      <c r="L911" s="7" t="str">
        <f t="shared" ca="1" si="35"/>
        <v/>
      </c>
    </row>
    <row r="912" spans="5:12" x14ac:dyDescent="0.3">
      <c r="H912" s="7" t="str">
        <f>IF(B912&lt;&gt;"Silicone","",IFERROR(XLOOKUP(D912,#REF!,#REF!),""))</f>
        <v/>
      </c>
      <c r="J912" s="7" t="str">
        <f ca="1">IFERROR(XLOOKUP(D912,'Spec_Single_H&amp;S'!B:B,'Spec_Single_H&amp;S'!E:E),
IFERROR(XLOOKUP(D912,#REF!,#REF!),""))</f>
        <v/>
      </c>
      <c r="K912" s="7" t="str">
        <f ca="1">IFERROR(XLOOKUP(D912,'Spec_Single_H&amp;S'!B:B,'Spec_Single_H&amp;S'!F:F),
IFERROR(XLOOKUP(D912,#REF!,#REF!),""))</f>
        <v/>
      </c>
      <c r="L912" s="7" t="str">
        <f t="shared" ca="1" si="35"/>
        <v/>
      </c>
    </row>
    <row r="913" spans="8:12" x14ac:dyDescent="0.3">
      <c r="H913" s="7" t="str">
        <f>IF(B913&lt;&gt;"Silicone","",IFERROR(XLOOKUP(D913,#REF!,#REF!),""))</f>
        <v/>
      </c>
      <c r="J913" s="7" t="str">
        <f ca="1">IFERROR(XLOOKUP(D913,'Spec_Single_H&amp;S'!B:B,'Spec_Single_H&amp;S'!E:E),
IFERROR(XLOOKUP(D913,#REF!,#REF!),""))</f>
        <v/>
      </c>
      <c r="K913" s="7" t="str">
        <f ca="1">IFERROR(XLOOKUP(D913,'Spec_Single_H&amp;S'!B:B,'Spec_Single_H&amp;S'!F:F),
IFERROR(XLOOKUP(D913,#REF!,#REF!),""))</f>
        <v/>
      </c>
      <c r="L913" s="7" t="str">
        <f t="shared" ca="1" si="35"/>
        <v/>
      </c>
    </row>
    <row r="914" spans="8:12" x14ac:dyDescent="0.3">
      <c r="H914" s="7" t="str">
        <f>IF(B914&lt;&gt;"Silicone","",IFERROR(XLOOKUP(D914,#REF!,#REF!),""))</f>
        <v/>
      </c>
      <c r="J914" s="7" t="str">
        <f ca="1">IFERROR(XLOOKUP(D914,'Spec_Single_H&amp;S'!B:B,'Spec_Single_H&amp;S'!E:E),
IFERROR(XLOOKUP(D914,#REF!,#REF!),""))</f>
        <v/>
      </c>
      <c r="K914" s="7" t="str">
        <f ca="1">IFERROR(XLOOKUP(D914,'Spec_Single_H&amp;S'!B:B,'Spec_Single_H&amp;S'!F:F),
IFERROR(XLOOKUP(D914,#REF!,#REF!),""))</f>
        <v/>
      </c>
      <c r="L914" s="7" t="str">
        <f t="shared" ca="1" si="35"/>
        <v/>
      </c>
    </row>
    <row r="915" spans="8:12" x14ac:dyDescent="0.3">
      <c r="H915" s="7" t="str">
        <f>IF(B915&lt;&gt;"Silicone","",IFERROR(XLOOKUP(D915,#REF!,#REF!),""))</f>
        <v/>
      </c>
      <c r="J915" s="7" t="str">
        <f ca="1">IFERROR(XLOOKUP(D915,'Spec_Single_H&amp;S'!B:B,'Spec_Single_H&amp;S'!E:E),
IFERROR(XLOOKUP(D915,#REF!,#REF!),""))</f>
        <v/>
      </c>
      <c r="K915" s="7" t="str">
        <f ca="1">IFERROR(XLOOKUP(D915,'Spec_Single_H&amp;S'!B:B,'Spec_Single_H&amp;S'!F:F),
IFERROR(XLOOKUP(D915,#REF!,#REF!),""))</f>
        <v/>
      </c>
      <c r="L915" s="7" t="str">
        <f t="shared" ca="1" si="35"/>
        <v/>
      </c>
    </row>
    <row r="916" spans="8:12" x14ac:dyDescent="0.3">
      <c r="H916" s="7" t="str">
        <f>IF(B916&lt;&gt;"Silicone","",IFERROR(XLOOKUP(D916,#REF!,#REF!),""))</f>
        <v/>
      </c>
      <c r="J916" s="7" t="str">
        <f ca="1">IFERROR(XLOOKUP(D916,'Spec_Single_H&amp;S'!B:B,'Spec_Single_H&amp;S'!E:E),
IFERROR(XLOOKUP(D916,#REF!,#REF!),""))</f>
        <v/>
      </c>
      <c r="K916" s="7" t="str">
        <f ca="1">IFERROR(XLOOKUP(D916,'Spec_Single_H&amp;S'!B:B,'Spec_Single_H&amp;S'!F:F),
IFERROR(XLOOKUP(D916,#REF!,#REF!),""))</f>
        <v/>
      </c>
      <c r="L916" s="7" t="str">
        <f t="shared" ca="1" si="35"/>
        <v/>
      </c>
    </row>
    <row r="917" spans="8:12" x14ac:dyDescent="0.3">
      <c r="H917" s="7" t="str">
        <f>IF(B917&lt;&gt;"Silicone","",IFERROR(XLOOKUP(D917,#REF!,#REF!),""))</f>
        <v/>
      </c>
      <c r="J917" s="7" t="str">
        <f ca="1">IFERROR(XLOOKUP(D917,'Spec_Single_H&amp;S'!B:B,'Spec_Single_H&amp;S'!E:E),
IFERROR(XLOOKUP(D917,#REF!,#REF!),""))</f>
        <v/>
      </c>
      <c r="K917" s="7" t="str">
        <f ca="1">IFERROR(XLOOKUP(D917,'Spec_Single_H&amp;S'!B:B,'Spec_Single_H&amp;S'!F:F),
IFERROR(XLOOKUP(D917,#REF!,#REF!),""))</f>
        <v/>
      </c>
      <c r="L917" s="7" t="str">
        <f t="shared" ca="1" si="35"/>
        <v/>
      </c>
    </row>
    <row r="918" spans="8:12" x14ac:dyDescent="0.3">
      <c r="H918" s="7" t="str">
        <f>IF(B918&lt;&gt;"Silicone","",IFERROR(XLOOKUP(D918,#REF!,#REF!),""))</f>
        <v/>
      </c>
      <c r="J918" s="7" t="str">
        <f ca="1">IFERROR(XLOOKUP(D918,'Spec_Single_H&amp;S'!B:B,'Spec_Single_H&amp;S'!E:E),
IFERROR(XLOOKUP(D918,#REF!,#REF!),""))</f>
        <v/>
      </c>
      <c r="K918" s="7" t="str">
        <f ca="1">IFERROR(XLOOKUP(D918,'Spec_Single_H&amp;S'!B:B,'Spec_Single_H&amp;S'!F:F),
IFERROR(XLOOKUP(D918,#REF!,#REF!),""))</f>
        <v/>
      </c>
      <c r="L918" s="7" t="str">
        <f t="shared" ca="1" si="35"/>
        <v/>
      </c>
    </row>
    <row r="919" spans="8:12" x14ac:dyDescent="0.3">
      <c r="H919" s="7" t="str">
        <f>IF(B919&lt;&gt;"Silicone","",IFERROR(XLOOKUP(D919,#REF!,#REF!),""))</f>
        <v/>
      </c>
      <c r="J919" s="7" t="str">
        <f ca="1">IFERROR(XLOOKUP(D919,'Spec_Single_H&amp;S'!B:B,'Spec_Single_H&amp;S'!E:E),
IFERROR(XLOOKUP(D919,#REF!,#REF!),""))</f>
        <v/>
      </c>
      <c r="K919" s="7" t="str">
        <f ca="1">IFERROR(XLOOKUP(D919,'Spec_Single_H&amp;S'!B:B,'Spec_Single_H&amp;S'!F:F),
IFERROR(XLOOKUP(D919,#REF!,#REF!),""))</f>
        <v/>
      </c>
      <c r="L919" s="7" t="str">
        <f t="shared" ca="1" si="35"/>
        <v/>
      </c>
    </row>
    <row r="920" spans="8:12" x14ac:dyDescent="0.3">
      <c r="H920" s="7" t="str">
        <f>IF(B920&lt;&gt;"Silicone","",IFERROR(XLOOKUP(D920,#REF!,#REF!),""))</f>
        <v/>
      </c>
      <c r="J920" s="7" t="str">
        <f ca="1">IFERROR(XLOOKUP(D920,'Spec_Single_H&amp;S'!B:B,'Spec_Single_H&amp;S'!E:E),
IFERROR(XLOOKUP(D920,#REF!,#REF!),""))</f>
        <v/>
      </c>
      <c r="K920" s="7" t="str">
        <f ca="1">IFERROR(XLOOKUP(D920,'Spec_Single_H&amp;S'!B:B,'Spec_Single_H&amp;S'!F:F),
IFERROR(XLOOKUP(D920,#REF!,#REF!),""))</f>
        <v/>
      </c>
      <c r="L920" s="7" t="str">
        <f t="shared" ca="1" si="35"/>
        <v/>
      </c>
    </row>
    <row r="921" spans="8:12" x14ac:dyDescent="0.3">
      <c r="H921" s="7" t="str">
        <f>IF(B921&lt;&gt;"Silicone","",IFERROR(XLOOKUP(D921,#REF!,#REF!),""))</f>
        <v/>
      </c>
      <c r="J921" s="7" t="str">
        <f ca="1">IFERROR(XLOOKUP(D921,'Spec_Single_H&amp;S'!B:B,'Spec_Single_H&amp;S'!E:E),
IFERROR(XLOOKUP(D921,#REF!,#REF!),""))</f>
        <v/>
      </c>
      <c r="K921" s="7" t="str">
        <f ca="1">IFERROR(XLOOKUP(D921,'Spec_Single_H&amp;S'!B:B,'Spec_Single_H&amp;S'!F:F),
IFERROR(XLOOKUP(D921,#REF!,#REF!),""))</f>
        <v/>
      </c>
      <c r="L921" s="7" t="str">
        <f t="shared" ca="1" si="35"/>
        <v/>
      </c>
    </row>
    <row r="922" spans="8:12" x14ac:dyDescent="0.3">
      <c r="H922" s="7" t="str">
        <f>IF(B922&lt;&gt;"Silicone","",IFERROR(XLOOKUP(D922,#REF!,#REF!),""))</f>
        <v/>
      </c>
      <c r="J922" s="7" t="str">
        <f ca="1">IFERROR(XLOOKUP(D922,'Spec_Single_H&amp;S'!B:B,'Spec_Single_H&amp;S'!E:E),
IFERROR(XLOOKUP(D922,#REF!,#REF!),""))</f>
        <v/>
      </c>
      <c r="K922" s="7" t="str">
        <f ca="1">IFERROR(XLOOKUP(D922,'Spec_Single_H&amp;S'!B:B,'Spec_Single_H&amp;S'!F:F),
IFERROR(XLOOKUP(D922,#REF!,#REF!),""))</f>
        <v/>
      </c>
      <c r="L922" s="7" t="str">
        <f t="shared" ca="1" si="35"/>
        <v/>
      </c>
    </row>
    <row r="923" spans="8:12" x14ac:dyDescent="0.3">
      <c r="H923" s="7" t="str">
        <f>IF(B923&lt;&gt;"Silicone","",IFERROR(XLOOKUP(D923,#REF!,#REF!),""))</f>
        <v/>
      </c>
      <c r="J923" s="7" t="str">
        <f ca="1">IFERROR(XLOOKUP(D923,'Spec_Single_H&amp;S'!B:B,'Spec_Single_H&amp;S'!E:E),
IFERROR(XLOOKUP(D923,#REF!,#REF!),""))</f>
        <v/>
      </c>
      <c r="K923" s="7" t="str">
        <f ca="1">IFERROR(XLOOKUP(D923,'Spec_Single_H&amp;S'!B:B,'Spec_Single_H&amp;S'!F:F),
IFERROR(XLOOKUP(D923,#REF!,#REF!),""))</f>
        <v/>
      </c>
      <c r="L923" s="7" t="str">
        <f t="shared" ca="1" si="35"/>
        <v/>
      </c>
    </row>
    <row r="924" spans="8:12" x14ac:dyDescent="0.3">
      <c r="H924" s="7" t="str">
        <f>IF(B924&lt;&gt;"Silicone","",IFERROR(XLOOKUP(D924,#REF!,#REF!),""))</f>
        <v/>
      </c>
      <c r="J924" s="7" t="str">
        <f ca="1">IFERROR(XLOOKUP(D924,'Spec_Single_H&amp;S'!B:B,'Spec_Single_H&amp;S'!E:E),
IFERROR(XLOOKUP(D924,#REF!,#REF!),""))</f>
        <v/>
      </c>
      <c r="K924" s="7" t="str">
        <f ca="1">IFERROR(XLOOKUP(D924,'Spec_Single_H&amp;S'!B:B,'Spec_Single_H&amp;S'!F:F),
IFERROR(XLOOKUP(D924,#REF!,#REF!),""))</f>
        <v/>
      </c>
      <c r="L924" s="7" t="str">
        <f t="shared" ca="1" si="35"/>
        <v/>
      </c>
    </row>
    <row r="925" spans="8:12" x14ac:dyDescent="0.3">
      <c r="H925" s="7" t="str">
        <f>IF(B925&lt;&gt;"Silicone","",IFERROR(XLOOKUP(D925,#REF!,#REF!),""))</f>
        <v/>
      </c>
      <c r="J925" s="7" t="str">
        <f ca="1">IFERROR(XLOOKUP(D925,'Spec_Single_H&amp;S'!B:B,'Spec_Single_H&amp;S'!E:E),
IFERROR(XLOOKUP(D925,#REF!,#REF!),""))</f>
        <v/>
      </c>
      <c r="K925" s="7" t="str">
        <f ca="1">IFERROR(XLOOKUP(D925,'Spec_Single_H&amp;S'!B:B,'Spec_Single_H&amp;S'!F:F),
IFERROR(XLOOKUP(D925,#REF!,#REF!),""))</f>
        <v/>
      </c>
      <c r="L925" s="7" t="str">
        <f t="shared" ca="1" si="35"/>
        <v/>
      </c>
    </row>
    <row r="926" spans="8:12" x14ac:dyDescent="0.3">
      <c r="H926" s="7" t="str">
        <f>IF(B926&lt;&gt;"Silicone","",IFERROR(XLOOKUP(D926,#REF!,#REF!),""))</f>
        <v/>
      </c>
      <c r="J926" s="7" t="str">
        <f ca="1">IFERROR(XLOOKUP(D926,'Spec_Single_H&amp;S'!B:B,'Spec_Single_H&amp;S'!E:E),
IFERROR(XLOOKUP(D926,#REF!,#REF!),""))</f>
        <v/>
      </c>
      <c r="K926" s="7" t="str">
        <f ca="1">IFERROR(XLOOKUP(D926,'Spec_Single_H&amp;S'!B:B,'Spec_Single_H&amp;S'!F:F),
IFERROR(XLOOKUP(D926,#REF!,#REF!),""))</f>
        <v/>
      </c>
      <c r="L926" s="7" t="str">
        <f t="shared" ca="1" si="35"/>
        <v/>
      </c>
    </row>
    <row r="927" spans="8:12" x14ac:dyDescent="0.3">
      <c r="H927" s="7" t="str">
        <f>IF(B927&lt;&gt;"Silicone","",IFERROR(XLOOKUP(D927,#REF!,#REF!),""))</f>
        <v/>
      </c>
      <c r="J927" s="7" t="str">
        <f ca="1">IFERROR(XLOOKUP(D927,'Spec_Single_H&amp;S'!B:B,'Spec_Single_H&amp;S'!E:E),
IFERROR(XLOOKUP(D927,#REF!,#REF!),""))</f>
        <v/>
      </c>
      <c r="K927" s="7" t="str">
        <f ca="1">IFERROR(XLOOKUP(D927,'Spec_Single_H&amp;S'!B:B,'Spec_Single_H&amp;S'!F:F),
IFERROR(XLOOKUP(D927,#REF!,#REF!),""))</f>
        <v/>
      </c>
      <c r="L927" s="7" t="str">
        <f t="shared" ca="1" si="35"/>
        <v/>
      </c>
    </row>
    <row r="928" spans="8:12" x14ac:dyDescent="0.3">
      <c r="H928" s="7" t="str">
        <f>IF(B928&lt;&gt;"Silicone","",IFERROR(XLOOKUP(D928,#REF!,#REF!),""))</f>
        <v/>
      </c>
      <c r="J928" s="7" t="str">
        <f ca="1">IFERROR(XLOOKUP(D928,'Spec_Single_H&amp;S'!B:B,'Spec_Single_H&amp;S'!E:E),
IFERROR(XLOOKUP(D928,#REF!,#REF!),""))</f>
        <v/>
      </c>
      <c r="K928" s="7" t="str">
        <f ca="1">IFERROR(XLOOKUP(D928,'Spec_Single_H&amp;S'!B:B,'Spec_Single_H&amp;S'!F:F),
IFERROR(XLOOKUP(D928,#REF!,#REF!),""))</f>
        <v/>
      </c>
      <c r="L928" s="7" t="str">
        <f t="shared" ca="1" si="35"/>
        <v/>
      </c>
    </row>
    <row r="929" spans="8:12" x14ac:dyDescent="0.3">
      <c r="H929" s="7" t="str">
        <f>IF(B929&lt;&gt;"Silicone","",IFERROR(XLOOKUP(D929,#REF!,#REF!),""))</f>
        <v/>
      </c>
      <c r="J929" s="7" t="str">
        <f ca="1">IFERROR(XLOOKUP(D929,'Spec_Single_H&amp;S'!B:B,'Spec_Single_H&amp;S'!E:E),
IFERROR(XLOOKUP(D929,#REF!,#REF!),""))</f>
        <v/>
      </c>
      <c r="K929" s="7" t="str">
        <f ca="1">IFERROR(XLOOKUP(D929,'Spec_Single_H&amp;S'!B:B,'Spec_Single_H&amp;S'!F:F),
IFERROR(XLOOKUP(D929,#REF!,#REF!),""))</f>
        <v/>
      </c>
      <c r="L929" s="7" t="str">
        <f t="shared" ca="1" si="35"/>
        <v/>
      </c>
    </row>
    <row r="930" spans="8:12" x14ac:dyDescent="0.3">
      <c r="H930" s="7" t="str">
        <f>IF(B930&lt;&gt;"Silicone","",IFERROR(XLOOKUP(D930,#REF!,#REF!),""))</f>
        <v/>
      </c>
      <c r="J930" s="7" t="str">
        <f ca="1">IFERROR(XLOOKUP(D930,'Spec_Single_H&amp;S'!B:B,'Spec_Single_H&amp;S'!E:E),
IFERROR(XLOOKUP(D930,#REF!,#REF!),""))</f>
        <v/>
      </c>
      <c r="K930" s="7" t="str">
        <f ca="1">IFERROR(XLOOKUP(D930,'Spec_Single_H&amp;S'!B:B,'Spec_Single_H&amp;S'!F:F),
IFERROR(XLOOKUP(D930,#REF!,#REF!),""))</f>
        <v/>
      </c>
      <c r="L930" s="7" t="str">
        <f t="shared" ca="1" si="35"/>
        <v/>
      </c>
    </row>
    <row r="931" spans="8:12" x14ac:dyDescent="0.3">
      <c r="H931" s="7" t="str">
        <f>IF(B931&lt;&gt;"Silicone","",IFERROR(XLOOKUP(D931,#REF!,#REF!),""))</f>
        <v/>
      </c>
      <c r="J931" s="7" t="str">
        <f ca="1">IFERROR(XLOOKUP(D931,'Spec_Single_H&amp;S'!B:B,'Spec_Single_H&amp;S'!E:E),
IFERROR(XLOOKUP(D931,#REF!,#REF!),""))</f>
        <v/>
      </c>
      <c r="K931" s="7" t="str">
        <f ca="1">IFERROR(XLOOKUP(D931,'Spec_Single_H&amp;S'!B:B,'Spec_Single_H&amp;S'!F:F),
IFERROR(XLOOKUP(D931,#REF!,#REF!),""))</f>
        <v/>
      </c>
      <c r="L931" s="7" t="str">
        <f t="shared" ca="1" si="35"/>
        <v/>
      </c>
    </row>
    <row r="932" spans="8:12" x14ac:dyDescent="0.3">
      <c r="H932" s="7" t="str">
        <f>IF(B932&lt;&gt;"Silicone","",IFERROR(XLOOKUP(D932,#REF!,#REF!),""))</f>
        <v/>
      </c>
      <c r="J932" s="7" t="str">
        <f ca="1">IFERROR(XLOOKUP(D932,'Spec_Single_H&amp;S'!B:B,'Spec_Single_H&amp;S'!E:E),
IFERROR(XLOOKUP(D932,#REF!,#REF!),""))</f>
        <v/>
      </c>
      <c r="K932" s="7" t="str">
        <f ca="1">IFERROR(XLOOKUP(D932,'Spec_Single_H&amp;S'!B:B,'Spec_Single_H&amp;S'!F:F),
IFERROR(XLOOKUP(D932,#REF!,#REF!),""))</f>
        <v/>
      </c>
      <c r="L932" s="7" t="str">
        <f t="shared" ca="1" si="35"/>
        <v/>
      </c>
    </row>
    <row r="933" spans="8:12" x14ac:dyDescent="0.3">
      <c r="H933" s="7" t="str">
        <f>IF(B933&lt;&gt;"Silicone","",IFERROR(XLOOKUP(D933,#REF!,#REF!),""))</f>
        <v/>
      </c>
      <c r="J933" s="7" t="str">
        <f ca="1">IFERROR(XLOOKUP(D933,'Spec_Single_H&amp;S'!B:B,'Spec_Single_H&amp;S'!E:E),
IFERROR(XLOOKUP(D933,#REF!,#REF!),""))</f>
        <v/>
      </c>
      <c r="K933" s="7" t="str">
        <f ca="1">IFERROR(XLOOKUP(D933,'Spec_Single_H&amp;S'!B:B,'Spec_Single_H&amp;S'!F:F),
IFERROR(XLOOKUP(D933,#REF!,#REF!),""))</f>
        <v/>
      </c>
      <c r="L933" s="7" t="str">
        <f t="shared" ca="1" si="35"/>
        <v/>
      </c>
    </row>
    <row r="934" spans="8:12" x14ac:dyDescent="0.3">
      <c r="H934" s="7" t="str">
        <f>IF(B934&lt;&gt;"Silicone","",IFERROR(XLOOKUP(D934,#REF!,#REF!),""))</f>
        <v/>
      </c>
      <c r="J934" s="7" t="str">
        <f ca="1">IFERROR(XLOOKUP(D934,'Spec_Single_H&amp;S'!B:B,'Spec_Single_H&amp;S'!E:E),
IFERROR(XLOOKUP(D934,#REF!,#REF!),""))</f>
        <v/>
      </c>
      <c r="K934" s="7" t="str">
        <f ca="1">IFERROR(XLOOKUP(D934,'Spec_Single_H&amp;S'!B:B,'Spec_Single_H&amp;S'!F:F),
IFERROR(XLOOKUP(D934,#REF!,#REF!),""))</f>
        <v/>
      </c>
      <c r="L934" s="7" t="str">
        <f t="shared" ca="1" si="35"/>
        <v/>
      </c>
    </row>
    <row r="935" spans="8:12" x14ac:dyDescent="0.3">
      <c r="H935" s="7" t="str">
        <f>IF(B935&lt;&gt;"Silicone","",IFERROR(XLOOKUP(D935,#REF!,#REF!),""))</f>
        <v/>
      </c>
      <c r="J935" s="7" t="str">
        <f ca="1">IFERROR(XLOOKUP(D935,'Spec_Single_H&amp;S'!B:B,'Spec_Single_H&amp;S'!E:E),
IFERROR(XLOOKUP(D935,#REF!,#REF!),""))</f>
        <v/>
      </c>
      <c r="K935" s="7" t="str">
        <f ca="1">IFERROR(XLOOKUP(D935,'Spec_Single_H&amp;S'!B:B,'Spec_Single_H&amp;S'!F:F),
IFERROR(XLOOKUP(D935,#REF!,#REF!),""))</f>
        <v/>
      </c>
      <c r="L935" s="7" t="str">
        <f t="shared" ca="1" si="35"/>
        <v/>
      </c>
    </row>
    <row r="936" spans="8:12" x14ac:dyDescent="0.3">
      <c r="H936" s="7" t="str">
        <f>IF(B936&lt;&gt;"Silicone","",IFERROR(XLOOKUP(D936,#REF!,#REF!),""))</f>
        <v/>
      </c>
      <c r="J936" s="7" t="str">
        <f ca="1">IFERROR(XLOOKUP(D936,'Spec_Single_H&amp;S'!B:B,'Spec_Single_H&amp;S'!E:E),
IFERROR(XLOOKUP(D936,#REF!,#REF!),""))</f>
        <v/>
      </c>
      <c r="K936" s="7" t="str">
        <f ca="1">IFERROR(XLOOKUP(D936,'Spec_Single_H&amp;S'!B:B,'Spec_Single_H&amp;S'!F:F),
IFERROR(XLOOKUP(D936,#REF!,#REF!),""))</f>
        <v/>
      </c>
      <c r="L936" s="7" t="str">
        <f t="shared" ca="1" si="35"/>
        <v/>
      </c>
    </row>
    <row r="937" spans="8:12" x14ac:dyDescent="0.3">
      <c r="H937" s="7" t="str">
        <f>IF(B937&lt;&gt;"Silicone","",IFERROR(XLOOKUP(D937,#REF!,#REF!),""))</f>
        <v/>
      </c>
      <c r="J937" s="7" t="str">
        <f ca="1">IFERROR(XLOOKUP(D937,'Spec_Single_H&amp;S'!B:B,'Spec_Single_H&amp;S'!E:E),
IFERROR(XLOOKUP(D937,#REF!,#REF!),""))</f>
        <v/>
      </c>
      <c r="K937" s="7" t="str">
        <f ca="1">IFERROR(XLOOKUP(D937,'Spec_Single_H&amp;S'!B:B,'Spec_Single_H&amp;S'!F:F),
IFERROR(XLOOKUP(D937,#REF!,#REF!),""))</f>
        <v/>
      </c>
      <c r="L937" s="7" t="str">
        <f t="shared" ca="1" si="35"/>
        <v/>
      </c>
    </row>
    <row r="938" spans="8:12" x14ac:dyDescent="0.3">
      <c r="H938" s="7" t="str">
        <f>IF(B938&lt;&gt;"Silicone","",IFERROR(XLOOKUP(D938,#REF!,#REF!),""))</f>
        <v/>
      </c>
      <c r="J938" s="7" t="str">
        <f ca="1">IFERROR(XLOOKUP(D938,'Spec_Single_H&amp;S'!B:B,'Spec_Single_H&amp;S'!E:E),
IFERROR(XLOOKUP(D938,#REF!,#REF!),""))</f>
        <v/>
      </c>
      <c r="K938" s="7" t="str">
        <f ca="1">IFERROR(XLOOKUP(D938,'Spec_Single_H&amp;S'!B:B,'Spec_Single_H&amp;S'!F:F),
IFERROR(XLOOKUP(D938,#REF!,#REF!),""))</f>
        <v/>
      </c>
      <c r="L938" s="7" t="str">
        <f t="shared" ca="1" si="35"/>
        <v/>
      </c>
    </row>
    <row r="939" spans="8:12" x14ac:dyDescent="0.3">
      <c r="H939" s="7" t="str">
        <f>IF(B939&lt;&gt;"Silicone","",IFERROR(XLOOKUP(D939,#REF!,#REF!),""))</f>
        <v/>
      </c>
      <c r="J939" s="7" t="str">
        <f ca="1">IFERROR(XLOOKUP(D939,'Spec_Single_H&amp;S'!B:B,'Spec_Single_H&amp;S'!E:E),
IFERROR(XLOOKUP(D939,#REF!,#REF!),""))</f>
        <v/>
      </c>
      <c r="K939" s="7" t="str">
        <f ca="1">IFERROR(XLOOKUP(D939,'Spec_Single_H&amp;S'!B:B,'Spec_Single_H&amp;S'!F:F),
IFERROR(XLOOKUP(D939,#REF!,#REF!),""))</f>
        <v/>
      </c>
      <c r="L939" s="7" t="str">
        <f t="shared" ca="1" si="35"/>
        <v/>
      </c>
    </row>
    <row r="940" spans="8:12" x14ac:dyDescent="0.3">
      <c r="H940" s="7" t="str">
        <f>IF(B940&lt;&gt;"Silicone","",IFERROR(XLOOKUP(D940,#REF!,#REF!),""))</f>
        <v/>
      </c>
      <c r="J940" s="7" t="str">
        <f ca="1">IFERROR(XLOOKUP(D940,'Spec_Single_H&amp;S'!B:B,'Spec_Single_H&amp;S'!E:E),
IFERROR(XLOOKUP(D940,#REF!,#REF!),""))</f>
        <v/>
      </c>
      <c r="K940" s="7" t="str">
        <f ca="1">IFERROR(XLOOKUP(D940,'Spec_Single_H&amp;S'!B:B,'Spec_Single_H&amp;S'!F:F),
IFERROR(XLOOKUP(D940,#REF!,#REF!),""))</f>
        <v/>
      </c>
      <c r="L940" s="7" t="str">
        <f t="shared" ca="1" si="35"/>
        <v/>
      </c>
    </row>
    <row r="941" spans="8:12" x14ac:dyDescent="0.3">
      <c r="H941" s="7" t="str">
        <f>IF(B941&lt;&gt;"Silicone","",IFERROR(XLOOKUP(D941,#REF!,#REF!),""))</f>
        <v/>
      </c>
      <c r="J941" s="7" t="str">
        <f ca="1">IFERROR(XLOOKUP(D941,'Spec_Single_H&amp;S'!B:B,'Spec_Single_H&amp;S'!E:E),
IFERROR(XLOOKUP(D941,#REF!,#REF!),""))</f>
        <v/>
      </c>
      <c r="K941" s="7" t="str">
        <f ca="1">IFERROR(XLOOKUP(D941,'Spec_Single_H&amp;S'!B:B,'Spec_Single_H&amp;S'!F:F),
IFERROR(XLOOKUP(D941,#REF!,#REF!),""))</f>
        <v/>
      </c>
      <c r="L941" s="7" t="str">
        <f t="shared" ca="1" si="35"/>
        <v/>
      </c>
    </row>
    <row r="942" spans="8:12" x14ac:dyDescent="0.3">
      <c r="H942" s="7" t="str">
        <f>IF(B942&lt;&gt;"Silicone","",IFERROR(XLOOKUP(D942,#REF!,#REF!),""))</f>
        <v/>
      </c>
      <c r="J942" s="7" t="str">
        <f ca="1">IFERROR(XLOOKUP(D942,'Spec_Single_H&amp;S'!B:B,'Spec_Single_H&amp;S'!E:E),
IFERROR(XLOOKUP(D942,#REF!,#REF!),""))</f>
        <v/>
      </c>
      <c r="K942" s="7" t="str">
        <f ca="1">IFERROR(XLOOKUP(D942,'Spec_Single_H&amp;S'!B:B,'Spec_Single_H&amp;S'!F:F),
IFERROR(XLOOKUP(D942,#REF!,#REF!),""))</f>
        <v/>
      </c>
      <c r="L942" s="7" t="str">
        <f t="shared" ca="1" si="35"/>
        <v/>
      </c>
    </row>
    <row r="943" spans="8:12" x14ac:dyDescent="0.3">
      <c r="H943" s="7" t="str">
        <f>IF(B943&lt;&gt;"Silicone","",IFERROR(XLOOKUP(D943,#REF!,#REF!),""))</f>
        <v/>
      </c>
      <c r="J943" s="7" t="str">
        <f ca="1">IFERROR(XLOOKUP(D943,'Spec_Single_H&amp;S'!B:B,'Spec_Single_H&amp;S'!E:E),
IFERROR(XLOOKUP(D943,#REF!,#REF!),""))</f>
        <v/>
      </c>
      <c r="K943" s="7" t="str">
        <f ca="1">IFERROR(XLOOKUP(D943,'Spec_Single_H&amp;S'!B:B,'Spec_Single_H&amp;S'!F:F),
IFERROR(XLOOKUP(D943,#REF!,#REF!),""))</f>
        <v/>
      </c>
      <c r="L943" s="7" t="str">
        <f t="shared" ca="1" si="35"/>
        <v/>
      </c>
    </row>
    <row r="944" spans="8:12" x14ac:dyDescent="0.3">
      <c r="H944" s="7" t="str">
        <f>IF(B944&lt;&gt;"Silicone","",IFERROR(XLOOKUP(D944,#REF!,#REF!),""))</f>
        <v/>
      </c>
      <c r="J944" s="7" t="str">
        <f ca="1">IFERROR(XLOOKUP(D944,'Spec_Single_H&amp;S'!B:B,'Spec_Single_H&amp;S'!E:E),
IFERROR(XLOOKUP(D944,#REF!,#REF!),""))</f>
        <v/>
      </c>
      <c r="K944" s="7" t="str">
        <f ca="1">IFERROR(XLOOKUP(D944,'Spec_Single_H&amp;S'!B:B,'Spec_Single_H&amp;S'!F:F),
IFERROR(XLOOKUP(D944,#REF!,#REF!),""))</f>
        <v/>
      </c>
      <c r="L944" s="7" t="str">
        <f t="shared" ca="1" si="35"/>
        <v/>
      </c>
    </row>
    <row r="945" spans="8:12" x14ac:dyDescent="0.3">
      <c r="H945" s="7" t="str">
        <f>IF(B945&lt;&gt;"Silicone","",IFERROR(XLOOKUP(D945,#REF!,#REF!),""))</f>
        <v/>
      </c>
      <c r="J945" s="7" t="str">
        <f ca="1">IFERROR(XLOOKUP(D945,'Spec_Single_H&amp;S'!B:B,'Spec_Single_H&amp;S'!E:E),
IFERROR(XLOOKUP(D945,#REF!,#REF!),""))</f>
        <v/>
      </c>
      <c r="K945" s="7" t="str">
        <f ca="1">IFERROR(XLOOKUP(D945,'Spec_Single_H&amp;S'!B:B,'Spec_Single_H&amp;S'!F:F),
IFERROR(XLOOKUP(D945,#REF!,#REF!),""))</f>
        <v/>
      </c>
      <c r="L945" s="7" t="str">
        <f t="shared" ca="1" si="35"/>
        <v/>
      </c>
    </row>
    <row r="946" spans="8:12" x14ac:dyDescent="0.3">
      <c r="H946" s="7" t="str">
        <f>IF(B946&lt;&gt;"Silicone","",IFERROR(XLOOKUP(D946,#REF!,#REF!),""))</f>
        <v/>
      </c>
      <c r="J946" s="7" t="str">
        <f ca="1">IFERROR(XLOOKUP(D946,'Spec_Single_H&amp;S'!B:B,'Spec_Single_H&amp;S'!E:E),
IFERROR(XLOOKUP(D946,#REF!,#REF!),""))</f>
        <v/>
      </c>
      <c r="K946" s="7" t="str">
        <f ca="1">IFERROR(XLOOKUP(D946,'Spec_Single_H&amp;S'!B:B,'Spec_Single_H&amp;S'!F:F),
IFERROR(XLOOKUP(D946,#REF!,#REF!),""))</f>
        <v/>
      </c>
      <c r="L946" s="7" t="str">
        <f t="shared" ca="1" si="35"/>
        <v/>
      </c>
    </row>
    <row r="947" spans="8:12" x14ac:dyDescent="0.3">
      <c r="H947" s="7" t="str">
        <f>IF(B947&lt;&gt;"Silicone","",IFERROR(XLOOKUP(D947,#REF!,#REF!),""))</f>
        <v/>
      </c>
      <c r="J947" s="7" t="str">
        <f ca="1">IFERROR(XLOOKUP(D947,'Spec_Single_H&amp;S'!B:B,'Spec_Single_H&amp;S'!E:E),
IFERROR(XLOOKUP(D947,#REF!,#REF!),""))</f>
        <v/>
      </c>
      <c r="K947" s="7" t="str">
        <f ca="1">IFERROR(XLOOKUP(D947,'Spec_Single_H&amp;S'!B:B,'Spec_Single_H&amp;S'!F:F),
IFERROR(XLOOKUP(D947,#REF!,#REF!),""))</f>
        <v/>
      </c>
      <c r="L947" s="7" t="str">
        <f t="shared" ca="1" si="35"/>
        <v/>
      </c>
    </row>
    <row r="948" spans="8:12" x14ac:dyDescent="0.3">
      <c r="H948" s="7" t="str">
        <f>IF(B948&lt;&gt;"Silicone","",IFERROR(XLOOKUP(D948,#REF!,#REF!),""))</f>
        <v/>
      </c>
      <c r="J948" s="7" t="str">
        <f ca="1">IFERROR(XLOOKUP(D948,'Spec_Single_H&amp;S'!B:B,'Spec_Single_H&amp;S'!E:E),
IFERROR(XLOOKUP(D948,#REF!,#REF!),""))</f>
        <v/>
      </c>
      <c r="K948" s="7" t="str">
        <f ca="1">IFERROR(XLOOKUP(D948,'Spec_Single_H&amp;S'!B:B,'Spec_Single_H&amp;S'!F:F),
IFERROR(XLOOKUP(D948,#REF!,#REF!),""))</f>
        <v/>
      </c>
      <c r="L948" s="7" t="str">
        <f t="shared" ca="1" si="35"/>
        <v/>
      </c>
    </row>
    <row r="949" spans="8:12" x14ac:dyDescent="0.3">
      <c r="H949" s="7" t="str">
        <f>IF(B949&lt;&gt;"Silicone","",IFERROR(XLOOKUP(D949,#REF!,#REF!),""))</f>
        <v/>
      </c>
      <c r="J949" s="7" t="str">
        <f ca="1">IFERROR(XLOOKUP(D949,'Spec_Single_H&amp;S'!B:B,'Spec_Single_H&amp;S'!E:E),
IFERROR(XLOOKUP(D949,#REF!,#REF!),""))</f>
        <v/>
      </c>
      <c r="K949" s="7" t="str">
        <f ca="1">IFERROR(XLOOKUP(D949,'Spec_Single_H&amp;S'!B:B,'Spec_Single_H&amp;S'!F:F),
IFERROR(XLOOKUP(D949,#REF!,#REF!),""))</f>
        <v/>
      </c>
      <c r="L949" s="7" t="str">
        <f t="shared" ca="1" si="35"/>
        <v/>
      </c>
    </row>
    <row r="950" spans="8:12" x14ac:dyDescent="0.3">
      <c r="H950" s="7" t="str">
        <f>IF(B950&lt;&gt;"Silicone","",IFERROR(XLOOKUP(D950,#REF!,#REF!),""))</f>
        <v/>
      </c>
      <c r="J950" s="7" t="str">
        <f ca="1">IFERROR(XLOOKUP(D950,'Spec_Single_H&amp;S'!B:B,'Spec_Single_H&amp;S'!E:E),
IFERROR(XLOOKUP(D950,#REF!,#REF!),""))</f>
        <v/>
      </c>
      <c r="K950" s="7" t="str">
        <f ca="1">IFERROR(XLOOKUP(D950,'Spec_Single_H&amp;S'!B:B,'Spec_Single_H&amp;S'!F:F),
IFERROR(XLOOKUP(D950,#REF!,#REF!),""))</f>
        <v/>
      </c>
      <c r="L950" s="7" t="str">
        <f t="shared" ca="1" si="35"/>
        <v/>
      </c>
    </row>
    <row r="951" spans="8:12" x14ac:dyDescent="0.3">
      <c r="H951" s="7" t="str">
        <f>IF(B951&lt;&gt;"Silicone","",IFERROR(XLOOKUP(D951,#REF!,#REF!),""))</f>
        <v/>
      </c>
      <c r="J951" s="7" t="str">
        <f ca="1">IFERROR(XLOOKUP(D951,'Spec_Single_H&amp;S'!B:B,'Spec_Single_H&amp;S'!E:E),
IFERROR(XLOOKUP(D951,#REF!,#REF!),""))</f>
        <v/>
      </c>
      <c r="K951" s="7" t="str">
        <f ca="1">IFERROR(XLOOKUP(D951,'Spec_Single_H&amp;S'!B:B,'Spec_Single_H&amp;S'!F:F),
IFERROR(XLOOKUP(D951,#REF!,#REF!),""))</f>
        <v/>
      </c>
      <c r="L951" s="7" t="str">
        <f t="shared" ca="1" si="35"/>
        <v/>
      </c>
    </row>
    <row r="952" spans="8:12" x14ac:dyDescent="0.3">
      <c r="H952" s="7" t="str">
        <f>IF(B952&lt;&gt;"Silicone","",IFERROR(XLOOKUP(D952,#REF!,#REF!),""))</f>
        <v/>
      </c>
      <c r="J952" s="7" t="str">
        <f ca="1">IFERROR(XLOOKUP(D952,'Spec_Single_H&amp;S'!B:B,'Spec_Single_H&amp;S'!E:E),
IFERROR(XLOOKUP(D952,#REF!,#REF!),""))</f>
        <v/>
      </c>
      <c r="K952" s="7" t="str">
        <f ca="1">IFERROR(XLOOKUP(D952,'Spec_Single_H&amp;S'!B:B,'Spec_Single_H&amp;S'!F:F),
IFERROR(XLOOKUP(D952,#REF!,#REF!),""))</f>
        <v/>
      </c>
      <c r="L952" s="7" t="str">
        <f t="shared" ca="1" si="35"/>
        <v/>
      </c>
    </row>
    <row r="953" spans="8:12" x14ac:dyDescent="0.3">
      <c r="H953" s="7" t="str">
        <f>IF(B953&lt;&gt;"Silicone","",IFERROR(XLOOKUP(D953,#REF!,#REF!),""))</f>
        <v/>
      </c>
      <c r="J953" s="7" t="str">
        <f ca="1">IFERROR(XLOOKUP(D953,'Spec_Single_H&amp;S'!B:B,'Spec_Single_H&amp;S'!E:E),
IFERROR(XLOOKUP(D953,#REF!,#REF!),""))</f>
        <v/>
      </c>
      <c r="K953" s="7" t="str">
        <f ca="1">IFERROR(XLOOKUP(D953,'Spec_Single_H&amp;S'!B:B,'Spec_Single_H&amp;S'!F:F),
IFERROR(XLOOKUP(D953,#REF!,#REF!),""))</f>
        <v/>
      </c>
      <c r="L953" s="7" t="str">
        <f t="shared" ca="1" si="35"/>
        <v/>
      </c>
    </row>
    <row r="954" spans="8:12" x14ac:dyDescent="0.3">
      <c r="H954" s="7" t="str">
        <f>IF(B954&lt;&gt;"Silicone","",IFERROR(XLOOKUP(D954,#REF!,#REF!),""))</f>
        <v/>
      </c>
      <c r="J954" s="7" t="str">
        <f ca="1">IFERROR(XLOOKUP(D954,'Spec_Single_H&amp;S'!B:B,'Spec_Single_H&amp;S'!E:E),
IFERROR(XLOOKUP(D954,#REF!,#REF!),""))</f>
        <v/>
      </c>
      <c r="K954" s="7" t="str">
        <f ca="1">IFERROR(XLOOKUP(D954,'Spec_Single_H&amp;S'!B:B,'Spec_Single_H&amp;S'!F:F),
IFERROR(XLOOKUP(D954,#REF!,#REF!),""))</f>
        <v/>
      </c>
      <c r="L954" s="7" t="str">
        <f t="shared" ca="1" si="35"/>
        <v/>
      </c>
    </row>
    <row r="955" spans="8:12" x14ac:dyDescent="0.3">
      <c r="H955" s="7" t="str">
        <f>IF(B955&lt;&gt;"Silicone","",IFERROR(XLOOKUP(D955,#REF!,#REF!),""))</f>
        <v/>
      </c>
      <c r="J955" s="7" t="str">
        <f ca="1">IFERROR(XLOOKUP(D955,'Spec_Single_H&amp;S'!B:B,'Spec_Single_H&amp;S'!E:E),
IFERROR(XLOOKUP(D955,#REF!,#REF!),""))</f>
        <v/>
      </c>
      <c r="K955" s="7" t="str">
        <f ca="1">IFERROR(XLOOKUP(D955,'Spec_Single_H&amp;S'!B:B,'Spec_Single_H&amp;S'!F:F),
IFERROR(XLOOKUP(D955,#REF!,#REF!),""))</f>
        <v/>
      </c>
      <c r="L955" s="7" t="str">
        <f t="shared" ca="1" si="35"/>
        <v/>
      </c>
    </row>
    <row r="956" spans="8:12" x14ac:dyDescent="0.3">
      <c r="H956" s="7" t="str">
        <f>IF(B956&lt;&gt;"Silicone","",IFERROR(XLOOKUP(D956,#REF!,#REF!),""))</f>
        <v/>
      </c>
      <c r="J956" s="7" t="str">
        <f ca="1">IFERROR(XLOOKUP(D956,'Spec_Single_H&amp;S'!B:B,'Spec_Single_H&amp;S'!E:E),
IFERROR(XLOOKUP(D956,#REF!,#REF!),""))</f>
        <v/>
      </c>
      <c r="K956" s="7" t="str">
        <f ca="1">IFERROR(XLOOKUP(D956,'Spec_Single_H&amp;S'!B:B,'Spec_Single_H&amp;S'!F:F),
IFERROR(XLOOKUP(D956,#REF!,#REF!),""))</f>
        <v/>
      </c>
      <c r="L956" s="7" t="str">
        <f t="shared" ca="1" si="35"/>
        <v/>
      </c>
    </row>
    <row r="957" spans="8:12" x14ac:dyDescent="0.3">
      <c r="H957" s="7" t="str">
        <f>IF(B957&lt;&gt;"Silicone","",IFERROR(XLOOKUP(D957,#REF!,#REF!),""))</f>
        <v/>
      </c>
      <c r="J957" s="7" t="str">
        <f ca="1">IFERROR(XLOOKUP(D957,'Spec_Single_H&amp;S'!B:B,'Spec_Single_H&amp;S'!E:E),
IFERROR(XLOOKUP(D957,#REF!,#REF!),""))</f>
        <v/>
      </c>
      <c r="K957" s="7" t="str">
        <f ca="1">IFERROR(XLOOKUP(D957,'Spec_Single_H&amp;S'!B:B,'Spec_Single_H&amp;S'!F:F),
IFERROR(XLOOKUP(D957,#REF!,#REF!),""))</f>
        <v/>
      </c>
      <c r="L957" s="7" t="str">
        <f t="shared" ca="1" si="35"/>
        <v/>
      </c>
    </row>
    <row r="958" spans="8:12" x14ac:dyDescent="0.3">
      <c r="H958" s="7" t="str">
        <f>IF(B958&lt;&gt;"Silicone","",IFERROR(XLOOKUP(D958,#REF!,#REF!),""))</f>
        <v/>
      </c>
      <c r="J958" s="7" t="str">
        <f ca="1">IFERROR(XLOOKUP(D958,'Spec_Single_H&amp;S'!B:B,'Spec_Single_H&amp;S'!E:E),
IFERROR(XLOOKUP(D958,#REF!,#REF!),""))</f>
        <v/>
      </c>
      <c r="K958" s="7" t="str">
        <f ca="1">IFERROR(XLOOKUP(D958,'Spec_Single_H&amp;S'!B:B,'Spec_Single_H&amp;S'!F:F),
IFERROR(XLOOKUP(D958,#REF!,#REF!),""))</f>
        <v/>
      </c>
      <c r="L958" s="7" t="str">
        <f t="shared" ca="1" si="35"/>
        <v/>
      </c>
    </row>
    <row r="959" spans="8:12" x14ac:dyDescent="0.3">
      <c r="H959" s="7" t="str">
        <f>IF(B959&lt;&gt;"Silicone","",IFERROR(XLOOKUP(D959,#REF!,#REF!),""))</f>
        <v/>
      </c>
      <c r="J959" s="7" t="str">
        <f ca="1">IFERROR(XLOOKUP(D959,'Spec_Single_H&amp;S'!B:B,'Spec_Single_H&amp;S'!E:E),
IFERROR(XLOOKUP(D959,#REF!,#REF!),""))</f>
        <v/>
      </c>
      <c r="K959" s="7" t="str">
        <f ca="1">IFERROR(XLOOKUP(D959,'Spec_Single_H&amp;S'!B:B,'Spec_Single_H&amp;S'!F:F),
IFERROR(XLOOKUP(D959,#REF!,#REF!),""))</f>
        <v/>
      </c>
      <c r="L959" s="7" t="str">
        <f t="shared" ca="1" si="35"/>
        <v/>
      </c>
    </row>
    <row r="960" spans="8:12" x14ac:dyDescent="0.3">
      <c r="H960" s="7" t="str">
        <f>IF(B960&lt;&gt;"Silicone","",IFERROR(XLOOKUP(D960,#REF!,#REF!),""))</f>
        <v/>
      </c>
      <c r="J960" s="7" t="str">
        <f ca="1">IFERROR(XLOOKUP(D960,'Spec_Single_H&amp;S'!B:B,'Spec_Single_H&amp;S'!E:E),
IFERROR(XLOOKUP(D960,#REF!,#REF!),""))</f>
        <v/>
      </c>
      <c r="K960" s="7" t="str">
        <f ca="1">IFERROR(XLOOKUP(D960,'Spec_Single_H&amp;S'!B:B,'Spec_Single_H&amp;S'!F:F),
IFERROR(XLOOKUP(D960,#REF!,#REF!),""))</f>
        <v/>
      </c>
      <c r="L960" s="7" t="str">
        <f t="shared" ca="1" si="35"/>
        <v/>
      </c>
    </row>
    <row r="961" spans="8:12" x14ac:dyDescent="0.3">
      <c r="H961" s="7" t="str">
        <f>IF(B961&lt;&gt;"Silicone","",IFERROR(XLOOKUP(D961,#REF!,#REF!),""))</f>
        <v/>
      </c>
      <c r="J961" s="7" t="str">
        <f ca="1">IFERROR(XLOOKUP(D961,'Spec_Single_H&amp;S'!B:B,'Spec_Single_H&amp;S'!E:E),
IFERROR(XLOOKUP(D961,#REF!,#REF!),""))</f>
        <v/>
      </c>
      <c r="K961" s="7" t="str">
        <f ca="1">IFERROR(XLOOKUP(D961,'Spec_Single_H&amp;S'!B:B,'Spec_Single_H&amp;S'!F:F),
IFERROR(XLOOKUP(D961,#REF!,#REF!),""))</f>
        <v/>
      </c>
      <c r="L961" s="7" t="str">
        <f t="shared" ca="1" si="35"/>
        <v/>
      </c>
    </row>
    <row r="962" spans="8:12" x14ac:dyDescent="0.3">
      <c r="H962" s="7" t="str">
        <f>IF(B962&lt;&gt;"Silicone","",IFERROR(XLOOKUP(D962,#REF!,#REF!),""))</f>
        <v/>
      </c>
      <c r="J962" s="7" t="str">
        <f ca="1">IFERROR(XLOOKUP(D962,'Spec_Single_H&amp;S'!B:B,'Spec_Single_H&amp;S'!E:E),
IFERROR(XLOOKUP(D962,#REF!,#REF!),""))</f>
        <v/>
      </c>
      <c r="K962" s="7" t="str">
        <f ca="1">IFERROR(XLOOKUP(D962,'Spec_Single_H&amp;S'!B:B,'Spec_Single_H&amp;S'!F:F),
IFERROR(XLOOKUP(D962,#REF!,#REF!),""))</f>
        <v/>
      </c>
      <c r="L962" s="7" t="str">
        <f t="shared" ca="1" si="35"/>
        <v/>
      </c>
    </row>
    <row r="963" spans="8:12" x14ac:dyDescent="0.3">
      <c r="H963" s="7" t="str">
        <f>IF(B963&lt;&gt;"Silicone","",IFERROR(XLOOKUP(D963,#REF!,#REF!),""))</f>
        <v/>
      </c>
      <c r="J963" s="7" t="str">
        <f ca="1">IFERROR(XLOOKUP(D963,'Spec_Single_H&amp;S'!B:B,'Spec_Single_H&amp;S'!E:E),
IFERROR(XLOOKUP(D963,#REF!,#REF!),""))</f>
        <v/>
      </c>
      <c r="K963" s="7" t="str">
        <f ca="1">IFERROR(XLOOKUP(D963,'Spec_Single_H&amp;S'!B:B,'Spec_Single_H&amp;S'!F:F),
IFERROR(XLOOKUP(D963,#REF!,#REF!),""))</f>
        <v/>
      </c>
      <c r="L963" s="7" t="str">
        <f t="shared" ca="1" si="35"/>
        <v/>
      </c>
    </row>
    <row r="964" spans="8:12" x14ac:dyDescent="0.3">
      <c r="H964" s="7" t="str">
        <f>IF(B964&lt;&gt;"Silicone","",IFERROR(XLOOKUP(D964,#REF!,#REF!),""))</f>
        <v/>
      </c>
      <c r="J964" s="7" t="str">
        <f ca="1">IFERROR(XLOOKUP(D964,'Spec_Single_H&amp;S'!B:B,'Spec_Single_H&amp;S'!E:E),
IFERROR(XLOOKUP(D964,#REF!,#REF!),""))</f>
        <v/>
      </c>
      <c r="K964" s="7" t="str">
        <f ca="1">IFERROR(XLOOKUP(D964,'Spec_Single_H&amp;S'!B:B,'Spec_Single_H&amp;S'!F:F),
IFERROR(XLOOKUP(D964,#REF!,#REF!),""))</f>
        <v/>
      </c>
      <c r="L964" s="7" t="str">
        <f t="shared" ca="1" si="35"/>
        <v/>
      </c>
    </row>
    <row r="965" spans="8:12" x14ac:dyDescent="0.3">
      <c r="H965" s="7" t="str">
        <f>IF(B965&lt;&gt;"Silicone","",IFERROR(XLOOKUP(D965,#REF!,#REF!),""))</f>
        <v/>
      </c>
      <c r="J965" s="7" t="str">
        <f ca="1">IFERROR(XLOOKUP(D965,'Spec_Single_H&amp;S'!B:B,'Spec_Single_H&amp;S'!E:E),
IFERROR(XLOOKUP(D965,#REF!,#REF!),""))</f>
        <v/>
      </c>
      <c r="K965" s="7" t="str">
        <f ca="1">IFERROR(XLOOKUP(D965,'Spec_Single_H&amp;S'!B:B,'Spec_Single_H&amp;S'!F:F),
IFERROR(XLOOKUP(D965,#REF!,#REF!),""))</f>
        <v/>
      </c>
      <c r="L965" s="7" t="str">
        <f t="shared" ca="1" si="35"/>
        <v/>
      </c>
    </row>
    <row r="966" spans="8:12" x14ac:dyDescent="0.3">
      <c r="H966" s="7" t="str">
        <f>IF(B966&lt;&gt;"Silicone","",IFERROR(XLOOKUP(D966,#REF!,#REF!),""))</f>
        <v/>
      </c>
      <c r="J966" s="7" t="str">
        <f ca="1">IFERROR(XLOOKUP(D966,'Spec_Single_H&amp;S'!B:B,'Spec_Single_H&amp;S'!E:E),
IFERROR(XLOOKUP(D966,#REF!,#REF!),""))</f>
        <v/>
      </c>
      <c r="K966" s="7" t="str">
        <f ca="1">IFERROR(XLOOKUP(D966,'Spec_Single_H&amp;S'!B:B,'Spec_Single_H&amp;S'!F:F),
IFERROR(XLOOKUP(D966,#REF!,#REF!),""))</f>
        <v/>
      </c>
      <c r="L966" s="7" t="str">
        <f t="shared" ca="1" si="35"/>
        <v/>
      </c>
    </row>
    <row r="967" spans="8:12" x14ac:dyDescent="0.3">
      <c r="H967" s="7" t="str">
        <f>IF(B967&lt;&gt;"Silicone","",IFERROR(XLOOKUP(D967,#REF!,#REF!),""))</f>
        <v/>
      </c>
      <c r="J967" s="7" t="str">
        <f ca="1">IFERROR(XLOOKUP(D967,'Spec_Single_H&amp;S'!B:B,'Spec_Single_H&amp;S'!E:E),
IFERROR(XLOOKUP(D967,#REF!,#REF!),""))</f>
        <v/>
      </c>
      <c r="K967" s="7" t="str">
        <f ca="1">IFERROR(XLOOKUP(D967,'Spec_Single_H&amp;S'!B:B,'Spec_Single_H&amp;S'!F:F),
IFERROR(XLOOKUP(D967,#REF!,#REF!),""))</f>
        <v/>
      </c>
      <c r="L967" s="7" t="str">
        <f t="shared" ca="1" si="35"/>
        <v/>
      </c>
    </row>
    <row r="968" spans="8:12" x14ac:dyDescent="0.3">
      <c r="H968" s="7" t="str">
        <f>IF(B968&lt;&gt;"Silicone","",IFERROR(XLOOKUP(D968,#REF!,#REF!),""))</f>
        <v/>
      </c>
      <c r="J968" s="7" t="str">
        <f ca="1">IFERROR(XLOOKUP(D968,'Spec_Single_H&amp;S'!B:B,'Spec_Single_H&amp;S'!E:E),
IFERROR(XLOOKUP(D968,#REF!,#REF!),""))</f>
        <v/>
      </c>
      <c r="K968" s="7" t="str">
        <f ca="1">IFERROR(XLOOKUP(D968,'Spec_Single_H&amp;S'!B:B,'Spec_Single_H&amp;S'!F:F),
IFERROR(XLOOKUP(D968,#REF!,#REF!),""))</f>
        <v/>
      </c>
      <c r="L968" s="7" t="str">
        <f t="shared" ref="L968:L1031" ca="1" si="37">IF(AND(NOT(ISBLANK(I968)),I968&gt;=J968,I968&lt;=K968),"적합",IF(ISBLANK(I968),"", "부적합"))</f>
        <v/>
      </c>
    </row>
    <row r="969" spans="8:12" x14ac:dyDescent="0.3">
      <c r="H969" s="7" t="str">
        <f>IF(B969&lt;&gt;"Silicone","",IFERROR(XLOOKUP(D969,#REF!,#REF!),""))</f>
        <v/>
      </c>
      <c r="J969" s="7" t="str">
        <f ca="1">IFERROR(XLOOKUP(D969,'Spec_Single_H&amp;S'!B:B,'Spec_Single_H&amp;S'!E:E),
IFERROR(XLOOKUP(D969,#REF!,#REF!),""))</f>
        <v/>
      </c>
      <c r="K969" s="7" t="str">
        <f ca="1">IFERROR(XLOOKUP(D969,'Spec_Single_H&amp;S'!B:B,'Spec_Single_H&amp;S'!F:F),
IFERROR(XLOOKUP(D969,#REF!,#REF!),""))</f>
        <v/>
      </c>
      <c r="L969" s="7" t="str">
        <f t="shared" ca="1" si="37"/>
        <v/>
      </c>
    </row>
    <row r="970" spans="8:12" x14ac:dyDescent="0.3">
      <c r="H970" s="7" t="str">
        <f>IF(B970&lt;&gt;"Silicone","",IFERROR(XLOOKUP(D970,#REF!,#REF!),""))</f>
        <v/>
      </c>
      <c r="J970" s="7" t="str">
        <f ca="1">IFERROR(XLOOKUP(D970,'Spec_Single_H&amp;S'!B:B,'Spec_Single_H&amp;S'!E:E),
IFERROR(XLOOKUP(D970,#REF!,#REF!),""))</f>
        <v/>
      </c>
      <c r="K970" s="7" t="str">
        <f ca="1">IFERROR(XLOOKUP(D970,'Spec_Single_H&amp;S'!B:B,'Spec_Single_H&amp;S'!F:F),
IFERROR(XLOOKUP(D970,#REF!,#REF!),""))</f>
        <v/>
      </c>
      <c r="L970" s="7" t="str">
        <f t="shared" ca="1" si="37"/>
        <v/>
      </c>
    </row>
    <row r="971" spans="8:12" x14ac:dyDescent="0.3">
      <c r="H971" s="7" t="str">
        <f>IF(B971&lt;&gt;"Silicone","",IFERROR(XLOOKUP(D971,#REF!,#REF!),""))</f>
        <v/>
      </c>
      <c r="J971" s="7" t="str">
        <f ca="1">IFERROR(XLOOKUP(D971,'Spec_Single_H&amp;S'!B:B,'Spec_Single_H&amp;S'!E:E),
IFERROR(XLOOKUP(D971,#REF!,#REF!),""))</f>
        <v/>
      </c>
      <c r="K971" s="7" t="str">
        <f ca="1">IFERROR(XLOOKUP(D971,'Spec_Single_H&amp;S'!B:B,'Spec_Single_H&amp;S'!F:F),
IFERROR(XLOOKUP(D971,#REF!,#REF!),""))</f>
        <v/>
      </c>
      <c r="L971" s="7" t="str">
        <f t="shared" ca="1" si="37"/>
        <v/>
      </c>
    </row>
    <row r="972" spans="8:12" x14ac:dyDescent="0.3">
      <c r="H972" s="7" t="str">
        <f>IF(B972&lt;&gt;"Silicone","",IFERROR(XLOOKUP(D972,#REF!,#REF!),""))</f>
        <v/>
      </c>
      <c r="J972" s="7" t="str">
        <f ca="1">IFERROR(XLOOKUP(D972,'Spec_Single_H&amp;S'!B:B,'Spec_Single_H&amp;S'!E:E),
IFERROR(XLOOKUP(D972,#REF!,#REF!),""))</f>
        <v/>
      </c>
      <c r="K972" s="7" t="str">
        <f ca="1">IFERROR(XLOOKUP(D972,'Spec_Single_H&amp;S'!B:B,'Spec_Single_H&amp;S'!F:F),
IFERROR(XLOOKUP(D972,#REF!,#REF!),""))</f>
        <v/>
      </c>
      <c r="L972" s="7" t="str">
        <f t="shared" ca="1" si="37"/>
        <v/>
      </c>
    </row>
    <row r="973" spans="8:12" x14ac:dyDescent="0.3">
      <c r="H973" s="7" t="str">
        <f>IF(B973&lt;&gt;"Silicone","",IFERROR(XLOOKUP(D973,#REF!,#REF!),""))</f>
        <v/>
      </c>
      <c r="J973" s="7" t="str">
        <f ca="1">IFERROR(XLOOKUP(D973,'Spec_Single_H&amp;S'!B:B,'Spec_Single_H&amp;S'!E:E),
IFERROR(XLOOKUP(D973,#REF!,#REF!),""))</f>
        <v/>
      </c>
      <c r="K973" s="7" t="str">
        <f ca="1">IFERROR(XLOOKUP(D973,'Spec_Single_H&amp;S'!B:B,'Spec_Single_H&amp;S'!F:F),
IFERROR(XLOOKUP(D973,#REF!,#REF!),""))</f>
        <v/>
      </c>
      <c r="L973" s="7" t="str">
        <f t="shared" ca="1" si="37"/>
        <v/>
      </c>
    </row>
    <row r="974" spans="8:12" x14ac:dyDescent="0.3">
      <c r="H974" s="7" t="str">
        <f>IF(B974&lt;&gt;"Silicone","",IFERROR(XLOOKUP(D974,#REF!,#REF!),""))</f>
        <v/>
      </c>
      <c r="J974" s="7" t="str">
        <f ca="1">IFERROR(XLOOKUP(D974,'Spec_Single_H&amp;S'!B:B,'Spec_Single_H&amp;S'!E:E),
IFERROR(XLOOKUP(D974,#REF!,#REF!),""))</f>
        <v/>
      </c>
      <c r="K974" s="7" t="str">
        <f ca="1">IFERROR(XLOOKUP(D974,'Spec_Single_H&amp;S'!B:B,'Spec_Single_H&amp;S'!F:F),
IFERROR(XLOOKUP(D974,#REF!,#REF!),""))</f>
        <v/>
      </c>
      <c r="L974" s="7" t="str">
        <f t="shared" ca="1" si="37"/>
        <v/>
      </c>
    </row>
    <row r="975" spans="8:12" x14ac:dyDescent="0.3">
      <c r="H975" s="7" t="str">
        <f>IF(B975&lt;&gt;"Silicone","",IFERROR(XLOOKUP(D975,#REF!,#REF!),""))</f>
        <v/>
      </c>
      <c r="J975" s="7" t="str">
        <f ca="1">IFERROR(XLOOKUP(D975,'Spec_Single_H&amp;S'!B:B,'Spec_Single_H&amp;S'!E:E),
IFERROR(XLOOKUP(D975,#REF!,#REF!),""))</f>
        <v/>
      </c>
      <c r="K975" s="7" t="str">
        <f ca="1">IFERROR(XLOOKUP(D975,'Spec_Single_H&amp;S'!B:B,'Spec_Single_H&amp;S'!F:F),
IFERROR(XLOOKUP(D975,#REF!,#REF!),""))</f>
        <v/>
      </c>
      <c r="L975" s="7" t="str">
        <f t="shared" ca="1" si="37"/>
        <v/>
      </c>
    </row>
    <row r="976" spans="8:12" x14ac:dyDescent="0.3">
      <c r="H976" s="7" t="str">
        <f>IF(B976&lt;&gt;"Silicone","",IFERROR(XLOOKUP(D976,#REF!,#REF!),""))</f>
        <v/>
      </c>
      <c r="J976" s="7" t="str">
        <f ca="1">IFERROR(XLOOKUP(D976,'Spec_Single_H&amp;S'!B:B,'Spec_Single_H&amp;S'!E:E),
IFERROR(XLOOKUP(D976,#REF!,#REF!),""))</f>
        <v/>
      </c>
      <c r="K976" s="7" t="str">
        <f ca="1">IFERROR(XLOOKUP(D976,'Spec_Single_H&amp;S'!B:B,'Spec_Single_H&amp;S'!F:F),
IFERROR(XLOOKUP(D976,#REF!,#REF!),""))</f>
        <v/>
      </c>
      <c r="L976" s="7" t="str">
        <f t="shared" ca="1" si="37"/>
        <v/>
      </c>
    </row>
    <row r="977" spans="8:12" x14ac:dyDescent="0.3">
      <c r="H977" s="7" t="str">
        <f>IF(B977&lt;&gt;"Silicone","",IFERROR(XLOOKUP(D977,#REF!,#REF!),""))</f>
        <v/>
      </c>
      <c r="J977" s="7" t="str">
        <f ca="1">IFERROR(XLOOKUP(D977,'Spec_Single_H&amp;S'!B:B,'Spec_Single_H&amp;S'!E:E),
IFERROR(XLOOKUP(D977,#REF!,#REF!),""))</f>
        <v/>
      </c>
      <c r="K977" s="7" t="str">
        <f ca="1">IFERROR(XLOOKUP(D977,'Spec_Single_H&amp;S'!B:B,'Spec_Single_H&amp;S'!F:F),
IFERROR(XLOOKUP(D977,#REF!,#REF!),""))</f>
        <v/>
      </c>
      <c r="L977" s="7" t="str">
        <f t="shared" ca="1" si="37"/>
        <v/>
      </c>
    </row>
    <row r="978" spans="8:12" x14ac:dyDescent="0.3">
      <c r="H978" s="7" t="str">
        <f>IF(B978&lt;&gt;"Silicone","",IFERROR(XLOOKUP(D978,#REF!,#REF!),""))</f>
        <v/>
      </c>
      <c r="J978" s="7" t="str">
        <f ca="1">IFERROR(XLOOKUP(D978,'Spec_Single_H&amp;S'!B:B,'Spec_Single_H&amp;S'!E:E),
IFERROR(XLOOKUP(D978,#REF!,#REF!),""))</f>
        <v/>
      </c>
      <c r="K978" s="7" t="str">
        <f ca="1">IFERROR(XLOOKUP(D978,'Spec_Single_H&amp;S'!B:B,'Spec_Single_H&amp;S'!F:F),
IFERROR(XLOOKUP(D978,#REF!,#REF!),""))</f>
        <v/>
      </c>
      <c r="L978" s="7" t="str">
        <f t="shared" ca="1" si="37"/>
        <v/>
      </c>
    </row>
    <row r="979" spans="8:12" x14ac:dyDescent="0.3">
      <c r="H979" s="7" t="str">
        <f>IF(B979&lt;&gt;"Silicone","",IFERROR(XLOOKUP(D979,#REF!,#REF!),""))</f>
        <v/>
      </c>
      <c r="J979" s="7" t="str">
        <f ca="1">IFERROR(XLOOKUP(D979,'Spec_Single_H&amp;S'!B:B,'Spec_Single_H&amp;S'!E:E),
IFERROR(XLOOKUP(D979,#REF!,#REF!),""))</f>
        <v/>
      </c>
      <c r="K979" s="7" t="str">
        <f ca="1">IFERROR(XLOOKUP(D979,'Spec_Single_H&amp;S'!B:B,'Spec_Single_H&amp;S'!F:F),
IFERROR(XLOOKUP(D979,#REF!,#REF!),""))</f>
        <v/>
      </c>
      <c r="L979" s="7" t="str">
        <f t="shared" ca="1" si="37"/>
        <v/>
      </c>
    </row>
    <row r="980" spans="8:12" x14ac:dyDescent="0.3">
      <c r="H980" s="7" t="str">
        <f>IF(B980&lt;&gt;"Silicone","",IFERROR(XLOOKUP(D980,#REF!,#REF!),""))</f>
        <v/>
      </c>
      <c r="J980" s="7" t="str">
        <f ca="1">IFERROR(XLOOKUP(D980,'Spec_Single_H&amp;S'!B:B,'Spec_Single_H&amp;S'!E:E),
IFERROR(XLOOKUP(D980,#REF!,#REF!),""))</f>
        <v/>
      </c>
      <c r="K980" s="7" t="str">
        <f ca="1">IFERROR(XLOOKUP(D980,'Spec_Single_H&amp;S'!B:B,'Spec_Single_H&amp;S'!F:F),
IFERROR(XLOOKUP(D980,#REF!,#REF!),""))</f>
        <v/>
      </c>
      <c r="L980" s="7" t="str">
        <f t="shared" ca="1" si="37"/>
        <v/>
      </c>
    </row>
    <row r="981" spans="8:12" x14ac:dyDescent="0.3">
      <c r="H981" s="7" t="str">
        <f>IF(B981&lt;&gt;"Silicone","",IFERROR(XLOOKUP(D981,#REF!,#REF!),""))</f>
        <v/>
      </c>
      <c r="J981" s="7" t="str">
        <f ca="1">IFERROR(XLOOKUP(D981,'Spec_Single_H&amp;S'!B:B,'Spec_Single_H&amp;S'!E:E),
IFERROR(XLOOKUP(D981,#REF!,#REF!),""))</f>
        <v/>
      </c>
      <c r="K981" s="7" t="str">
        <f ca="1">IFERROR(XLOOKUP(D981,'Spec_Single_H&amp;S'!B:B,'Spec_Single_H&amp;S'!F:F),
IFERROR(XLOOKUP(D981,#REF!,#REF!),""))</f>
        <v/>
      </c>
      <c r="L981" s="7" t="str">
        <f t="shared" ca="1" si="37"/>
        <v/>
      </c>
    </row>
    <row r="982" spans="8:12" x14ac:dyDescent="0.3">
      <c r="H982" s="7" t="str">
        <f>IF(B982&lt;&gt;"Silicone","",IFERROR(XLOOKUP(D982,#REF!,#REF!),""))</f>
        <v/>
      </c>
      <c r="J982" s="7" t="str">
        <f ca="1">IFERROR(XLOOKUP(D982,'Spec_Single_H&amp;S'!B:B,'Spec_Single_H&amp;S'!E:E),
IFERROR(XLOOKUP(D982,#REF!,#REF!),""))</f>
        <v/>
      </c>
      <c r="K982" s="7" t="str">
        <f ca="1">IFERROR(XLOOKUP(D982,'Spec_Single_H&amp;S'!B:B,'Spec_Single_H&amp;S'!F:F),
IFERROR(XLOOKUP(D982,#REF!,#REF!),""))</f>
        <v/>
      </c>
      <c r="L982" s="7" t="str">
        <f t="shared" ca="1" si="37"/>
        <v/>
      </c>
    </row>
    <row r="983" spans="8:12" x14ac:dyDescent="0.3">
      <c r="H983" s="7" t="str">
        <f>IF(B983&lt;&gt;"Silicone","",IFERROR(XLOOKUP(D983,#REF!,#REF!),""))</f>
        <v/>
      </c>
      <c r="J983" s="7" t="str">
        <f ca="1">IFERROR(XLOOKUP(D983,'Spec_Single_H&amp;S'!B:B,'Spec_Single_H&amp;S'!E:E),
IFERROR(XLOOKUP(D983,#REF!,#REF!),""))</f>
        <v/>
      </c>
      <c r="K983" s="7" t="str">
        <f ca="1">IFERROR(XLOOKUP(D983,'Spec_Single_H&amp;S'!B:B,'Spec_Single_H&amp;S'!F:F),
IFERROR(XLOOKUP(D983,#REF!,#REF!),""))</f>
        <v/>
      </c>
      <c r="L983" s="7" t="str">
        <f t="shared" ca="1" si="37"/>
        <v/>
      </c>
    </row>
    <row r="984" spans="8:12" x14ac:dyDescent="0.3">
      <c r="H984" s="7" t="str">
        <f>IF(B984&lt;&gt;"Silicone","",IFERROR(XLOOKUP(D984,#REF!,#REF!),""))</f>
        <v/>
      </c>
      <c r="J984" s="7" t="str">
        <f ca="1">IFERROR(XLOOKUP(D984,'Spec_Single_H&amp;S'!B:B,'Spec_Single_H&amp;S'!E:E),
IFERROR(XLOOKUP(D984,#REF!,#REF!),""))</f>
        <v/>
      </c>
      <c r="K984" s="7" t="str">
        <f ca="1">IFERROR(XLOOKUP(D984,'Spec_Single_H&amp;S'!B:B,'Spec_Single_H&amp;S'!F:F),
IFERROR(XLOOKUP(D984,#REF!,#REF!),""))</f>
        <v/>
      </c>
      <c r="L984" s="7" t="str">
        <f t="shared" ca="1" si="37"/>
        <v/>
      </c>
    </row>
    <row r="985" spans="8:12" x14ac:dyDescent="0.3">
      <c r="H985" s="7" t="str">
        <f>IF(B985&lt;&gt;"Silicone","",IFERROR(XLOOKUP(D985,#REF!,#REF!),""))</f>
        <v/>
      </c>
      <c r="J985" s="7" t="str">
        <f ca="1">IFERROR(XLOOKUP(D985,'Spec_Single_H&amp;S'!B:B,'Spec_Single_H&amp;S'!E:E),
IFERROR(XLOOKUP(D985,#REF!,#REF!),""))</f>
        <v/>
      </c>
      <c r="K985" s="7" t="str">
        <f ca="1">IFERROR(XLOOKUP(D985,'Spec_Single_H&amp;S'!B:B,'Spec_Single_H&amp;S'!F:F),
IFERROR(XLOOKUP(D985,#REF!,#REF!),""))</f>
        <v/>
      </c>
      <c r="L985" s="7" t="str">
        <f t="shared" ca="1" si="37"/>
        <v/>
      </c>
    </row>
    <row r="986" spans="8:12" x14ac:dyDescent="0.3">
      <c r="H986" s="7" t="str">
        <f>IF(B986&lt;&gt;"Silicone","",IFERROR(XLOOKUP(D986,#REF!,#REF!),""))</f>
        <v/>
      </c>
      <c r="J986" s="7" t="str">
        <f ca="1">IFERROR(XLOOKUP(D986,'Spec_Single_H&amp;S'!B:B,'Spec_Single_H&amp;S'!E:E),
IFERROR(XLOOKUP(D986,#REF!,#REF!),""))</f>
        <v/>
      </c>
      <c r="K986" s="7" t="str">
        <f ca="1">IFERROR(XLOOKUP(D986,'Spec_Single_H&amp;S'!B:B,'Spec_Single_H&amp;S'!F:F),
IFERROR(XLOOKUP(D986,#REF!,#REF!),""))</f>
        <v/>
      </c>
      <c r="L986" s="7" t="str">
        <f t="shared" ca="1" si="37"/>
        <v/>
      </c>
    </row>
    <row r="987" spans="8:12" x14ac:dyDescent="0.3">
      <c r="H987" s="7" t="str">
        <f>IF(B987&lt;&gt;"Silicone","",IFERROR(XLOOKUP(D987,#REF!,#REF!),""))</f>
        <v/>
      </c>
      <c r="J987" s="7" t="str">
        <f ca="1">IFERROR(XLOOKUP(D987,'Spec_Single_H&amp;S'!B:B,'Spec_Single_H&amp;S'!E:E),
IFERROR(XLOOKUP(D987,#REF!,#REF!),""))</f>
        <v/>
      </c>
      <c r="K987" s="7" t="str">
        <f ca="1">IFERROR(XLOOKUP(D987,'Spec_Single_H&amp;S'!B:B,'Spec_Single_H&amp;S'!F:F),
IFERROR(XLOOKUP(D987,#REF!,#REF!),""))</f>
        <v/>
      </c>
      <c r="L987" s="7" t="str">
        <f t="shared" ca="1" si="37"/>
        <v/>
      </c>
    </row>
    <row r="988" spans="8:12" x14ac:dyDescent="0.3">
      <c r="H988" s="7" t="str">
        <f>IF(B988&lt;&gt;"Silicone","",IFERROR(XLOOKUP(D988,#REF!,#REF!),""))</f>
        <v/>
      </c>
      <c r="J988" s="7" t="str">
        <f ca="1">IFERROR(XLOOKUP(D988,'Spec_Single_H&amp;S'!B:B,'Spec_Single_H&amp;S'!E:E),
IFERROR(XLOOKUP(D988,#REF!,#REF!),""))</f>
        <v/>
      </c>
      <c r="K988" s="7" t="str">
        <f ca="1">IFERROR(XLOOKUP(D988,'Spec_Single_H&amp;S'!B:B,'Spec_Single_H&amp;S'!F:F),
IFERROR(XLOOKUP(D988,#REF!,#REF!),""))</f>
        <v/>
      </c>
      <c r="L988" s="7" t="str">
        <f t="shared" ca="1" si="37"/>
        <v/>
      </c>
    </row>
    <row r="989" spans="8:12" x14ac:dyDescent="0.3">
      <c r="H989" s="7" t="str">
        <f>IF(B989&lt;&gt;"Silicone","",IFERROR(XLOOKUP(D989,#REF!,#REF!),""))</f>
        <v/>
      </c>
      <c r="J989" s="7" t="str">
        <f ca="1">IFERROR(XLOOKUP(D989,'Spec_Single_H&amp;S'!B:B,'Spec_Single_H&amp;S'!E:E),
IFERROR(XLOOKUP(D989,#REF!,#REF!),""))</f>
        <v/>
      </c>
      <c r="K989" s="7" t="str">
        <f ca="1">IFERROR(XLOOKUP(D989,'Spec_Single_H&amp;S'!B:B,'Spec_Single_H&amp;S'!F:F),
IFERROR(XLOOKUP(D989,#REF!,#REF!),""))</f>
        <v/>
      </c>
      <c r="L989" s="7" t="str">
        <f t="shared" ca="1" si="37"/>
        <v/>
      </c>
    </row>
    <row r="990" spans="8:12" x14ac:dyDescent="0.3">
      <c r="H990" s="7" t="str">
        <f>IF(B990&lt;&gt;"Silicone","",IFERROR(XLOOKUP(D990,#REF!,#REF!),""))</f>
        <v/>
      </c>
      <c r="J990" s="7" t="str">
        <f ca="1">IFERROR(XLOOKUP(D990,'Spec_Single_H&amp;S'!B:B,'Spec_Single_H&amp;S'!E:E),
IFERROR(XLOOKUP(D990,#REF!,#REF!),""))</f>
        <v/>
      </c>
      <c r="K990" s="7" t="str">
        <f ca="1">IFERROR(XLOOKUP(D990,'Spec_Single_H&amp;S'!B:B,'Spec_Single_H&amp;S'!F:F),
IFERROR(XLOOKUP(D990,#REF!,#REF!),""))</f>
        <v/>
      </c>
      <c r="L990" s="7" t="str">
        <f t="shared" ca="1" si="37"/>
        <v/>
      </c>
    </row>
    <row r="991" spans="8:12" x14ac:dyDescent="0.3">
      <c r="H991" s="7" t="str">
        <f>IF(B991&lt;&gt;"Silicone","",IFERROR(XLOOKUP(D991,#REF!,#REF!),""))</f>
        <v/>
      </c>
      <c r="J991" s="7" t="str">
        <f ca="1">IFERROR(XLOOKUP(D991,'Spec_Single_H&amp;S'!B:B,'Spec_Single_H&amp;S'!E:E),
IFERROR(XLOOKUP(D991,#REF!,#REF!),""))</f>
        <v/>
      </c>
      <c r="K991" s="7" t="str">
        <f ca="1">IFERROR(XLOOKUP(D991,'Spec_Single_H&amp;S'!B:B,'Spec_Single_H&amp;S'!F:F),
IFERROR(XLOOKUP(D991,#REF!,#REF!),""))</f>
        <v/>
      </c>
      <c r="L991" s="7" t="str">
        <f t="shared" ca="1" si="37"/>
        <v/>
      </c>
    </row>
    <row r="992" spans="8:12" x14ac:dyDescent="0.3">
      <c r="H992" s="7" t="str">
        <f>IF(B992&lt;&gt;"Silicone","",IFERROR(XLOOKUP(D992,#REF!,#REF!),""))</f>
        <v/>
      </c>
      <c r="J992" s="7" t="str">
        <f ca="1">IFERROR(XLOOKUP(D992,'Spec_Single_H&amp;S'!B:B,'Spec_Single_H&amp;S'!E:E),
IFERROR(XLOOKUP(D992,#REF!,#REF!),""))</f>
        <v/>
      </c>
      <c r="K992" s="7" t="str">
        <f ca="1">IFERROR(XLOOKUP(D992,'Spec_Single_H&amp;S'!B:B,'Spec_Single_H&amp;S'!F:F),
IFERROR(XLOOKUP(D992,#REF!,#REF!),""))</f>
        <v/>
      </c>
      <c r="L992" s="7" t="str">
        <f t="shared" ca="1" si="37"/>
        <v/>
      </c>
    </row>
    <row r="993" spans="8:12" x14ac:dyDescent="0.3">
      <c r="H993" s="7" t="str">
        <f>IF(B993&lt;&gt;"Silicone","",IFERROR(XLOOKUP(D993,#REF!,#REF!),""))</f>
        <v/>
      </c>
      <c r="J993" s="7" t="str">
        <f ca="1">IFERROR(XLOOKUP(D993,'Spec_Single_H&amp;S'!B:B,'Spec_Single_H&amp;S'!E:E),
IFERROR(XLOOKUP(D993,#REF!,#REF!),""))</f>
        <v/>
      </c>
      <c r="K993" s="7" t="str">
        <f ca="1">IFERROR(XLOOKUP(D993,'Spec_Single_H&amp;S'!B:B,'Spec_Single_H&amp;S'!F:F),
IFERROR(XLOOKUP(D993,#REF!,#REF!),""))</f>
        <v/>
      </c>
      <c r="L993" s="7" t="str">
        <f t="shared" ca="1" si="37"/>
        <v/>
      </c>
    </row>
    <row r="994" spans="8:12" x14ac:dyDescent="0.3">
      <c r="H994" s="7" t="str">
        <f>IF(B994&lt;&gt;"Silicone","",IFERROR(XLOOKUP(D994,#REF!,#REF!),""))</f>
        <v/>
      </c>
      <c r="J994" s="7" t="str">
        <f ca="1">IFERROR(XLOOKUP(D994,'Spec_Single_H&amp;S'!B:B,'Spec_Single_H&amp;S'!E:E),
IFERROR(XLOOKUP(D994,#REF!,#REF!),""))</f>
        <v/>
      </c>
      <c r="K994" s="7" t="str">
        <f ca="1">IFERROR(XLOOKUP(D994,'Spec_Single_H&amp;S'!B:B,'Spec_Single_H&amp;S'!F:F),
IFERROR(XLOOKUP(D994,#REF!,#REF!),""))</f>
        <v/>
      </c>
      <c r="L994" s="7" t="str">
        <f t="shared" ca="1" si="37"/>
        <v/>
      </c>
    </row>
    <row r="995" spans="8:12" x14ac:dyDescent="0.3">
      <c r="H995" s="7" t="str">
        <f>IF(B995&lt;&gt;"Silicone","",IFERROR(XLOOKUP(D995,#REF!,#REF!),""))</f>
        <v/>
      </c>
      <c r="J995" s="7" t="str">
        <f ca="1">IFERROR(XLOOKUP(D995,'Spec_Single_H&amp;S'!B:B,'Spec_Single_H&amp;S'!E:E),
IFERROR(XLOOKUP(D995,#REF!,#REF!),""))</f>
        <v/>
      </c>
      <c r="K995" s="7" t="str">
        <f ca="1">IFERROR(XLOOKUP(D995,'Spec_Single_H&amp;S'!B:B,'Spec_Single_H&amp;S'!F:F),
IFERROR(XLOOKUP(D995,#REF!,#REF!),""))</f>
        <v/>
      </c>
      <c r="L995" s="7" t="str">
        <f t="shared" ca="1" si="37"/>
        <v/>
      </c>
    </row>
    <row r="996" spans="8:12" x14ac:dyDescent="0.3">
      <c r="H996" s="7" t="str">
        <f>IF(B996&lt;&gt;"Silicone","",IFERROR(XLOOKUP(D996,#REF!,#REF!),""))</f>
        <v/>
      </c>
      <c r="J996" s="7" t="str">
        <f ca="1">IFERROR(XLOOKUP(D996,'Spec_Single_H&amp;S'!B:B,'Spec_Single_H&amp;S'!E:E),
IFERROR(XLOOKUP(D996,#REF!,#REF!),""))</f>
        <v/>
      </c>
      <c r="K996" s="7" t="str">
        <f ca="1">IFERROR(XLOOKUP(D996,'Spec_Single_H&amp;S'!B:B,'Spec_Single_H&amp;S'!F:F),
IFERROR(XLOOKUP(D996,#REF!,#REF!),""))</f>
        <v/>
      </c>
      <c r="L996" s="7" t="str">
        <f t="shared" ca="1" si="37"/>
        <v/>
      </c>
    </row>
    <row r="997" spans="8:12" x14ac:dyDescent="0.3">
      <c r="H997" s="7" t="str">
        <f>IF(B997&lt;&gt;"Silicone","",IFERROR(XLOOKUP(D997,#REF!,#REF!),""))</f>
        <v/>
      </c>
      <c r="J997" s="7" t="str">
        <f ca="1">IFERROR(XLOOKUP(D997,'Spec_Single_H&amp;S'!B:B,'Spec_Single_H&amp;S'!E:E),
IFERROR(XLOOKUP(D997,#REF!,#REF!),""))</f>
        <v/>
      </c>
      <c r="K997" s="7" t="str">
        <f ca="1">IFERROR(XLOOKUP(D997,'Spec_Single_H&amp;S'!B:B,'Spec_Single_H&amp;S'!F:F),
IFERROR(XLOOKUP(D997,#REF!,#REF!),""))</f>
        <v/>
      </c>
      <c r="L997" s="7" t="str">
        <f t="shared" ca="1" si="37"/>
        <v/>
      </c>
    </row>
    <row r="998" spans="8:12" x14ac:dyDescent="0.3">
      <c r="H998" s="7" t="str">
        <f>IF(B998&lt;&gt;"Silicone","",IFERROR(XLOOKUP(D998,#REF!,#REF!),""))</f>
        <v/>
      </c>
      <c r="J998" s="7" t="str">
        <f ca="1">IFERROR(XLOOKUP(D998,'Spec_Single_H&amp;S'!B:B,'Spec_Single_H&amp;S'!E:E),
IFERROR(XLOOKUP(D998,#REF!,#REF!),""))</f>
        <v/>
      </c>
      <c r="K998" s="7" t="str">
        <f ca="1">IFERROR(XLOOKUP(D998,'Spec_Single_H&amp;S'!B:B,'Spec_Single_H&amp;S'!F:F),
IFERROR(XLOOKUP(D998,#REF!,#REF!),""))</f>
        <v/>
      </c>
      <c r="L998" s="7" t="str">
        <f t="shared" ca="1" si="37"/>
        <v/>
      </c>
    </row>
    <row r="999" spans="8:12" x14ac:dyDescent="0.3">
      <c r="H999" s="7" t="str">
        <f>IF(B999&lt;&gt;"Silicone","",IFERROR(XLOOKUP(D999,#REF!,#REF!),""))</f>
        <v/>
      </c>
      <c r="J999" s="7" t="str">
        <f ca="1">IFERROR(XLOOKUP(D999,'Spec_Single_H&amp;S'!B:B,'Spec_Single_H&amp;S'!E:E),
IFERROR(XLOOKUP(D999,#REF!,#REF!),""))</f>
        <v/>
      </c>
      <c r="K999" s="7" t="str">
        <f ca="1">IFERROR(XLOOKUP(D999,'Spec_Single_H&amp;S'!B:B,'Spec_Single_H&amp;S'!F:F),
IFERROR(XLOOKUP(D999,#REF!,#REF!),""))</f>
        <v/>
      </c>
      <c r="L999" s="7" t="str">
        <f t="shared" ca="1" si="37"/>
        <v/>
      </c>
    </row>
    <row r="1000" spans="8:12" x14ac:dyDescent="0.3">
      <c r="H1000" s="7" t="str">
        <f>IF(B1000&lt;&gt;"Silicone","",IFERROR(XLOOKUP(D1000,#REF!,#REF!),""))</f>
        <v/>
      </c>
      <c r="J1000" s="7" t="str">
        <f ca="1">IFERROR(XLOOKUP(D1000,'Spec_Single_H&amp;S'!B:B,'Spec_Single_H&amp;S'!E:E),
IFERROR(XLOOKUP(D1000,#REF!,#REF!),""))</f>
        <v/>
      </c>
      <c r="K1000" s="7" t="str">
        <f ca="1">IFERROR(XLOOKUP(D1000,'Spec_Single_H&amp;S'!B:B,'Spec_Single_H&amp;S'!F:F),
IFERROR(XLOOKUP(D1000,#REF!,#REF!),""))</f>
        <v/>
      </c>
      <c r="L1000" s="7" t="str">
        <f t="shared" ca="1" si="37"/>
        <v/>
      </c>
    </row>
    <row r="1001" spans="8:12" x14ac:dyDescent="0.3">
      <c r="H1001" s="7" t="str">
        <f>IF(B1001&lt;&gt;"Silicone","",IFERROR(XLOOKUP(D1001,#REF!,#REF!),""))</f>
        <v/>
      </c>
      <c r="J1001" s="7" t="str">
        <f ca="1">IFERROR(XLOOKUP(D1001,'Spec_Single_H&amp;S'!B:B,'Spec_Single_H&amp;S'!E:E),
IFERROR(XLOOKUP(D1001,#REF!,#REF!),""))</f>
        <v/>
      </c>
      <c r="K1001" s="7" t="str">
        <f ca="1">IFERROR(XLOOKUP(D1001,'Spec_Single_H&amp;S'!B:B,'Spec_Single_H&amp;S'!F:F),
IFERROR(XLOOKUP(D1001,#REF!,#REF!),""))</f>
        <v/>
      </c>
      <c r="L1001" s="7" t="str">
        <f t="shared" ca="1" si="37"/>
        <v/>
      </c>
    </row>
    <row r="1002" spans="8:12" x14ac:dyDescent="0.3">
      <c r="H1002" s="7" t="str">
        <f>IF(B1002&lt;&gt;"Silicone","",IFERROR(XLOOKUP(D1002,#REF!,#REF!),""))</f>
        <v/>
      </c>
      <c r="J1002" s="7" t="str">
        <f ca="1">IFERROR(XLOOKUP(D1002,'Spec_Single_H&amp;S'!B:B,'Spec_Single_H&amp;S'!E:E),
IFERROR(XLOOKUP(D1002,#REF!,#REF!),""))</f>
        <v/>
      </c>
      <c r="K1002" s="7" t="str">
        <f ca="1">IFERROR(XLOOKUP(D1002,'Spec_Single_H&amp;S'!B:B,'Spec_Single_H&amp;S'!F:F),
IFERROR(XLOOKUP(D1002,#REF!,#REF!),""))</f>
        <v/>
      </c>
      <c r="L1002" s="7" t="str">
        <f t="shared" ca="1" si="37"/>
        <v/>
      </c>
    </row>
    <row r="1003" spans="8:12" x14ac:dyDescent="0.3">
      <c r="H1003" s="7" t="str">
        <f>IF(B1003&lt;&gt;"Silicone","",IFERROR(XLOOKUP(D1003,#REF!,#REF!),""))</f>
        <v/>
      </c>
      <c r="J1003" s="7" t="str">
        <f ca="1">IFERROR(XLOOKUP(D1003,'Spec_Single_H&amp;S'!B:B,'Spec_Single_H&amp;S'!E:E),
IFERROR(XLOOKUP(D1003,#REF!,#REF!),""))</f>
        <v/>
      </c>
      <c r="K1003" s="7" t="str">
        <f ca="1">IFERROR(XLOOKUP(D1003,'Spec_Single_H&amp;S'!B:B,'Spec_Single_H&amp;S'!F:F),
IFERROR(XLOOKUP(D1003,#REF!,#REF!),""))</f>
        <v/>
      </c>
      <c r="L1003" s="7" t="str">
        <f t="shared" ca="1" si="37"/>
        <v/>
      </c>
    </row>
    <row r="1004" spans="8:12" x14ac:dyDescent="0.3">
      <c r="H1004" s="7" t="str">
        <f>IF(B1004&lt;&gt;"Silicone","",IFERROR(XLOOKUP(D1004,#REF!,#REF!),""))</f>
        <v/>
      </c>
      <c r="J1004" s="7" t="str">
        <f ca="1">IFERROR(XLOOKUP(D1004,'Spec_Single_H&amp;S'!B:B,'Spec_Single_H&amp;S'!E:E),
IFERROR(XLOOKUP(D1004,#REF!,#REF!),""))</f>
        <v/>
      </c>
      <c r="K1004" s="7" t="str">
        <f ca="1">IFERROR(XLOOKUP(D1004,'Spec_Single_H&amp;S'!B:B,'Spec_Single_H&amp;S'!F:F),
IFERROR(XLOOKUP(D1004,#REF!,#REF!),""))</f>
        <v/>
      </c>
      <c r="L1004" s="7" t="str">
        <f t="shared" ca="1" si="37"/>
        <v/>
      </c>
    </row>
    <row r="1005" spans="8:12" x14ac:dyDescent="0.3">
      <c r="H1005" s="7" t="str">
        <f>IF(B1005&lt;&gt;"Silicone","",IFERROR(XLOOKUP(D1005,#REF!,#REF!),""))</f>
        <v/>
      </c>
      <c r="J1005" s="7" t="str">
        <f ca="1">IFERROR(XLOOKUP(D1005,'Spec_Single_H&amp;S'!B:B,'Spec_Single_H&amp;S'!E:E),
IFERROR(XLOOKUP(D1005,#REF!,#REF!),""))</f>
        <v/>
      </c>
      <c r="K1005" s="7" t="str">
        <f ca="1">IFERROR(XLOOKUP(D1005,'Spec_Single_H&amp;S'!B:B,'Spec_Single_H&amp;S'!F:F),
IFERROR(XLOOKUP(D1005,#REF!,#REF!),""))</f>
        <v/>
      </c>
      <c r="L1005" s="7" t="str">
        <f t="shared" ca="1" si="37"/>
        <v/>
      </c>
    </row>
    <row r="1006" spans="8:12" x14ac:dyDescent="0.3">
      <c r="H1006" s="7" t="str">
        <f>IF(B1006&lt;&gt;"Silicone","",IFERROR(XLOOKUP(D1006,#REF!,#REF!),""))</f>
        <v/>
      </c>
      <c r="J1006" s="7" t="str">
        <f ca="1">IFERROR(XLOOKUP(D1006,'Spec_Single_H&amp;S'!B:B,'Spec_Single_H&amp;S'!E:E),
IFERROR(XLOOKUP(D1006,#REF!,#REF!),""))</f>
        <v/>
      </c>
      <c r="K1006" s="7" t="str">
        <f ca="1">IFERROR(XLOOKUP(D1006,'Spec_Single_H&amp;S'!B:B,'Spec_Single_H&amp;S'!F:F),
IFERROR(XLOOKUP(D1006,#REF!,#REF!),""))</f>
        <v/>
      </c>
      <c r="L1006" s="7" t="str">
        <f t="shared" ca="1" si="37"/>
        <v/>
      </c>
    </row>
    <row r="1007" spans="8:12" x14ac:dyDescent="0.3">
      <c r="H1007" s="7" t="str">
        <f>IF(B1007&lt;&gt;"Silicone","",IFERROR(XLOOKUP(D1007,#REF!,#REF!),""))</f>
        <v/>
      </c>
      <c r="J1007" s="7" t="str">
        <f ca="1">IFERROR(XLOOKUP(D1007,'Spec_Single_H&amp;S'!B:B,'Spec_Single_H&amp;S'!E:E),
IFERROR(XLOOKUP(D1007,#REF!,#REF!),""))</f>
        <v/>
      </c>
      <c r="K1007" s="7" t="str">
        <f ca="1">IFERROR(XLOOKUP(D1007,'Spec_Single_H&amp;S'!B:B,'Spec_Single_H&amp;S'!F:F),
IFERROR(XLOOKUP(D1007,#REF!,#REF!),""))</f>
        <v/>
      </c>
      <c r="L1007" s="7" t="str">
        <f t="shared" ca="1" si="37"/>
        <v/>
      </c>
    </row>
    <row r="1008" spans="8:12" x14ac:dyDescent="0.3">
      <c r="H1008" s="7" t="str">
        <f>IF(B1008&lt;&gt;"Silicone","",IFERROR(XLOOKUP(D1008,#REF!,#REF!),""))</f>
        <v/>
      </c>
      <c r="J1008" s="7" t="str">
        <f ca="1">IFERROR(XLOOKUP(D1008,'Spec_Single_H&amp;S'!B:B,'Spec_Single_H&amp;S'!E:E),
IFERROR(XLOOKUP(D1008,#REF!,#REF!),""))</f>
        <v/>
      </c>
      <c r="K1008" s="7" t="str">
        <f ca="1">IFERROR(XLOOKUP(D1008,'Spec_Single_H&amp;S'!B:B,'Spec_Single_H&amp;S'!F:F),
IFERROR(XLOOKUP(D1008,#REF!,#REF!),""))</f>
        <v/>
      </c>
      <c r="L1008" s="7" t="str">
        <f t="shared" ca="1" si="37"/>
        <v/>
      </c>
    </row>
    <row r="1009" spans="8:12" x14ac:dyDescent="0.3">
      <c r="H1009" s="7" t="str">
        <f>IF(B1009&lt;&gt;"Silicone","",IFERROR(XLOOKUP(D1009,#REF!,#REF!),""))</f>
        <v/>
      </c>
      <c r="J1009" s="7" t="str">
        <f ca="1">IFERROR(XLOOKUP(D1009,'Spec_Single_H&amp;S'!B:B,'Spec_Single_H&amp;S'!E:E),
IFERROR(XLOOKUP(D1009,#REF!,#REF!),""))</f>
        <v/>
      </c>
      <c r="K1009" s="7" t="str">
        <f ca="1">IFERROR(XLOOKUP(D1009,'Spec_Single_H&amp;S'!B:B,'Spec_Single_H&amp;S'!F:F),
IFERROR(XLOOKUP(D1009,#REF!,#REF!),""))</f>
        <v/>
      </c>
      <c r="L1009" s="7" t="str">
        <f t="shared" ca="1" si="37"/>
        <v/>
      </c>
    </row>
    <row r="1010" spans="8:12" x14ac:dyDescent="0.3">
      <c r="H1010" s="7" t="str">
        <f>IF(B1010&lt;&gt;"Silicone","",IFERROR(XLOOKUP(D1010,#REF!,#REF!),""))</f>
        <v/>
      </c>
      <c r="J1010" s="7" t="str">
        <f ca="1">IFERROR(XLOOKUP(D1010,'Spec_Single_H&amp;S'!B:B,'Spec_Single_H&amp;S'!E:E),
IFERROR(XLOOKUP(D1010,#REF!,#REF!),""))</f>
        <v/>
      </c>
      <c r="K1010" s="7" t="str">
        <f ca="1">IFERROR(XLOOKUP(D1010,'Spec_Single_H&amp;S'!B:B,'Spec_Single_H&amp;S'!F:F),
IFERROR(XLOOKUP(D1010,#REF!,#REF!),""))</f>
        <v/>
      </c>
      <c r="L1010" s="7" t="str">
        <f t="shared" ca="1" si="37"/>
        <v/>
      </c>
    </row>
    <row r="1011" spans="8:12" x14ac:dyDescent="0.3">
      <c r="H1011" s="7" t="str">
        <f>IF(B1011&lt;&gt;"Silicone","",IFERROR(XLOOKUP(D1011,#REF!,#REF!),""))</f>
        <v/>
      </c>
      <c r="J1011" s="7" t="str">
        <f ca="1">IFERROR(XLOOKUP(D1011,'Spec_Single_H&amp;S'!B:B,'Spec_Single_H&amp;S'!E:E),
IFERROR(XLOOKUP(D1011,#REF!,#REF!),""))</f>
        <v/>
      </c>
      <c r="K1011" s="7" t="str">
        <f ca="1">IFERROR(XLOOKUP(D1011,'Spec_Single_H&amp;S'!B:B,'Spec_Single_H&amp;S'!F:F),
IFERROR(XLOOKUP(D1011,#REF!,#REF!),""))</f>
        <v/>
      </c>
      <c r="L1011" s="7" t="str">
        <f t="shared" ca="1" si="37"/>
        <v/>
      </c>
    </row>
    <row r="1012" spans="8:12" x14ac:dyDescent="0.3">
      <c r="H1012" s="7" t="str">
        <f>IF(B1012&lt;&gt;"Silicone","",IFERROR(XLOOKUP(D1012,#REF!,#REF!),""))</f>
        <v/>
      </c>
      <c r="J1012" s="7" t="str">
        <f ca="1">IFERROR(XLOOKUP(D1012,'Spec_Single_H&amp;S'!B:B,'Spec_Single_H&amp;S'!E:E),
IFERROR(XLOOKUP(D1012,#REF!,#REF!),""))</f>
        <v/>
      </c>
      <c r="K1012" s="7" t="str">
        <f ca="1">IFERROR(XLOOKUP(D1012,'Spec_Single_H&amp;S'!B:B,'Spec_Single_H&amp;S'!F:F),
IFERROR(XLOOKUP(D1012,#REF!,#REF!),""))</f>
        <v/>
      </c>
      <c r="L1012" s="7" t="str">
        <f t="shared" ca="1" si="37"/>
        <v/>
      </c>
    </row>
    <row r="1013" spans="8:12" x14ac:dyDescent="0.3">
      <c r="H1013" s="7" t="str">
        <f>IF(B1013&lt;&gt;"Silicone","",IFERROR(XLOOKUP(D1013,#REF!,#REF!),""))</f>
        <v/>
      </c>
      <c r="J1013" s="7" t="str">
        <f ca="1">IFERROR(XLOOKUP(D1013,'Spec_Single_H&amp;S'!B:B,'Spec_Single_H&amp;S'!E:E),
IFERROR(XLOOKUP(D1013,#REF!,#REF!),""))</f>
        <v/>
      </c>
      <c r="K1013" s="7" t="str">
        <f ca="1">IFERROR(XLOOKUP(D1013,'Spec_Single_H&amp;S'!B:B,'Spec_Single_H&amp;S'!F:F),
IFERROR(XLOOKUP(D1013,#REF!,#REF!),""))</f>
        <v/>
      </c>
      <c r="L1013" s="7" t="str">
        <f t="shared" ca="1" si="37"/>
        <v/>
      </c>
    </row>
    <row r="1014" spans="8:12" x14ac:dyDescent="0.3">
      <c r="H1014" s="7" t="str">
        <f>IF(B1014&lt;&gt;"Silicone","",IFERROR(XLOOKUP(D1014,#REF!,#REF!),""))</f>
        <v/>
      </c>
      <c r="J1014" s="7" t="str">
        <f ca="1">IFERROR(XLOOKUP(D1014,'Spec_Single_H&amp;S'!B:B,'Spec_Single_H&amp;S'!E:E),
IFERROR(XLOOKUP(D1014,#REF!,#REF!),""))</f>
        <v/>
      </c>
      <c r="K1014" s="7" t="str">
        <f ca="1">IFERROR(XLOOKUP(D1014,'Spec_Single_H&amp;S'!B:B,'Spec_Single_H&amp;S'!F:F),
IFERROR(XLOOKUP(D1014,#REF!,#REF!),""))</f>
        <v/>
      </c>
      <c r="L1014" s="7" t="str">
        <f t="shared" ca="1" si="37"/>
        <v/>
      </c>
    </row>
    <row r="1015" spans="8:12" x14ac:dyDescent="0.3">
      <c r="H1015" s="7" t="str">
        <f>IF(B1015&lt;&gt;"Silicone","",IFERROR(XLOOKUP(D1015,#REF!,#REF!),""))</f>
        <v/>
      </c>
      <c r="J1015" s="7" t="str">
        <f ca="1">IFERROR(XLOOKUP(D1015,'Spec_Single_H&amp;S'!B:B,'Spec_Single_H&amp;S'!E:E),
IFERROR(XLOOKUP(D1015,#REF!,#REF!),""))</f>
        <v/>
      </c>
      <c r="K1015" s="7" t="str">
        <f ca="1">IFERROR(XLOOKUP(D1015,'Spec_Single_H&amp;S'!B:B,'Spec_Single_H&amp;S'!F:F),
IFERROR(XLOOKUP(D1015,#REF!,#REF!),""))</f>
        <v/>
      </c>
      <c r="L1015" s="7" t="str">
        <f t="shared" ca="1" si="37"/>
        <v/>
      </c>
    </row>
    <row r="1016" spans="8:12" x14ac:dyDescent="0.3">
      <c r="H1016" s="7" t="str">
        <f>IF(B1016&lt;&gt;"Silicone","",IFERROR(XLOOKUP(D1016,#REF!,#REF!),""))</f>
        <v/>
      </c>
      <c r="J1016" s="7" t="str">
        <f ca="1">IFERROR(XLOOKUP(D1016,'Spec_Single_H&amp;S'!B:B,'Spec_Single_H&amp;S'!E:E),
IFERROR(XLOOKUP(D1016,#REF!,#REF!),""))</f>
        <v/>
      </c>
      <c r="K1016" s="7" t="str">
        <f ca="1">IFERROR(XLOOKUP(D1016,'Spec_Single_H&amp;S'!B:B,'Spec_Single_H&amp;S'!F:F),
IFERROR(XLOOKUP(D1016,#REF!,#REF!),""))</f>
        <v/>
      </c>
      <c r="L1016" s="7" t="str">
        <f t="shared" ca="1" si="37"/>
        <v/>
      </c>
    </row>
    <row r="1017" spans="8:12" x14ac:dyDescent="0.3">
      <c r="H1017" s="7" t="str">
        <f>IF(B1017&lt;&gt;"Silicone","",IFERROR(XLOOKUP(D1017,#REF!,#REF!),""))</f>
        <v/>
      </c>
      <c r="J1017" s="7" t="str">
        <f ca="1">IFERROR(XLOOKUP(D1017,'Spec_Single_H&amp;S'!B:B,'Spec_Single_H&amp;S'!E:E),
IFERROR(XLOOKUP(D1017,#REF!,#REF!),""))</f>
        <v/>
      </c>
      <c r="K1017" s="7" t="str">
        <f ca="1">IFERROR(XLOOKUP(D1017,'Spec_Single_H&amp;S'!B:B,'Spec_Single_H&amp;S'!F:F),
IFERROR(XLOOKUP(D1017,#REF!,#REF!),""))</f>
        <v/>
      </c>
      <c r="L1017" s="7" t="str">
        <f t="shared" ca="1" si="37"/>
        <v/>
      </c>
    </row>
    <row r="1018" spans="8:12" x14ac:dyDescent="0.3">
      <c r="H1018" s="7" t="str">
        <f>IF(B1018&lt;&gt;"Silicone","",IFERROR(XLOOKUP(D1018,#REF!,#REF!),""))</f>
        <v/>
      </c>
      <c r="J1018" s="7" t="str">
        <f ca="1">IFERROR(XLOOKUP(D1018,'Spec_Single_H&amp;S'!B:B,'Spec_Single_H&amp;S'!E:E),
IFERROR(XLOOKUP(D1018,#REF!,#REF!),""))</f>
        <v/>
      </c>
      <c r="K1018" s="7" t="str">
        <f ca="1">IFERROR(XLOOKUP(D1018,'Spec_Single_H&amp;S'!B:B,'Spec_Single_H&amp;S'!F:F),
IFERROR(XLOOKUP(D1018,#REF!,#REF!),""))</f>
        <v/>
      </c>
      <c r="L1018" s="7" t="str">
        <f t="shared" ca="1" si="37"/>
        <v/>
      </c>
    </row>
    <row r="1019" spans="8:12" x14ac:dyDescent="0.3">
      <c r="H1019" s="7" t="str">
        <f>IF(B1019&lt;&gt;"Silicone","",IFERROR(XLOOKUP(D1019,#REF!,#REF!),""))</f>
        <v/>
      </c>
      <c r="J1019" s="7" t="str">
        <f ca="1">IFERROR(XLOOKUP(D1019,'Spec_Single_H&amp;S'!B:B,'Spec_Single_H&amp;S'!E:E),
IFERROR(XLOOKUP(D1019,#REF!,#REF!),""))</f>
        <v/>
      </c>
      <c r="K1019" s="7" t="str">
        <f ca="1">IFERROR(XLOOKUP(D1019,'Spec_Single_H&amp;S'!B:B,'Spec_Single_H&amp;S'!F:F),
IFERROR(XLOOKUP(D1019,#REF!,#REF!),""))</f>
        <v/>
      </c>
      <c r="L1019" s="7" t="str">
        <f t="shared" ca="1" si="37"/>
        <v/>
      </c>
    </row>
    <row r="1020" spans="8:12" x14ac:dyDescent="0.3">
      <c r="H1020" s="7" t="str">
        <f>IF(B1020&lt;&gt;"Silicone","",IFERROR(XLOOKUP(D1020,#REF!,#REF!),""))</f>
        <v/>
      </c>
      <c r="J1020" s="7" t="str">
        <f ca="1">IFERROR(XLOOKUP(D1020,'Spec_Single_H&amp;S'!B:B,'Spec_Single_H&amp;S'!E:E),
IFERROR(XLOOKUP(D1020,#REF!,#REF!),""))</f>
        <v/>
      </c>
      <c r="K1020" s="7" t="str">
        <f ca="1">IFERROR(XLOOKUP(D1020,'Spec_Single_H&amp;S'!B:B,'Spec_Single_H&amp;S'!F:F),
IFERROR(XLOOKUP(D1020,#REF!,#REF!),""))</f>
        <v/>
      </c>
      <c r="L1020" s="7" t="str">
        <f t="shared" ca="1" si="37"/>
        <v/>
      </c>
    </row>
    <row r="1021" spans="8:12" x14ac:dyDescent="0.3">
      <c r="H1021" s="7" t="str">
        <f>IF(B1021&lt;&gt;"Silicone","",IFERROR(XLOOKUP(D1021,#REF!,#REF!),""))</f>
        <v/>
      </c>
      <c r="J1021" s="7" t="str">
        <f ca="1">IFERROR(XLOOKUP(D1021,'Spec_Single_H&amp;S'!B:B,'Spec_Single_H&amp;S'!E:E),
IFERROR(XLOOKUP(D1021,#REF!,#REF!),""))</f>
        <v/>
      </c>
      <c r="K1021" s="7" t="str">
        <f ca="1">IFERROR(XLOOKUP(D1021,'Spec_Single_H&amp;S'!B:B,'Spec_Single_H&amp;S'!F:F),
IFERROR(XLOOKUP(D1021,#REF!,#REF!),""))</f>
        <v/>
      </c>
      <c r="L1021" s="7" t="str">
        <f t="shared" ca="1" si="37"/>
        <v/>
      </c>
    </row>
    <row r="1022" spans="8:12" x14ac:dyDescent="0.3">
      <c r="H1022" s="7" t="str">
        <f>IF(B1022&lt;&gt;"Silicone","",IFERROR(XLOOKUP(D1022,#REF!,#REF!),""))</f>
        <v/>
      </c>
      <c r="J1022" s="7" t="str">
        <f ca="1">IFERROR(XLOOKUP(D1022,'Spec_Single_H&amp;S'!B:B,'Spec_Single_H&amp;S'!E:E),
IFERROR(XLOOKUP(D1022,#REF!,#REF!),""))</f>
        <v/>
      </c>
      <c r="K1022" s="7" t="str">
        <f ca="1">IFERROR(XLOOKUP(D1022,'Spec_Single_H&amp;S'!B:B,'Spec_Single_H&amp;S'!F:F),
IFERROR(XLOOKUP(D1022,#REF!,#REF!),""))</f>
        <v/>
      </c>
      <c r="L1022" s="7" t="str">
        <f t="shared" ca="1" si="37"/>
        <v/>
      </c>
    </row>
    <row r="1023" spans="8:12" x14ac:dyDescent="0.3">
      <c r="H1023" s="7" t="str">
        <f>IF(B1023&lt;&gt;"Silicone","",IFERROR(XLOOKUP(D1023,#REF!,#REF!),""))</f>
        <v/>
      </c>
      <c r="J1023" s="7" t="str">
        <f ca="1">IFERROR(XLOOKUP(D1023,'Spec_Single_H&amp;S'!B:B,'Spec_Single_H&amp;S'!E:E),
IFERROR(XLOOKUP(D1023,#REF!,#REF!),""))</f>
        <v/>
      </c>
      <c r="K1023" s="7" t="str">
        <f ca="1">IFERROR(XLOOKUP(D1023,'Spec_Single_H&amp;S'!B:B,'Spec_Single_H&amp;S'!F:F),
IFERROR(XLOOKUP(D1023,#REF!,#REF!),""))</f>
        <v/>
      </c>
      <c r="L1023" s="7" t="str">
        <f t="shared" ca="1" si="37"/>
        <v/>
      </c>
    </row>
    <row r="1024" spans="8:12" x14ac:dyDescent="0.3">
      <c r="H1024" s="7" t="str">
        <f>IF(B1024&lt;&gt;"Silicone","",IFERROR(XLOOKUP(D1024,#REF!,#REF!),""))</f>
        <v/>
      </c>
      <c r="J1024" s="7" t="str">
        <f ca="1">IFERROR(XLOOKUP(D1024,'Spec_Single_H&amp;S'!B:B,'Spec_Single_H&amp;S'!E:E),
IFERROR(XLOOKUP(D1024,#REF!,#REF!),""))</f>
        <v/>
      </c>
      <c r="K1024" s="7" t="str">
        <f ca="1">IFERROR(XLOOKUP(D1024,'Spec_Single_H&amp;S'!B:B,'Spec_Single_H&amp;S'!F:F),
IFERROR(XLOOKUP(D1024,#REF!,#REF!),""))</f>
        <v/>
      </c>
      <c r="L1024" s="7" t="str">
        <f t="shared" ca="1" si="37"/>
        <v/>
      </c>
    </row>
    <row r="1025" spans="8:12" x14ac:dyDescent="0.3">
      <c r="H1025" s="7" t="str">
        <f>IF(B1025&lt;&gt;"Silicone","",IFERROR(XLOOKUP(D1025,#REF!,#REF!),""))</f>
        <v/>
      </c>
      <c r="J1025" s="7" t="str">
        <f ca="1">IFERROR(XLOOKUP(D1025,'Spec_Single_H&amp;S'!B:B,'Spec_Single_H&amp;S'!E:E),
IFERROR(XLOOKUP(D1025,#REF!,#REF!),""))</f>
        <v/>
      </c>
      <c r="K1025" s="7" t="str">
        <f ca="1">IFERROR(XLOOKUP(D1025,'Spec_Single_H&amp;S'!B:B,'Spec_Single_H&amp;S'!F:F),
IFERROR(XLOOKUP(D1025,#REF!,#REF!),""))</f>
        <v/>
      </c>
      <c r="L1025" s="7" t="str">
        <f t="shared" ca="1" si="37"/>
        <v/>
      </c>
    </row>
    <row r="1026" spans="8:12" x14ac:dyDescent="0.3">
      <c r="H1026" s="7" t="str">
        <f>IF(B1026&lt;&gt;"Silicone","",IFERROR(XLOOKUP(D1026,#REF!,#REF!),""))</f>
        <v/>
      </c>
      <c r="J1026" s="7" t="str">
        <f ca="1">IFERROR(XLOOKUP(D1026,'Spec_Single_H&amp;S'!B:B,'Spec_Single_H&amp;S'!E:E),
IFERROR(XLOOKUP(D1026,#REF!,#REF!),""))</f>
        <v/>
      </c>
      <c r="K1026" s="7" t="str">
        <f ca="1">IFERROR(XLOOKUP(D1026,'Spec_Single_H&amp;S'!B:B,'Spec_Single_H&amp;S'!F:F),
IFERROR(XLOOKUP(D1026,#REF!,#REF!),""))</f>
        <v/>
      </c>
      <c r="L1026" s="7" t="str">
        <f t="shared" ca="1" si="37"/>
        <v/>
      </c>
    </row>
    <row r="1027" spans="8:12" x14ac:dyDescent="0.3">
      <c r="H1027" s="7" t="str">
        <f>IF(B1027&lt;&gt;"Silicone","",IFERROR(XLOOKUP(D1027,#REF!,#REF!),""))</f>
        <v/>
      </c>
      <c r="J1027" s="7" t="str">
        <f ca="1">IFERROR(XLOOKUP(D1027,'Spec_Single_H&amp;S'!B:B,'Spec_Single_H&amp;S'!E:E),
IFERROR(XLOOKUP(D1027,#REF!,#REF!),""))</f>
        <v/>
      </c>
      <c r="K1027" s="7" t="str">
        <f ca="1">IFERROR(XLOOKUP(D1027,'Spec_Single_H&amp;S'!B:B,'Spec_Single_H&amp;S'!F:F),
IFERROR(XLOOKUP(D1027,#REF!,#REF!),""))</f>
        <v/>
      </c>
      <c r="L1027" s="7" t="str">
        <f t="shared" ca="1" si="37"/>
        <v/>
      </c>
    </row>
    <row r="1028" spans="8:12" x14ac:dyDescent="0.3">
      <c r="H1028" s="7" t="str">
        <f>IF(B1028&lt;&gt;"Silicone","",IFERROR(XLOOKUP(D1028,#REF!,#REF!),""))</f>
        <v/>
      </c>
      <c r="J1028" s="7" t="str">
        <f ca="1">IFERROR(XLOOKUP(D1028,'Spec_Single_H&amp;S'!B:B,'Spec_Single_H&amp;S'!E:E),
IFERROR(XLOOKUP(D1028,#REF!,#REF!),""))</f>
        <v/>
      </c>
      <c r="K1028" s="7" t="str">
        <f ca="1">IFERROR(XLOOKUP(D1028,'Spec_Single_H&amp;S'!B:B,'Spec_Single_H&amp;S'!F:F),
IFERROR(XLOOKUP(D1028,#REF!,#REF!),""))</f>
        <v/>
      </c>
      <c r="L1028" s="7" t="str">
        <f t="shared" ca="1" si="37"/>
        <v/>
      </c>
    </row>
    <row r="1029" spans="8:12" x14ac:dyDescent="0.3">
      <c r="H1029" s="7" t="str">
        <f>IF(B1029&lt;&gt;"Silicone","",IFERROR(XLOOKUP(D1029,#REF!,#REF!),""))</f>
        <v/>
      </c>
      <c r="J1029" s="7" t="str">
        <f ca="1">IFERROR(XLOOKUP(D1029,'Spec_Single_H&amp;S'!B:B,'Spec_Single_H&amp;S'!E:E),
IFERROR(XLOOKUP(D1029,#REF!,#REF!),""))</f>
        <v/>
      </c>
      <c r="K1029" s="7" t="str">
        <f ca="1">IFERROR(XLOOKUP(D1029,'Spec_Single_H&amp;S'!B:B,'Spec_Single_H&amp;S'!F:F),
IFERROR(XLOOKUP(D1029,#REF!,#REF!),""))</f>
        <v/>
      </c>
      <c r="L1029" s="7" t="str">
        <f t="shared" ca="1" si="37"/>
        <v/>
      </c>
    </row>
    <row r="1030" spans="8:12" x14ac:dyDescent="0.3">
      <c r="H1030" s="7" t="str">
        <f>IF(B1030&lt;&gt;"Silicone","",IFERROR(XLOOKUP(D1030,#REF!,#REF!),""))</f>
        <v/>
      </c>
      <c r="J1030" s="7" t="str">
        <f ca="1">IFERROR(XLOOKUP(D1030,'Spec_Single_H&amp;S'!B:B,'Spec_Single_H&amp;S'!E:E),
IFERROR(XLOOKUP(D1030,#REF!,#REF!),""))</f>
        <v/>
      </c>
      <c r="K1030" s="7" t="str">
        <f ca="1">IFERROR(XLOOKUP(D1030,'Spec_Single_H&amp;S'!B:B,'Spec_Single_H&amp;S'!F:F),
IFERROR(XLOOKUP(D1030,#REF!,#REF!),""))</f>
        <v/>
      </c>
      <c r="L1030" s="7" t="str">
        <f t="shared" ca="1" si="37"/>
        <v/>
      </c>
    </row>
    <row r="1031" spans="8:12" x14ac:dyDescent="0.3">
      <c r="H1031" s="7" t="str">
        <f>IF(B1031&lt;&gt;"Silicone","",IFERROR(XLOOKUP(D1031,#REF!,#REF!),""))</f>
        <v/>
      </c>
      <c r="J1031" s="7" t="str">
        <f ca="1">IFERROR(XLOOKUP(D1031,'Spec_Single_H&amp;S'!B:B,'Spec_Single_H&amp;S'!E:E),
IFERROR(XLOOKUP(D1031,#REF!,#REF!),""))</f>
        <v/>
      </c>
      <c r="K1031" s="7" t="str">
        <f ca="1">IFERROR(XLOOKUP(D1031,'Spec_Single_H&amp;S'!B:B,'Spec_Single_H&amp;S'!F:F),
IFERROR(XLOOKUP(D1031,#REF!,#REF!),""))</f>
        <v/>
      </c>
      <c r="L1031" s="7" t="str">
        <f t="shared" ca="1" si="37"/>
        <v/>
      </c>
    </row>
    <row r="1032" spans="8:12" x14ac:dyDescent="0.3">
      <c r="H1032" s="7" t="str">
        <f>IF(B1032&lt;&gt;"Silicone","",IFERROR(XLOOKUP(D1032,#REF!,#REF!),""))</f>
        <v/>
      </c>
      <c r="J1032" s="7" t="str">
        <f ca="1">IFERROR(XLOOKUP(D1032,'Spec_Single_H&amp;S'!B:B,'Spec_Single_H&amp;S'!E:E),
IFERROR(XLOOKUP(D1032,#REF!,#REF!),""))</f>
        <v/>
      </c>
      <c r="K1032" s="7" t="str">
        <f ca="1">IFERROR(XLOOKUP(D1032,'Spec_Single_H&amp;S'!B:B,'Spec_Single_H&amp;S'!F:F),
IFERROR(XLOOKUP(D1032,#REF!,#REF!),""))</f>
        <v/>
      </c>
      <c r="L1032" s="7" t="str">
        <f t="shared" ref="L1032:L1095" ca="1" si="38">IF(AND(NOT(ISBLANK(I1032)),I1032&gt;=J1032,I1032&lt;=K1032),"적합",IF(ISBLANK(I1032),"", "부적합"))</f>
        <v/>
      </c>
    </row>
    <row r="1033" spans="8:12" x14ac:dyDescent="0.3">
      <c r="H1033" s="7" t="str">
        <f>IF(B1033&lt;&gt;"Silicone","",IFERROR(XLOOKUP(D1033,#REF!,#REF!),""))</f>
        <v/>
      </c>
      <c r="J1033" s="7" t="str">
        <f ca="1">IFERROR(XLOOKUP(D1033,'Spec_Single_H&amp;S'!B:B,'Spec_Single_H&amp;S'!E:E),
IFERROR(XLOOKUP(D1033,#REF!,#REF!),""))</f>
        <v/>
      </c>
      <c r="K1033" s="7" t="str">
        <f ca="1">IFERROR(XLOOKUP(D1033,'Spec_Single_H&amp;S'!B:B,'Spec_Single_H&amp;S'!F:F),
IFERROR(XLOOKUP(D1033,#REF!,#REF!),""))</f>
        <v/>
      </c>
      <c r="L1033" s="7" t="str">
        <f t="shared" ca="1" si="38"/>
        <v/>
      </c>
    </row>
    <row r="1034" spans="8:12" x14ac:dyDescent="0.3">
      <c r="H1034" s="7" t="str">
        <f>IF(B1034&lt;&gt;"Silicone","",IFERROR(XLOOKUP(D1034,#REF!,#REF!),""))</f>
        <v/>
      </c>
      <c r="J1034" s="7" t="str">
        <f ca="1">IFERROR(XLOOKUP(D1034,'Spec_Single_H&amp;S'!B:B,'Spec_Single_H&amp;S'!E:E),
IFERROR(XLOOKUP(D1034,#REF!,#REF!),""))</f>
        <v/>
      </c>
      <c r="K1034" s="7" t="str">
        <f ca="1">IFERROR(XLOOKUP(D1034,'Spec_Single_H&amp;S'!B:B,'Spec_Single_H&amp;S'!F:F),
IFERROR(XLOOKUP(D1034,#REF!,#REF!),""))</f>
        <v/>
      </c>
      <c r="L1034" s="7" t="str">
        <f t="shared" ca="1" si="38"/>
        <v/>
      </c>
    </row>
    <row r="1035" spans="8:12" x14ac:dyDescent="0.3">
      <c r="H1035" s="7" t="str">
        <f>IF(B1035&lt;&gt;"Silicone","",IFERROR(XLOOKUP(D1035,#REF!,#REF!),""))</f>
        <v/>
      </c>
      <c r="J1035" s="7" t="str">
        <f ca="1">IFERROR(XLOOKUP(D1035,'Spec_Single_H&amp;S'!B:B,'Spec_Single_H&amp;S'!E:E),
IFERROR(XLOOKUP(D1035,#REF!,#REF!),""))</f>
        <v/>
      </c>
      <c r="K1035" s="7" t="str">
        <f ca="1">IFERROR(XLOOKUP(D1035,'Spec_Single_H&amp;S'!B:B,'Spec_Single_H&amp;S'!F:F),
IFERROR(XLOOKUP(D1035,#REF!,#REF!),""))</f>
        <v/>
      </c>
      <c r="L1035" s="7" t="str">
        <f t="shared" ca="1" si="38"/>
        <v/>
      </c>
    </row>
    <row r="1036" spans="8:12" x14ac:dyDescent="0.3">
      <c r="H1036" s="7" t="str">
        <f>IF(B1036&lt;&gt;"Silicone","",IFERROR(XLOOKUP(D1036,#REF!,#REF!),""))</f>
        <v/>
      </c>
      <c r="J1036" s="7" t="str">
        <f ca="1">IFERROR(XLOOKUP(D1036,'Spec_Single_H&amp;S'!B:B,'Spec_Single_H&amp;S'!E:E),
IFERROR(XLOOKUP(D1036,#REF!,#REF!),""))</f>
        <v/>
      </c>
      <c r="K1036" s="7" t="str">
        <f ca="1">IFERROR(XLOOKUP(D1036,'Spec_Single_H&amp;S'!B:B,'Spec_Single_H&amp;S'!F:F),
IFERROR(XLOOKUP(D1036,#REF!,#REF!),""))</f>
        <v/>
      </c>
      <c r="L1036" s="7" t="str">
        <f t="shared" ca="1" si="38"/>
        <v/>
      </c>
    </row>
    <row r="1037" spans="8:12" x14ac:dyDescent="0.3">
      <c r="H1037" s="7" t="str">
        <f>IF(B1037&lt;&gt;"Silicone","",IFERROR(XLOOKUP(D1037,#REF!,#REF!),""))</f>
        <v/>
      </c>
      <c r="J1037" s="7" t="str">
        <f ca="1">IFERROR(XLOOKUP(D1037,'Spec_Single_H&amp;S'!B:B,'Spec_Single_H&amp;S'!E:E),
IFERROR(XLOOKUP(D1037,#REF!,#REF!),""))</f>
        <v/>
      </c>
      <c r="K1037" s="7" t="str">
        <f ca="1">IFERROR(XLOOKUP(D1037,'Spec_Single_H&amp;S'!B:B,'Spec_Single_H&amp;S'!F:F),
IFERROR(XLOOKUP(D1037,#REF!,#REF!),""))</f>
        <v/>
      </c>
      <c r="L1037" s="7" t="str">
        <f t="shared" ca="1" si="38"/>
        <v/>
      </c>
    </row>
    <row r="1038" spans="8:12" x14ac:dyDescent="0.3">
      <c r="H1038" s="7" t="str">
        <f>IF(B1038&lt;&gt;"Silicone","",IFERROR(XLOOKUP(D1038,#REF!,#REF!),""))</f>
        <v/>
      </c>
      <c r="J1038" s="7" t="str">
        <f ca="1">IFERROR(XLOOKUP(D1038,'Spec_Single_H&amp;S'!B:B,'Spec_Single_H&amp;S'!E:E),
IFERROR(XLOOKUP(D1038,#REF!,#REF!),""))</f>
        <v/>
      </c>
      <c r="K1038" s="7" t="str">
        <f ca="1">IFERROR(XLOOKUP(D1038,'Spec_Single_H&amp;S'!B:B,'Spec_Single_H&amp;S'!F:F),
IFERROR(XLOOKUP(D1038,#REF!,#REF!),""))</f>
        <v/>
      </c>
      <c r="L1038" s="7" t="str">
        <f t="shared" ca="1" si="38"/>
        <v/>
      </c>
    </row>
    <row r="1039" spans="8:12" x14ac:dyDescent="0.3">
      <c r="H1039" s="7" t="str">
        <f>IF(B1039&lt;&gt;"Silicone","",IFERROR(XLOOKUP(D1039,#REF!,#REF!),""))</f>
        <v/>
      </c>
      <c r="J1039" s="7" t="str">
        <f ca="1">IFERROR(XLOOKUP(D1039,'Spec_Single_H&amp;S'!B:B,'Spec_Single_H&amp;S'!E:E),
IFERROR(XLOOKUP(D1039,#REF!,#REF!),""))</f>
        <v/>
      </c>
      <c r="K1039" s="7" t="str">
        <f ca="1">IFERROR(XLOOKUP(D1039,'Spec_Single_H&amp;S'!B:B,'Spec_Single_H&amp;S'!F:F),
IFERROR(XLOOKUP(D1039,#REF!,#REF!),""))</f>
        <v/>
      </c>
      <c r="L1039" s="7" t="str">
        <f t="shared" ca="1" si="38"/>
        <v/>
      </c>
    </row>
    <row r="1040" spans="8:12" x14ac:dyDescent="0.3">
      <c r="H1040" s="7" t="str">
        <f>IF(B1040&lt;&gt;"Silicone","",IFERROR(XLOOKUP(D1040,#REF!,#REF!),""))</f>
        <v/>
      </c>
      <c r="J1040" s="7" t="str">
        <f ca="1">IFERROR(XLOOKUP(D1040,'Spec_Single_H&amp;S'!B:B,'Spec_Single_H&amp;S'!E:E),
IFERROR(XLOOKUP(D1040,#REF!,#REF!),""))</f>
        <v/>
      </c>
      <c r="K1040" s="7" t="str">
        <f ca="1">IFERROR(XLOOKUP(D1040,'Spec_Single_H&amp;S'!B:B,'Spec_Single_H&amp;S'!F:F),
IFERROR(XLOOKUP(D1040,#REF!,#REF!),""))</f>
        <v/>
      </c>
      <c r="L1040" s="7" t="str">
        <f t="shared" ca="1" si="38"/>
        <v/>
      </c>
    </row>
    <row r="1041" spans="8:12" x14ac:dyDescent="0.3">
      <c r="H1041" s="7" t="str">
        <f>IF(B1041&lt;&gt;"Silicone","",IFERROR(XLOOKUP(D1041,#REF!,#REF!),""))</f>
        <v/>
      </c>
      <c r="J1041" s="7" t="str">
        <f ca="1">IFERROR(XLOOKUP(D1041,'Spec_Single_H&amp;S'!B:B,'Spec_Single_H&amp;S'!E:E),
IFERROR(XLOOKUP(D1041,#REF!,#REF!),""))</f>
        <v/>
      </c>
      <c r="K1041" s="7" t="str">
        <f ca="1">IFERROR(XLOOKUP(D1041,'Spec_Single_H&amp;S'!B:B,'Spec_Single_H&amp;S'!F:F),
IFERROR(XLOOKUP(D1041,#REF!,#REF!),""))</f>
        <v/>
      </c>
      <c r="L1041" s="7" t="str">
        <f t="shared" ca="1" si="38"/>
        <v/>
      </c>
    </row>
    <row r="1042" spans="8:12" x14ac:dyDescent="0.3">
      <c r="H1042" s="7" t="str">
        <f>IF(B1042&lt;&gt;"Silicone","",IFERROR(XLOOKUP(D1042,#REF!,#REF!),""))</f>
        <v/>
      </c>
      <c r="J1042" s="7" t="str">
        <f ca="1">IFERROR(XLOOKUP(D1042,'Spec_Single_H&amp;S'!B:B,'Spec_Single_H&amp;S'!E:E),
IFERROR(XLOOKUP(D1042,#REF!,#REF!),""))</f>
        <v/>
      </c>
      <c r="K1042" s="7" t="str">
        <f ca="1">IFERROR(XLOOKUP(D1042,'Spec_Single_H&amp;S'!B:B,'Spec_Single_H&amp;S'!F:F),
IFERROR(XLOOKUP(D1042,#REF!,#REF!),""))</f>
        <v/>
      </c>
      <c r="L1042" s="7" t="str">
        <f t="shared" ca="1" si="38"/>
        <v/>
      </c>
    </row>
    <row r="1043" spans="8:12" x14ac:dyDescent="0.3">
      <c r="H1043" s="7" t="str">
        <f>IF(B1043&lt;&gt;"Silicone","",IFERROR(XLOOKUP(D1043,#REF!,#REF!),""))</f>
        <v/>
      </c>
      <c r="J1043" s="7" t="str">
        <f ca="1">IFERROR(XLOOKUP(D1043,'Spec_Single_H&amp;S'!B:B,'Spec_Single_H&amp;S'!E:E),
IFERROR(XLOOKUP(D1043,#REF!,#REF!),""))</f>
        <v/>
      </c>
      <c r="K1043" s="7" t="str">
        <f ca="1">IFERROR(XLOOKUP(D1043,'Spec_Single_H&amp;S'!B:B,'Spec_Single_H&amp;S'!F:F),
IFERROR(XLOOKUP(D1043,#REF!,#REF!),""))</f>
        <v/>
      </c>
      <c r="L1043" s="7" t="str">
        <f t="shared" ca="1" si="38"/>
        <v/>
      </c>
    </row>
    <row r="1044" spans="8:12" x14ac:dyDescent="0.3">
      <c r="H1044" s="7" t="str">
        <f>IF(B1044&lt;&gt;"Silicone","",IFERROR(XLOOKUP(D1044,#REF!,#REF!),""))</f>
        <v/>
      </c>
      <c r="J1044" s="7" t="str">
        <f ca="1">IFERROR(XLOOKUP(D1044,'Spec_Single_H&amp;S'!B:B,'Spec_Single_H&amp;S'!E:E),
IFERROR(XLOOKUP(D1044,#REF!,#REF!),""))</f>
        <v/>
      </c>
      <c r="K1044" s="7" t="str">
        <f ca="1">IFERROR(XLOOKUP(D1044,'Spec_Single_H&amp;S'!B:B,'Spec_Single_H&amp;S'!F:F),
IFERROR(XLOOKUP(D1044,#REF!,#REF!),""))</f>
        <v/>
      </c>
      <c r="L1044" s="7" t="str">
        <f t="shared" ca="1" si="38"/>
        <v/>
      </c>
    </row>
    <row r="1045" spans="8:12" x14ac:dyDescent="0.3">
      <c r="H1045" s="7" t="str">
        <f>IF(B1045&lt;&gt;"Silicone","",IFERROR(XLOOKUP(D1045,#REF!,#REF!),""))</f>
        <v/>
      </c>
      <c r="J1045" s="7" t="str">
        <f ca="1">IFERROR(XLOOKUP(D1045,'Spec_Single_H&amp;S'!B:B,'Spec_Single_H&amp;S'!E:E),
IFERROR(XLOOKUP(D1045,#REF!,#REF!),""))</f>
        <v/>
      </c>
      <c r="K1045" s="7" t="str">
        <f ca="1">IFERROR(XLOOKUP(D1045,'Spec_Single_H&amp;S'!B:B,'Spec_Single_H&amp;S'!F:F),
IFERROR(XLOOKUP(D1045,#REF!,#REF!),""))</f>
        <v/>
      </c>
      <c r="L1045" s="7" t="str">
        <f t="shared" ca="1" si="38"/>
        <v/>
      </c>
    </row>
    <row r="1046" spans="8:12" x14ac:dyDescent="0.3">
      <c r="H1046" s="7" t="str">
        <f>IF(B1046&lt;&gt;"Silicone","",IFERROR(XLOOKUP(D1046,#REF!,#REF!),""))</f>
        <v/>
      </c>
      <c r="J1046" s="7" t="str">
        <f ca="1">IFERROR(XLOOKUP(D1046,'Spec_Single_H&amp;S'!B:B,'Spec_Single_H&amp;S'!E:E),
IFERROR(XLOOKUP(D1046,#REF!,#REF!),""))</f>
        <v/>
      </c>
      <c r="K1046" s="7" t="str">
        <f ca="1">IFERROR(XLOOKUP(D1046,'Spec_Single_H&amp;S'!B:B,'Spec_Single_H&amp;S'!F:F),
IFERROR(XLOOKUP(D1046,#REF!,#REF!),""))</f>
        <v/>
      </c>
      <c r="L1046" s="7" t="str">
        <f t="shared" ca="1" si="38"/>
        <v/>
      </c>
    </row>
    <row r="1047" spans="8:12" x14ac:dyDescent="0.3">
      <c r="H1047" s="7" t="str">
        <f>IF(B1047&lt;&gt;"Silicone","",IFERROR(XLOOKUP(D1047,#REF!,#REF!),""))</f>
        <v/>
      </c>
      <c r="J1047" s="7" t="str">
        <f ca="1">IFERROR(XLOOKUP(D1047,'Spec_Single_H&amp;S'!B:B,'Spec_Single_H&amp;S'!E:E),
IFERROR(XLOOKUP(D1047,#REF!,#REF!),""))</f>
        <v/>
      </c>
      <c r="K1047" s="7" t="str">
        <f ca="1">IFERROR(XLOOKUP(D1047,'Spec_Single_H&amp;S'!B:B,'Spec_Single_H&amp;S'!F:F),
IFERROR(XLOOKUP(D1047,#REF!,#REF!),""))</f>
        <v/>
      </c>
      <c r="L1047" s="7" t="str">
        <f t="shared" ca="1" si="38"/>
        <v/>
      </c>
    </row>
    <row r="1048" spans="8:12" x14ac:dyDescent="0.3">
      <c r="H1048" s="7" t="str">
        <f>IF(B1048&lt;&gt;"Silicone","",IFERROR(XLOOKUP(D1048,#REF!,#REF!),""))</f>
        <v/>
      </c>
      <c r="J1048" s="7" t="str">
        <f ca="1">IFERROR(XLOOKUP(D1048,'Spec_Single_H&amp;S'!B:B,'Spec_Single_H&amp;S'!E:E),
IFERROR(XLOOKUP(D1048,#REF!,#REF!),""))</f>
        <v/>
      </c>
      <c r="K1048" s="7" t="str">
        <f ca="1">IFERROR(XLOOKUP(D1048,'Spec_Single_H&amp;S'!B:B,'Spec_Single_H&amp;S'!F:F),
IFERROR(XLOOKUP(D1048,#REF!,#REF!),""))</f>
        <v/>
      </c>
      <c r="L1048" s="7" t="str">
        <f t="shared" ca="1" si="38"/>
        <v/>
      </c>
    </row>
    <row r="1049" spans="8:12" x14ac:dyDescent="0.3">
      <c r="H1049" s="7" t="str">
        <f>IF(B1049&lt;&gt;"Silicone","",IFERROR(XLOOKUP(D1049,#REF!,#REF!),""))</f>
        <v/>
      </c>
      <c r="J1049" s="7" t="str">
        <f ca="1">IFERROR(XLOOKUP(D1049,'Spec_Single_H&amp;S'!B:B,'Spec_Single_H&amp;S'!E:E),
IFERROR(XLOOKUP(D1049,#REF!,#REF!),""))</f>
        <v/>
      </c>
      <c r="K1049" s="7" t="str">
        <f ca="1">IFERROR(XLOOKUP(D1049,'Spec_Single_H&amp;S'!B:B,'Spec_Single_H&amp;S'!F:F),
IFERROR(XLOOKUP(D1049,#REF!,#REF!),""))</f>
        <v/>
      </c>
      <c r="L1049" s="7" t="str">
        <f t="shared" ca="1" si="38"/>
        <v/>
      </c>
    </row>
    <row r="1050" spans="8:12" x14ac:dyDescent="0.3">
      <c r="H1050" s="7" t="str">
        <f>IF(B1050&lt;&gt;"Silicone","",IFERROR(XLOOKUP(D1050,#REF!,#REF!),""))</f>
        <v/>
      </c>
      <c r="J1050" s="7" t="str">
        <f ca="1">IFERROR(XLOOKUP(D1050,'Spec_Single_H&amp;S'!B:B,'Spec_Single_H&amp;S'!E:E),
IFERROR(XLOOKUP(D1050,#REF!,#REF!),""))</f>
        <v/>
      </c>
      <c r="K1050" s="7" t="str">
        <f ca="1">IFERROR(XLOOKUP(D1050,'Spec_Single_H&amp;S'!B:B,'Spec_Single_H&amp;S'!F:F),
IFERROR(XLOOKUP(D1050,#REF!,#REF!),""))</f>
        <v/>
      </c>
      <c r="L1050" s="7" t="str">
        <f t="shared" ca="1" si="38"/>
        <v/>
      </c>
    </row>
    <row r="1051" spans="8:12" x14ac:dyDescent="0.3">
      <c r="H1051" s="7" t="str">
        <f>IF(B1051&lt;&gt;"Silicone","",IFERROR(XLOOKUP(D1051,#REF!,#REF!),""))</f>
        <v/>
      </c>
      <c r="J1051" s="7" t="str">
        <f ca="1">IFERROR(XLOOKUP(D1051,'Spec_Single_H&amp;S'!B:B,'Spec_Single_H&amp;S'!E:E),
IFERROR(XLOOKUP(D1051,#REF!,#REF!),""))</f>
        <v/>
      </c>
      <c r="K1051" s="7" t="str">
        <f ca="1">IFERROR(XLOOKUP(D1051,'Spec_Single_H&amp;S'!B:B,'Spec_Single_H&amp;S'!F:F),
IFERROR(XLOOKUP(D1051,#REF!,#REF!),""))</f>
        <v/>
      </c>
      <c r="L1051" s="7" t="str">
        <f t="shared" ca="1" si="38"/>
        <v/>
      </c>
    </row>
    <row r="1052" spans="8:12" x14ac:dyDescent="0.3">
      <c r="H1052" s="7" t="str">
        <f>IF(B1052&lt;&gt;"Silicone","",IFERROR(XLOOKUP(D1052,#REF!,#REF!),""))</f>
        <v/>
      </c>
      <c r="J1052" s="7" t="str">
        <f ca="1">IFERROR(XLOOKUP(D1052,'Spec_Single_H&amp;S'!B:B,'Spec_Single_H&amp;S'!E:E),
IFERROR(XLOOKUP(D1052,#REF!,#REF!),""))</f>
        <v/>
      </c>
      <c r="K1052" s="7" t="str">
        <f ca="1">IFERROR(XLOOKUP(D1052,'Spec_Single_H&amp;S'!B:B,'Spec_Single_H&amp;S'!F:F),
IFERROR(XLOOKUP(D1052,#REF!,#REF!),""))</f>
        <v/>
      </c>
      <c r="L1052" s="7" t="str">
        <f t="shared" ca="1" si="38"/>
        <v/>
      </c>
    </row>
    <row r="1053" spans="8:12" x14ac:dyDescent="0.3">
      <c r="H1053" s="7" t="str">
        <f>IF(B1053&lt;&gt;"Silicone","",IFERROR(XLOOKUP(D1053,#REF!,#REF!),""))</f>
        <v/>
      </c>
      <c r="J1053" s="7" t="str">
        <f ca="1">IFERROR(XLOOKUP(D1053,'Spec_Single_H&amp;S'!B:B,'Spec_Single_H&amp;S'!E:E),
IFERROR(XLOOKUP(D1053,#REF!,#REF!),""))</f>
        <v/>
      </c>
      <c r="K1053" s="7" t="str">
        <f ca="1">IFERROR(XLOOKUP(D1053,'Spec_Single_H&amp;S'!B:B,'Spec_Single_H&amp;S'!F:F),
IFERROR(XLOOKUP(D1053,#REF!,#REF!),""))</f>
        <v/>
      </c>
      <c r="L1053" s="7" t="str">
        <f t="shared" ca="1" si="38"/>
        <v/>
      </c>
    </row>
    <row r="1054" spans="8:12" x14ac:dyDescent="0.3">
      <c r="H1054" s="7" t="str">
        <f>IF(B1054&lt;&gt;"Silicone","",IFERROR(XLOOKUP(D1054,#REF!,#REF!),""))</f>
        <v/>
      </c>
      <c r="J1054" s="7" t="str">
        <f ca="1">IFERROR(XLOOKUP(D1054,'Spec_Single_H&amp;S'!B:B,'Spec_Single_H&amp;S'!E:E),
IFERROR(XLOOKUP(D1054,#REF!,#REF!),""))</f>
        <v/>
      </c>
      <c r="K1054" s="7" t="str">
        <f ca="1">IFERROR(XLOOKUP(D1054,'Spec_Single_H&amp;S'!B:B,'Spec_Single_H&amp;S'!F:F),
IFERROR(XLOOKUP(D1054,#REF!,#REF!),""))</f>
        <v/>
      </c>
      <c r="L1054" s="7" t="str">
        <f t="shared" ca="1" si="38"/>
        <v/>
      </c>
    </row>
    <row r="1055" spans="8:12" x14ac:dyDescent="0.3">
      <c r="H1055" s="7" t="str">
        <f>IF(B1055&lt;&gt;"Silicone","",IFERROR(XLOOKUP(D1055,#REF!,#REF!),""))</f>
        <v/>
      </c>
      <c r="J1055" s="7" t="str">
        <f ca="1">IFERROR(XLOOKUP(D1055,'Spec_Single_H&amp;S'!B:B,'Spec_Single_H&amp;S'!E:E),
IFERROR(XLOOKUP(D1055,#REF!,#REF!),""))</f>
        <v/>
      </c>
      <c r="K1055" s="7" t="str">
        <f ca="1">IFERROR(XLOOKUP(D1055,'Spec_Single_H&amp;S'!B:B,'Spec_Single_H&amp;S'!F:F),
IFERROR(XLOOKUP(D1055,#REF!,#REF!),""))</f>
        <v/>
      </c>
      <c r="L1055" s="7" t="str">
        <f t="shared" ca="1" si="38"/>
        <v/>
      </c>
    </row>
    <row r="1056" spans="8:12" x14ac:dyDescent="0.3">
      <c r="H1056" s="7" t="str">
        <f>IF(B1056&lt;&gt;"Silicone","",IFERROR(XLOOKUP(D1056,#REF!,#REF!),""))</f>
        <v/>
      </c>
      <c r="J1056" s="7" t="str">
        <f ca="1">IFERROR(XLOOKUP(D1056,'Spec_Single_H&amp;S'!B:B,'Spec_Single_H&amp;S'!E:E),
IFERROR(XLOOKUP(D1056,#REF!,#REF!),""))</f>
        <v/>
      </c>
      <c r="K1056" s="7" t="str">
        <f ca="1">IFERROR(XLOOKUP(D1056,'Spec_Single_H&amp;S'!B:B,'Spec_Single_H&amp;S'!F:F),
IFERROR(XLOOKUP(D1056,#REF!,#REF!),""))</f>
        <v/>
      </c>
      <c r="L1056" s="7" t="str">
        <f t="shared" ca="1" si="38"/>
        <v/>
      </c>
    </row>
    <row r="1057" spans="8:12" x14ac:dyDescent="0.3">
      <c r="H1057" s="7" t="str">
        <f>IF(B1057&lt;&gt;"Silicone","",IFERROR(XLOOKUP(D1057,#REF!,#REF!),""))</f>
        <v/>
      </c>
      <c r="J1057" s="7" t="str">
        <f ca="1">IFERROR(XLOOKUP(D1057,'Spec_Single_H&amp;S'!B:B,'Spec_Single_H&amp;S'!E:E),
IFERROR(XLOOKUP(D1057,#REF!,#REF!),""))</f>
        <v/>
      </c>
      <c r="K1057" s="7" t="str">
        <f ca="1">IFERROR(XLOOKUP(D1057,'Spec_Single_H&amp;S'!B:B,'Spec_Single_H&amp;S'!F:F),
IFERROR(XLOOKUP(D1057,#REF!,#REF!),""))</f>
        <v/>
      </c>
      <c r="L1057" s="7" t="str">
        <f t="shared" ca="1" si="38"/>
        <v/>
      </c>
    </row>
    <row r="1058" spans="8:12" x14ac:dyDescent="0.3">
      <c r="H1058" s="7" t="str">
        <f>IF(B1058&lt;&gt;"Silicone","",IFERROR(XLOOKUP(D1058,#REF!,#REF!),""))</f>
        <v/>
      </c>
      <c r="J1058" s="7" t="str">
        <f ca="1">IFERROR(XLOOKUP(D1058,'Spec_Single_H&amp;S'!B:B,'Spec_Single_H&amp;S'!E:E),
IFERROR(XLOOKUP(D1058,#REF!,#REF!),""))</f>
        <v/>
      </c>
      <c r="K1058" s="7" t="str">
        <f ca="1">IFERROR(XLOOKUP(D1058,'Spec_Single_H&amp;S'!B:B,'Spec_Single_H&amp;S'!F:F),
IFERROR(XLOOKUP(D1058,#REF!,#REF!),""))</f>
        <v/>
      </c>
      <c r="L1058" s="7" t="str">
        <f t="shared" ca="1" si="38"/>
        <v/>
      </c>
    </row>
    <row r="1059" spans="8:12" x14ac:dyDescent="0.3">
      <c r="H1059" s="7" t="str">
        <f>IF(B1059&lt;&gt;"Silicone","",IFERROR(XLOOKUP(D1059,#REF!,#REF!),""))</f>
        <v/>
      </c>
      <c r="J1059" s="7" t="str">
        <f ca="1">IFERROR(XLOOKUP(D1059,'Spec_Single_H&amp;S'!B:B,'Spec_Single_H&amp;S'!E:E),
IFERROR(XLOOKUP(D1059,#REF!,#REF!),""))</f>
        <v/>
      </c>
      <c r="K1059" s="7" t="str">
        <f ca="1">IFERROR(XLOOKUP(D1059,'Spec_Single_H&amp;S'!B:B,'Spec_Single_H&amp;S'!F:F),
IFERROR(XLOOKUP(D1059,#REF!,#REF!),""))</f>
        <v/>
      </c>
      <c r="L1059" s="7" t="str">
        <f t="shared" ca="1" si="38"/>
        <v/>
      </c>
    </row>
    <row r="1060" spans="8:12" x14ac:dyDescent="0.3">
      <c r="H1060" s="7" t="str">
        <f>IF(B1060&lt;&gt;"Silicone","",IFERROR(XLOOKUP(D1060,#REF!,#REF!),""))</f>
        <v/>
      </c>
      <c r="J1060" s="7" t="str">
        <f ca="1">IFERROR(XLOOKUP(D1060,'Spec_Single_H&amp;S'!B:B,'Spec_Single_H&amp;S'!E:E),
IFERROR(XLOOKUP(D1060,#REF!,#REF!),""))</f>
        <v/>
      </c>
      <c r="K1060" s="7" t="str">
        <f ca="1">IFERROR(XLOOKUP(D1060,'Spec_Single_H&amp;S'!B:B,'Spec_Single_H&amp;S'!F:F),
IFERROR(XLOOKUP(D1060,#REF!,#REF!),""))</f>
        <v/>
      </c>
      <c r="L1060" s="7" t="str">
        <f t="shared" ca="1" si="38"/>
        <v/>
      </c>
    </row>
    <row r="1061" spans="8:12" x14ac:dyDescent="0.3">
      <c r="H1061" s="7" t="str">
        <f>IF(B1061&lt;&gt;"Silicone","",IFERROR(XLOOKUP(D1061,#REF!,#REF!),""))</f>
        <v/>
      </c>
      <c r="J1061" s="7" t="str">
        <f ca="1">IFERROR(XLOOKUP(D1061,'Spec_Single_H&amp;S'!B:B,'Spec_Single_H&amp;S'!E:E),
IFERROR(XLOOKUP(D1061,#REF!,#REF!),""))</f>
        <v/>
      </c>
      <c r="K1061" s="7" t="str">
        <f ca="1">IFERROR(XLOOKUP(D1061,'Spec_Single_H&amp;S'!B:B,'Spec_Single_H&amp;S'!F:F),
IFERROR(XLOOKUP(D1061,#REF!,#REF!),""))</f>
        <v/>
      </c>
      <c r="L1061" s="7" t="str">
        <f t="shared" ca="1" si="38"/>
        <v/>
      </c>
    </row>
    <row r="1062" spans="8:12" x14ac:dyDescent="0.3">
      <c r="H1062" s="7" t="str">
        <f>IF(B1062&lt;&gt;"Silicone","",IFERROR(XLOOKUP(D1062,#REF!,#REF!),""))</f>
        <v/>
      </c>
      <c r="J1062" s="7" t="str">
        <f ca="1">IFERROR(XLOOKUP(D1062,'Spec_Single_H&amp;S'!B:B,'Spec_Single_H&amp;S'!E:E),
IFERROR(XLOOKUP(D1062,#REF!,#REF!),""))</f>
        <v/>
      </c>
      <c r="K1062" s="7" t="str">
        <f ca="1">IFERROR(XLOOKUP(D1062,'Spec_Single_H&amp;S'!B:B,'Spec_Single_H&amp;S'!F:F),
IFERROR(XLOOKUP(D1062,#REF!,#REF!),""))</f>
        <v/>
      </c>
      <c r="L1062" s="7" t="str">
        <f t="shared" ca="1" si="38"/>
        <v/>
      </c>
    </row>
    <row r="1063" spans="8:12" x14ac:dyDescent="0.3">
      <c r="H1063" s="7" t="str">
        <f>IF(B1063&lt;&gt;"Silicone","",IFERROR(XLOOKUP(D1063,#REF!,#REF!),""))</f>
        <v/>
      </c>
      <c r="J1063" s="7" t="str">
        <f ca="1">IFERROR(XLOOKUP(D1063,'Spec_Single_H&amp;S'!B:B,'Spec_Single_H&amp;S'!E:E),
IFERROR(XLOOKUP(D1063,#REF!,#REF!),""))</f>
        <v/>
      </c>
      <c r="K1063" s="7" t="str">
        <f ca="1">IFERROR(XLOOKUP(D1063,'Spec_Single_H&amp;S'!B:B,'Spec_Single_H&amp;S'!F:F),
IFERROR(XLOOKUP(D1063,#REF!,#REF!),""))</f>
        <v/>
      </c>
      <c r="L1063" s="7" t="str">
        <f t="shared" ca="1" si="38"/>
        <v/>
      </c>
    </row>
    <row r="1064" spans="8:12" x14ac:dyDescent="0.3">
      <c r="H1064" s="7" t="str">
        <f>IF(B1064&lt;&gt;"Silicone","",IFERROR(XLOOKUP(D1064,#REF!,#REF!),""))</f>
        <v/>
      </c>
      <c r="J1064" s="7" t="str">
        <f ca="1">IFERROR(XLOOKUP(D1064,'Spec_Single_H&amp;S'!B:B,'Spec_Single_H&amp;S'!E:E),
IFERROR(XLOOKUP(D1064,#REF!,#REF!),""))</f>
        <v/>
      </c>
      <c r="K1064" s="7" t="str">
        <f ca="1">IFERROR(XLOOKUP(D1064,'Spec_Single_H&amp;S'!B:B,'Spec_Single_H&amp;S'!F:F),
IFERROR(XLOOKUP(D1064,#REF!,#REF!),""))</f>
        <v/>
      </c>
      <c r="L1064" s="7" t="str">
        <f t="shared" ca="1" si="38"/>
        <v/>
      </c>
    </row>
    <row r="1065" spans="8:12" x14ac:dyDescent="0.3">
      <c r="H1065" s="7" t="str">
        <f>IF(B1065&lt;&gt;"Silicone","",IFERROR(XLOOKUP(D1065,#REF!,#REF!),""))</f>
        <v/>
      </c>
      <c r="J1065" s="7" t="str">
        <f ca="1">IFERROR(XLOOKUP(D1065,'Spec_Single_H&amp;S'!B:B,'Spec_Single_H&amp;S'!E:E),
IFERROR(XLOOKUP(D1065,#REF!,#REF!),""))</f>
        <v/>
      </c>
      <c r="K1065" s="7" t="str">
        <f ca="1">IFERROR(XLOOKUP(D1065,'Spec_Single_H&amp;S'!B:B,'Spec_Single_H&amp;S'!F:F),
IFERROR(XLOOKUP(D1065,#REF!,#REF!),""))</f>
        <v/>
      </c>
      <c r="L1065" s="7" t="str">
        <f t="shared" ca="1" si="38"/>
        <v/>
      </c>
    </row>
    <row r="1066" spans="8:12" x14ac:dyDescent="0.3">
      <c r="H1066" s="7" t="str">
        <f>IF(B1066&lt;&gt;"Silicone","",IFERROR(XLOOKUP(D1066,#REF!,#REF!),""))</f>
        <v/>
      </c>
      <c r="J1066" s="7" t="str">
        <f ca="1">IFERROR(XLOOKUP(D1066,'Spec_Single_H&amp;S'!B:B,'Spec_Single_H&amp;S'!E:E),
IFERROR(XLOOKUP(D1066,#REF!,#REF!),""))</f>
        <v/>
      </c>
      <c r="K1066" s="7" t="str">
        <f ca="1">IFERROR(XLOOKUP(D1066,'Spec_Single_H&amp;S'!B:B,'Spec_Single_H&amp;S'!F:F),
IFERROR(XLOOKUP(D1066,#REF!,#REF!),""))</f>
        <v/>
      </c>
      <c r="L1066" s="7" t="str">
        <f t="shared" ca="1" si="38"/>
        <v/>
      </c>
    </row>
    <row r="1067" spans="8:12" x14ac:dyDescent="0.3">
      <c r="H1067" s="7" t="str">
        <f>IF(B1067&lt;&gt;"Silicone","",IFERROR(XLOOKUP(D1067,#REF!,#REF!),""))</f>
        <v/>
      </c>
      <c r="J1067" s="7" t="str">
        <f ca="1">IFERROR(XLOOKUP(D1067,'Spec_Single_H&amp;S'!B:B,'Spec_Single_H&amp;S'!E:E),
IFERROR(XLOOKUP(D1067,#REF!,#REF!),""))</f>
        <v/>
      </c>
      <c r="K1067" s="7" t="str">
        <f ca="1">IFERROR(XLOOKUP(D1067,'Spec_Single_H&amp;S'!B:B,'Spec_Single_H&amp;S'!F:F),
IFERROR(XLOOKUP(D1067,#REF!,#REF!),""))</f>
        <v/>
      </c>
      <c r="L1067" s="7" t="str">
        <f t="shared" ca="1" si="38"/>
        <v/>
      </c>
    </row>
    <row r="1068" spans="8:12" x14ac:dyDescent="0.3">
      <c r="H1068" s="7" t="str">
        <f>IF(B1068&lt;&gt;"Silicone","",IFERROR(XLOOKUP(D1068,#REF!,#REF!),""))</f>
        <v/>
      </c>
      <c r="J1068" s="7" t="str">
        <f ca="1">IFERROR(XLOOKUP(D1068,'Spec_Single_H&amp;S'!B:B,'Spec_Single_H&amp;S'!E:E),
IFERROR(XLOOKUP(D1068,#REF!,#REF!),""))</f>
        <v/>
      </c>
      <c r="K1068" s="7" t="str">
        <f ca="1">IFERROR(XLOOKUP(D1068,'Spec_Single_H&amp;S'!B:B,'Spec_Single_H&amp;S'!F:F),
IFERROR(XLOOKUP(D1068,#REF!,#REF!),""))</f>
        <v/>
      </c>
      <c r="L1068" s="7" t="str">
        <f t="shared" ca="1" si="38"/>
        <v/>
      </c>
    </row>
    <row r="1069" spans="8:12" x14ac:dyDescent="0.3">
      <c r="H1069" s="7" t="str">
        <f>IF(B1069&lt;&gt;"Silicone","",IFERROR(XLOOKUP(D1069,#REF!,#REF!),""))</f>
        <v/>
      </c>
      <c r="J1069" s="7" t="str">
        <f ca="1">IFERROR(XLOOKUP(D1069,'Spec_Single_H&amp;S'!B:B,'Spec_Single_H&amp;S'!E:E),
IFERROR(XLOOKUP(D1069,#REF!,#REF!),""))</f>
        <v/>
      </c>
      <c r="K1069" s="7" t="str">
        <f ca="1">IFERROR(XLOOKUP(D1069,'Spec_Single_H&amp;S'!B:B,'Spec_Single_H&amp;S'!F:F),
IFERROR(XLOOKUP(D1069,#REF!,#REF!),""))</f>
        <v/>
      </c>
      <c r="L1069" s="7" t="str">
        <f t="shared" ca="1" si="38"/>
        <v/>
      </c>
    </row>
    <row r="1070" spans="8:12" x14ac:dyDescent="0.3">
      <c r="H1070" s="7" t="str">
        <f>IF(B1070&lt;&gt;"Silicone","",IFERROR(XLOOKUP(D1070,#REF!,#REF!),""))</f>
        <v/>
      </c>
      <c r="J1070" s="7" t="str">
        <f ca="1">IFERROR(XLOOKUP(D1070,'Spec_Single_H&amp;S'!B:B,'Spec_Single_H&amp;S'!E:E),
IFERROR(XLOOKUP(D1070,#REF!,#REF!),""))</f>
        <v/>
      </c>
      <c r="K1070" s="7" t="str">
        <f ca="1">IFERROR(XLOOKUP(D1070,'Spec_Single_H&amp;S'!B:B,'Spec_Single_H&amp;S'!F:F),
IFERROR(XLOOKUP(D1070,#REF!,#REF!),""))</f>
        <v/>
      </c>
      <c r="L1070" s="7" t="str">
        <f t="shared" ca="1" si="38"/>
        <v/>
      </c>
    </row>
    <row r="1071" spans="8:12" x14ac:dyDescent="0.3">
      <c r="H1071" s="7" t="str">
        <f>IF(B1071&lt;&gt;"Silicone","",IFERROR(XLOOKUP(D1071,#REF!,#REF!),""))</f>
        <v/>
      </c>
      <c r="J1071" s="7" t="str">
        <f ca="1">IFERROR(XLOOKUP(D1071,'Spec_Single_H&amp;S'!B:B,'Spec_Single_H&amp;S'!E:E),
IFERROR(XLOOKUP(D1071,#REF!,#REF!),""))</f>
        <v/>
      </c>
      <c r="K1071" s="7" t="str">
        <f ca="1">IFERROR(XLOOKUP(D1071,'Spec_Single_H&amp;S'!B:B,'Spec_Single_H&amp;S'!F:F),
IFERROR(XLOOKUP(D1071,#REF!,#REF!),""))</f>
        <v/>
      </c>
      <c r="L1071" s="7" t="str">
        <f t="shared" ca="1" si="38"/>
        <v/>
      </c>
    </row>
    <row r="1072" spans="8:12" x14ac:dyDescent="0.3">
      <c r="H1072" s="7" t="str">
        <f>IF(B1072&lt;&gt;"Silicone","",IFERROR(XLOOKUP(D1072,#REF!,#REF!),""))</f>
        <v/>
      </c>
      <c r="J1072" s="7" t="str">
        <f ca="1">IFERROR(XLOOKUP(D1072,'Spec_Single_H&amp;S'!B:B,'Spec_Single_H&amp;S'!E:E),
IFERROR(XLOOKUP(D1072,#REF!,#REF!),""))</f>
        <v/>
      </c>
      <c r="K1072" s="7" t="str">
        <f ca="1">IFERROR(XLOOKUP(D1072,'Spec_Single_H&amp;S'!B:B,'Spec_Single_H&amp;S'!F:F),
IFERROR(XLOOKUP(D1072,#REF!,#REF!),""))</f>
        <v/>
      </c>
      <c r="L1072" s="7" t="str">
        <f t="shared" ca="1" si="38"/>
        <v/>
      </c>
    </row>
    <row r="1073" spans="8:12" x14ac:dyDescent="0.3">
      <c r="H1073" s="7" t="str">
        <f>IF(B1073&lt;&gt;"Silicone","",IFERROR(XLOOKUP(D1073,#REF!,#REF!),""))</f>
        <v/>
      </c>
      <c r="J1073" s="7" t="str">
        <f ca="1">IFERROR(XLOOKUP(D1073,'Spec_Single_H&amp;S'!B:B,'Spec_Single_H&amp;S'!E:E),
IFERROR(XLOOKUP(D1073,#REF!,#REF!),""))</f>
        <v/>
      </c>
      <c r="K1073" s="7" t="str">
        <f ca="1">IFERROR(XLOOKUP(D1073,'Spec_Single_H&amp;S'!B:B,'Spec_Single_H&amp;S'!F:F),
IFERROR(XLOOKUP(D1073,#REF!,#REF!),""))</f>
        <v/>
      </c>
      <c r="L1073" s="7" t="str">
        <f t="shared" ca="1" si="38"/>
        <v/>
      </c>
    </row>
    <row r="1074" spans="8:12" x14ac:dyDescent="0.3">
      <c r="H1074" s="7" t="str">
        <f>IF(B1074&lt;&gt;"Silicone","",IFERROR(XLOOKUP(D1074,#REF!,#REF!),""))</f>
        <v/>
      </c>
      <c r="J1074" s="7" t="str">
        <f ca="1">IFERROR(XLOOKUP(D1074,'Spec_Single_H&amp;S'!B:B,'Spec_Single_H&amp;S'!E:E),
IFERROR(XLOOKUP(D1074,#REF!,#REF!),""))</f>
        <v/>
      </c>
      <c r="K1074" s="7" t="str">
        <f ca="1">IFERROR(XLOOKUP(D1074,'Spec_Single_H&amp;S'!B:B,'Spec_Single_H&amp;S'!F:F),
IFERROR(XLOOKUP(D1074,#REF!,#REF!),""))</f>
        <v/>
      </c>
      <c r="L1074" s="7" t="str">
        <f t="shared" ca="1" si="38"/>
        <v/>
      </c>
    </row>
    <row r="1075" spans="8:12" x14ac:dyDescent="0.3">
      <c r="H1075" s="7" t="str">
        <f>IF(B1075&lt;&gt;"Silicone","",IFERROR(XLOOKUP(D1075,#REF!,#REF!),""))</f>
        <v/>
      </c>
      <c r="J1075" s="7" t="str">
        <f ca="1">IFERROR(XLOOKUP(D1075,'Spec_Single_H&amp;S'!B:B,'Spec_Single_H&amp;S'!E:E),
IFERROR(XLOOKUP(D1075,#REF!,#REF!),""))</f>
        <v/>
      </c>
      <c r="K1075" s="7" t="str">
        <f ca="1">IFERROR(XLOOKUP(D1075,'Spec_Single_H&amp;S'!B:B,'Spec_Single_H&amp;S'!F:F),
IFERROR(XLOOKUP(D1075,#REF!,#REF!),""))</f>
        <v/>
      </c>
      <c r="L1075" s="7" t="str">
        <f t="shared" ca="1" si="38"/>
        <v/>
      </c>
    </row>
    <row r="1076" spans="8:12" x14ac:dyDescent="0.3">
      <c r="H1076" s="7" t="str">
        <f>IF(B1076&lt;&gt;"Silicone","",IFERROR(XLOOKUP(D1076,#REF!,#REF!),""))</f>
        <v/>
      </c>
      <c r="J1076" s="7" t="str">
        <f ca="1">IFERROR(XLOOKUP(D1076,'Spec_Single_H&amp;S'!B:B,'Spec_Single_H&amp;S'!E:E),
IFERROR(XLOOKUP(D1076,#REF!,#REF!),""))</f>
        <v/>
      </c>
      <c r="K1076" s="7" t="str">
        <f ca="1">IFERROR(XLOOKUP(D1076,'Spec_Single_H&amp;S'!B:B,'Spec_Single_H&amp;S'!F:F),
IFERROR(XLOOKUP(D1076,#REF!,#REF!),""))</f>
        <v/>
      </c>
      <c r="L1076" s="7" t="str">
        <f t="shared" ca="1" si="38"/>
        <v/>
      </c>
    </row>
    <row r="1077" spans="8:12" x14ac:dyDescent="0.3">
      <c r="H1077" s="7" t="str">
        <f>IF(B1077&lt;&gt;"Silicone","",IFERROR(XLOOKUP(D1077,#REF!,#REF!),""))</f>
        <v/>
      </c>
      <c r="J1077" s="7" t="str">
        <f ca="1">IFERROR(XLOOKUP(D1077,'Spec_Single_H&amp;S'!B:B,'Spec_Single_H&amp;S'!E:E),
IFERROR(XLOOKUP(D1077,#REF!,#REF!),""))</f>
        <v/>
      </c>
      <c r="K1077" s="7" t="str">
        <f ca="1">IFERROR(XLOOKUP(D1077,'Spec_Single_H&amp;S'!B:B,'Spec_Single_H&amp;S'!F:F),
IFERROR(XLOOKUP(D1077,#REF!,#REF!),""))</f>
        <v/>
      </c>
      <c r="L1077" s="7" t="str">
        <f t="shared" ca="1" si="38"/>
        <v/>
      </c>
    </row>
    <row r="1078" spans="8:12" x14ac:dyDescent="0.3">
      <c r="H1078" s="7" t="str">
        <f>IF(B1078&lt;&gt;"Silicone","",IFERROR(XLOOKUP(D1078,#REF!,#REF!),""))</f>
        <v/>
      </c>
      <c r="J1078" s="7" t="str">
        <f ca="1">IFERROR(XLOOKUP(D1078,'Spec_Single_H&amp;S'!B:B,'Spec_Single_H&amp;S'!E:E),
IFERROR(XLOOKUP(D1078,#REF!,#REF!),""))</f>
        <v/>
      </c>
      <c r="K1078" s="7" t="str">
        <f ca="1">IFERROR(XLOOKUP(D1078,'Spec_Single_H&amp;S'!B:B,'Spec_Single_H&amp;S'!F:F),
IFERROR(XLOOKUP(D1078,#REF!,#REF!),""))</f>
        <v/>
      </c>
      <c r="L1078" s="7" t="str">
        <f t="shared" ca="1" si="38"/>
        <v/>
      </c>
    </row>
    <row r="1079" spans="8:12" x14ac:dyDescent="0.3">
      <c r="H1079" s="7" t="str">
        <f>IF(B1079&lt;&gt;"Silicone","",IFERROR(XLOOKUP(D1079,#REF!,#REF!),""))</f>
        <v/>
      </c>
      <c r="J1079" s="7" t="str">
        <f ca="1">IFERROR(XLOOKUP(D1079,'Spec_Single_H&amp;S'!B:B,'Spec_Single_H&amp;S'!E:E),
IFERROR(XLOOKUP(D1079,#REF!,#REF!),""))</f>
        <v/>
      </c>
      <c r="K1079" s="7" t="str">
        <f ca="1">IFERROR(XLOOKUP(D1079,'Spec_Single_H&amp;S'!B:B,'Spec_Single_H&amp;S'!F:F),
IFERROR(XLOOKUP(D1079,#REF!,#REF!),""))</f>
        <v/>
      </c>
      <c r="L1079" s="7" t="str">
        <f t="shared" ca="1" si="38"/>
        <v/>
      </c>
    </row>
    <row r="1080" spans="8:12" x14ac:dyDescent="0.3">
      <c r="H1080" s="7" t="str">
        <f>IF(B1080&lt;&gt;"Silicone","",IFERROR(XLOOKUP(D1080,#REF!,#REF!),""))</f>
        <v/>
      </c>
      <c r="J1080" s="7" t="str">
        <f ca="1">IFERROR(XLOOKUP(D1080,'Spec_Single_H&amp;S'!B:B,'Spec_Single_H&amp;S'!E:E),
IFERROR(XLOOKUP(D1080,#REF!,#REF!),""))</f>
        <v/>
      </c>
      <c r="K1080" s="7" t="str">
        <f ca="1">IFERROR(XLOOKUP(D1080,'Spec_Single_H&amp;S'!B:B,'Spec_Single_H&amp;S'!F:F),
IFERROR(XLOOKUP(D1080,#REF!,#REF!),""))</f>
        <v/>
      </c>
      <c r="L1080" s="7" t="str">
        <f t="shared" ca="1" si="38"/>
        <v/>
      </c>
    </row>
    <row r="1081" spans="8:12" x14ac:dyDescent="0.3">
      <c r="H1081" s="7" t="str">
        <f>IF(B1081&lt;&gt;"Silicone","",IFERROR(XLOOKUP(D1081,#REF!,#REF!),""))</f>
        <v/>
      </c>
      <c r="J1081" s="7" t="str">
        <f ca="1">IFERROR(XLOOKUP(D1081,'Spec_Single_H&amp;S'!B:B,'Spec_Single_H&amp;S'!E:E),
IFERROR(XLOOKUP(D1081,#REF!,#REF!),""))</f>
        <v/>
      </c>
      <c r="K1081" s="7" t="str">
        <f ca="1">IFERROR(XLOOKUP(D1081,'Spec_Single_H&amp;S'!B:B,'Spec_Single_H&amp;S'!F:F),
IFERROR(XLOOKUP(D1081,#REF!,#REF!),""))</f>
        <v/>
      </c>
      <c r="L1081" s="7" t="str">
        <f t="shared" ca="1" si="38"/>
        <v/>
      </c>
    </row>
    <row r="1082" spans="8:12" x14ac:dyDescent="0.3">
      <c r="H1082" s="7" t="str">
        <f>IF(B1082&lt;&gt;"Silicone","",IFERROR(XLOOKUP(D1082,#REF!,#REF!),""))</f>
        <v/>
      </c>
      <c r="J1082" s="7" t="str">
        <f ca="1">IFERROR(XLOOKUP(D1082,'Spec_Single_H&amp;S'!B:B,'Spec_Single_H&amp;S'!E:E),
IFERROR(XLOOKUP(D1082,#REF!,#REF!),""))</f>
        <v/>
      </c>
      <c r="K1082" s="7" t="str">
        <f ca="1">IFERROR(XLOOKUP(D1082,'Spec_Single_H&amp;S'!B:B,'Spec_Single_H&amp;S'!F:F),
IFERROR(XLOOKUP(D1082,#REF!,#REF!),""))</f>
        <v/>
      </c>
      <c r="L1082" s="7" t="str">
        <f t="shared" ca="1" si="38"/>
        <v/>
      </c>
    </row>
    <row r="1083" spans="8:12" x14ac:dyDescent="0.3">
      <c r="H1083" s="7" t="str">
        <f>IF(B1083&lt;&gt;"Silicone","",IFERROR(XLOOKUP(D1083,#REF!,#REF!),""))</f>
        <v/>
      </c>
      <c r="J1083" s="7" t="str">
        <f ca="1">IFERROR(XLOOKUP(D1083,'Spec_Single_H&amp;S'!B:B,'Spec_Single_H&amp;S'!E:E),
IFERROR(XLOOKUP(D1083,#REF!,#REF!),""))</f>
        <v/>
      </c>
      <c r="K1083" s="7" t="str">
        <f ca="1">IFERROR(XLOOKUP(D1083,'Spec_Single_H&amp;S'!B:B,'Spec_Single_H&amp;S'!F:F),
IFERROR(XLOOKUP(D1083,#REF!,#REF!),""))</f>
        <v/>
      </c>
      <c r="L1083" s="7" t="str">
        <f t="shared" ca="1" si="38"/>
        <v/>
      </c>
    </row>
    <row r="1084" spans="8:12" x14ac:dyDescent="0.3">
      <c r="H1084" s="7" t="str">
        <f>IF(B1084&lt;&gt;"Silicone","",IFERROR(XLOOKUP(D1084,#REF!,#REF!),""))</f>
        <v/>
      </c>
      <c r="J1084" s="7" t="str">
        <f ca="1">IFERROR(XLOOKUP(D1084,'Spec_Single_H&amp;S'!B:B,'Spec_Single_H&amp;S'!E:E),
IFERROR(XLOOKUP(D1084,#REF!,#REF!),""))</f>
        <v/>
      </c>
      <c r="K1084" s="7" t="str">
        <f ca="1">IFERROR(XLOOKUP(D1084,'Spec_Single_H&amp;S'!B:B,'Spec_Single_H&amp;S'!F:F),
IFERROR(XLOOKUP(D1084,#REF!,#REF!),""))</f>
        <v/>
      </c>
      <c r="L1084" s="7" t="str">
        <f t="shared" ca="1" si="38"/>
        <v/>
      </c>
    </row>
    <row r="1085" spans="8:12" x14ac:dyDescent="0.3">
      <c r="H1085" s="7" t="str">
        <f>IF(B1085&lt;&gt;"Silicone","",IFERROR(XLOOKUP(D1085,#REF!,#REF!),""))</f>
        <v/>
      </c>
      <c r="J1085" s="7" t="str">
        <f ca="1">IFERROR(XLOOKUP(D1085,'Spec_Single_H&amp;S'!B:B,'Spec_Single_H&amp;S'!E:E),
IFERROR(XLOOKUP(D1085,#REF!,#REF!),""))</f>
        <v/>
      </c>
      <c r="K1085" s="7" t="str">
        <f ca="1">IFERROR(XLOOKUP(D1085,'Spec_Single_H&amp;S'!B:B,'Spec_Single_H&amp;S'!F:F),
IFERROR(XLOOKUP(D1085,#REF!,#REF!),""))</f>
        <v/>
      </c>
      <c r="L1085" s="7" t="str">
        <f t="shared" ca="1" si="38"/>
        <v/>
      </c>
    </row>
    <row r="1086" spans="8:12" x14ac:dyDescent="0.3">
      <c r="H1086" s="7" t="str">
        <f>IF(B1086&lt;&gt;"Silicone","",IFERROR(XLOOKUP(D1086,#REF!,#REF!),""))</f>
        <v/>
      </c>
      <c r="J1086" s="7" t="str">
        <f ca="1">IFERROR(XLOOKUP(D1086,'Spec_Single_H&amp;S'!B:B,'Spec_Single_H&amp;S'!E:E),
IFERROR(XLOOKUP(D1086,#REF!,#REF!),""))</f>
        <v/>
      </c>
      <c r="K1086" s="7" t="str">
        <f ca="1">IFERROR(XLOOKUP(D1086,'Spec_Single_H&amp;S'!B:B,'Spec_Single_H&amp;S'!F:F),
IFERROR(XLOOKUP(D1086,#REF!,#REF!),""))</f>
        <v/>
      </c>
      <c r="L1086" s="7" t="str">
        <f t="shared" ca="1" si="38"/>
        <v/>
      </c>
    </row>
    <row r="1087" spans="8:12" x14ac:dyDescent="0.3">
      <c r="H1087" s="7" t="str">
        <f>IF(B1087&lt;&gt;"Silicone","",IFERROR(XLOOKUP(D1087,#REF!,#REF!),""))</f>
        <v/>
      </c>
      <c r="J1087" s="7" t="str">
        <f ca="1">IFERROR(XLOOKUP(D1087,'Spec_Single_H&amp;S'!B:B,'Spec_Single_H&amp;S'!E:E),
IFERROR(XLOOKUP(D1087,#REF!,#REF!),""))</f>
        <v/>
      </c>
      <c r="K1087" s="7" t="str">
        <f ca="1">IFERROR(XLOOKUP(D1087,'Spec_Single_H&amp;S'!B:B,'Spec_Single_H&amp;S'!F:F),
IFERROR(XLOOKUP(D1087,#REF!,#REF!),""))</f>
        <v/>
      </c>
      <c r="L1087" s="7" t="str">
        <f t="shared" ca="1" si="38"/>
        <v/>
      </c>
    </row>
    <row r="1088" spans="8:12" x14ac:dyDescent="0.3">
      <c r="H1088" s="7" t="str">
        <f>IF(B1088&lt;&gt;"Silicone","",IFERROR(XLOOKUP(D1088,#REF!,#REF!),""))</f>
        <v/>
      </c>
      <c r="J1088" s="7" t="str">
        <f ca="1">IFERROR(XLOOKUP(D1088,'Spec_Single_H&amp;S'!B:B,'Spec_Single_H&amp;S'!E:E),
IFERROR(XLOOKUP(D1088,#REF!,#REF!),""))</f>
        <v/>
      </c>
      <c r="K1088" s="7" t="str">
        <f ca="1">IFERROR(XLOOKUP(D1088,'Spec_Single_H&amp;S'!B:B,'Spec_Single_H&amp;S'!F:F),
IFERROR(XLOOKUP(D1088,#REF!,#REF!),""))</f>
        <v/>
      </c>
      <c r="L1088" s="7" t="str">
        <f t="shared" ca="1" si="38"/>
        <v/>
      </c>
    </row>
    <row r="1089" spans="8:12" x14ac:dyDescent="0.3">
      <c r="H1089" s="7" t="str">
        <f>IF(B1089&lt;&gt;"Silicone","",IFERROR(XLOOKUP(D1089,#REF!,#REF!),""))</f>
        <v/>
      </c>
      <c r="J1089" s="7" t="str">
        <f ca="1">IFERROR(XLOOKUP(D1089,'Spec_Single_H&amp;S'!B:B,'Spec_Single_H&amp;S'!E:E),
IFERROR(XLOOKUP(D1089,#REF!,#REF!),""))</f>
        <v/>
      </c>
      <c r="K1089" s="7" t="str">
        <f ca="1">IFERROR(XLOOKUP(D1089,'Spec_Single_H&amp;S'!B:B,'Spec_Single_H&amp;S'!F:F),
IFERROR(XLOOKUP(D1089,#REF!,#REF!),""))</f>
        <v/>
      </c>
      <c r="L1089" s="7" t="str">
        <f t="shared" ca="1" si="38"/>
        <v/>
      </c>
    </row>
    <row r="1090" spans="8:12" x14ac:dyDescent="0.3">
      <c r="H1090" s="7" t="str">
        <f>IF(B1090&lt;&gt;"Silicone","",IFERROR(XLOOKUP(D1090,#REF!,#REF!),""))</f>
        <v/>
      </c>
      <c r="J1090" s="7" t="str">
        <f ca="1">IFERROR(XLOOKUP(D1090,'Spec_Single_H&amp;S'!B:B,'Spec_Single_H&amp;S'!E:E),
IFERROR(XLOOKUP(D1090,#REF!,#REF!),""))</f>
        <v/>
      </c>
      <c r="K1090" s="7" t="str">
        <f ca="1">IFERROR(XLOOKUP(D1090,'Spec_Single_H&amp;S'!B:B,'Spec_Single_H&amp;S'!F:F),
IFERROR(XLOOKUP(D1090,#REF!,#REF!),""))</f>
        <v/>
      </c>
      <c r="L1090" s="7" t="str">
        <f t="shared" ca="1" si="38"/>
        <v/>
      </c>
    </row>
    <row r="1091" spans="8:12" x14ac:dyDescent="0.3">
      <c r="H1091" s="7" t="str">
        <f>IF(B1091&lt;&gt;"Silicone","",IFERROR(XLOOKUP(D1091,#REF!,#REF!),""))</f>
        <v/>
      </c>
      <c r="J1091" s="7" t="str">
        <f ca="1">IFERROR(XLOOKUP(D1091,'Spec_Single_H&amp;S'!B:B,'Spec_Single_H&amp;S'!E:E),
IFERROR(XLOOKUP(D1091,#REF!,#REF!),""))</f>
        <v/>
      </c>
      <c r="K1091" s="7" t="str">
        <f ca="1">IFERROR(XLOOKUP(D1091,'Spec_Single_H&amp;S'!B:B,'Spec_Single_H&amp;S'!F:F),
IFERROR(XLOOKUP(D1091,#REF!,#REF!),""))</f>
        <v/>
      </c>
      <c r="L1091" s="7" t="str">
        <f t="shared" ca="1" si="38"/>
        <v/>
      </c>
    </row>
    <row r="1092" spans="8:12" x14ac:dyDescent="0.3">
      <c r="H1092" s="7" t="str">
        <f>IF(B1092&lt;&gt;"Silicone","",IFERROR(XLOOKUP(D1092,#REF!,#REF!),""))</f>
        <v/>
      </c>
      <c r="J1092" s="7" t="str">
        <f ca="1">IFERROR(XLOOKUP(D1092,'Spec_Single_H&amp;S'!B:B,'Spec_Single_H&amp;S'!E:E),
IFERROR(XLOOKUP(D1092,#REF!,#REF!),""))</f>
        <v/>
      </c>
      <c r="K1092" s="7" t="str">
        <f ca="1">IFERROR(XLOOKUP(D1092,'Spec_Single_H&amp;S'!B:B,'Spec_Single_H&amp;S'!F:F),
IFERROR(XLOOKUP(D1092,#REF!,#REF!),""))</f>
        <v/>
      </c>
      <c r="L1092" s="7" t="str">
        <f t="shared" ca="1" si="38"/>
        <v/>
      </c>
    </row>
    <row r="1093" spans="8:12" x14ac:dyDescent="0.3">
      <c r="H1093" s="7" t="str">
        <f>IF(B1093&lt;&gt;"Silicone","",IFERROR(XLOOKUP(D1093,#REF!,#REF!),""))</f>
        <v/>
      </c>
      <c r="J1093" s="7" t="str">
        <f ca="1">IFERROR(XLOOKUP(D1093,'Spec_Single_H&amp;S'!B:B,'Spec_Single_H&amp;S'!E:E),
IFERROR(XLOOKUP(D1093,#REF!,#REF!),""))</f>
        <v/>
      </c>
      <c r="K1093" s="7" t="str">
        <f ca="1">IFERROR(XLOOKUP(D1093,'Spec_Single_H&amp;S'!B:B,'Spec_Single_H&amp;S'!F:F),
IFERROR(XLOOKUP(D1093,#REF!,#REF!),""))</f>
        <v/>
      </c>
      <c r="L1093" s="7" t="str">
        <f t="shared" ca="1" si="38"/>
        <v/>
      </c>
    </row>
    <row r="1094" spans="8:12" x14ac:dyDescent="0.3">
      <c r="H1094" s="7" t="str">
        <f>IF(B1094&lt;&gt;"Silicone","",IFERROR(XLOOKUP(D1094,#REF!,#REF!),""))</f>
        <v/>
      </c>
      <c r="J1094" s="7" t="str">
        <f ca="1">IFERROR(XLOOKUP(D1094,'Spec_Single_H&amp;S'!B:B,'Spec_Single_H&amp;S'!E:E),
IFERROR(XLOOKUP(D1094,#REF!,#REF!),""))</f>
        <v/>
      </c>
      <c r="K1094" s="7" t="str">
        <f ca="1">IFERROR(XLOOKUP(D1094,'Spec_Single_H&amp;S'!B:B,'Spec_Single_H&amp;S'!F:F),
IFERROR(XLOOKUP(D1094,#REF!,#REF!),""))</f>
        <v/>
      </c>
      <c r="L1094" s="7" t="str">
        <f t="shared" ca="1" si="38"/>
        <v/>
      </c>
    </row>
    <row r="1095" spans="8:12" x14ac:dyDescent="0.3">
      <c r="H1095" s="7" t="str">
        <f>IF(B1095&lt;&gt;"Silicone","",IFERROR(XLOOKUP(D1095,#REF!,#REF!),""))</f>
        <v/>
      </c>
      <c r="J1095" s="7" t="str">
        <f ca="1">IFERROR(XLOOKUP(D1095,'Spec_Single_H&amp;S'!B:B,'Spec_Single_H&amp;S'!E:E),
IFERROR(XLOOKUP(D1095,#REF!,#REF!),""))</f>
        <v/>
      </c>
      <c r="K1095" s="7" t="str">
        <f ca="1">IFERROR(XLOOKUP(D1095,'Spec_Single_H&amp;S'!B:B,'Spec_Single_H&amp;S'!F:F),
IFERROR(XLOOKUP(D1095,#REF!,#REF!),""))</f>
        <v/>
      </c>
      <c r="L1095" s="7" t="str">
        <f t="shared" ca="1" si="38"/>
        <v/>
      </c>
    </row>
    <row r="1096" spans="8:12" x14ac:dyDescent="0.3">
      <c r="H1096" s="7" t="str">
        <f>IF(B1096&lt;&gt;"Silicone","",IFERROR(XLOOKUP(D1096,#REF!,#REF!),""))</f>
        <v/>
      </c>
      <c r="J1096" s="7" t="str">
        <f ca="1">IFERROR(XLOOKUP(D1096,'Spec_Single_H&amp;S'!B:B,'Spec_Single_H&amp;S'!E:E),
IFERROR(XLOOKUP(D1096,#REF!,#REF!),""))</f>
        <v/>
      </c>
      <c r="K1096" s="7" t="str">
        <f ca="1">IFERROR(XLOOKUP(D1096,'Spec_Single_H&amp;S'!B:B,'Spec_Single_H&amp;S'!F:F),
IFERROR(XLOOKUP(D1096,#REF!,#REF!),""))</f>
        <v/>
      </c>
      <c r="L1096" s="7" t="str">
        <f t="shared" ref="L1096:L1159" ca="1" si="39">IF(AND(NOT(ISBLANK(I1096)),I1096&gt;=J1096,I1096&lt;=K1096),"적합",IF(ISBLANK(I1096),"", "부적합"))</f>
        <v/>
      </c>
    </row>
    <row r="1097" spans="8:12" x14ac:dyDescent="0.3">
      <c r="H1097" s="7" t="str">
        <f>IF(B1097&lt;&gt;"Silicone","",IFERROR(XLOOKUP(D1097,#REF!,#REF!),""))</f>
        <v/>
      </c>
      <c r="J1097" s="7" t="str">
        <f ca="1">IFERROR(XLOOKUP(D1097,'Spec_Single_H&amp;S'!B:B,'Spec_Single_H&amp;S'!E:E),
IFERROR(XLOOKUP(D1097,#REF!,#REF!),""))</f>
        <v/>
      </c>
      <c r="K1097" s="7" t="str">
        <f ca="1">IFERROR(XLOOKUP(D1097,'Spec_Single_H&amp;S'!B:B,'Spec_Single_H&amp;S'!F:F),
IFERROR(XLOOKUP(D1097,#REF!,#REF!),""))</f>
        <v/>
      </c>
      <c r="L1097" s="7" t="str">
        <f t="shared" ca="1" si="39"/>
        <v/>
      </c>
    </row>
    <row r="1098" spans="8:12" x14ac:dyDescent="0.3">
      <c r="H1098" s="7" t="str">
        <f>IF(B1098&lt;&gt;"Silicone","",IFERROR(XLOOKUP(D1098,#REF!,#REF!),""))</f>
        <v/>
      </c>
      <c r="J1098" s="7" t="str">
        <f ca="1">IFERROR(XLOOKUP(D1098,'Spec_Single_H&amp;S'!B:B,'Spec_Single_H&amp;S'!E:E),
IFERROR(XLOOKUP(D1098,#REF!,#REF!),""))</f>
        <v/>
      </c>
      <c r="K1098" s="7" t="str">
        <f ca="1">IFERROR(XLOOKUP(D1098,'Spec_Single_H&amp;S'!B:B,'Spec_Single_H&amp;S'!F:F),
IFERROR(XLOOKUP(D1098,#REF!,#REF!),""))</f>
        <v/>
      </c>
      <c r="L1098" s="7" t="str">
        <f t="shared" ca="1" si="39"/>
        <v/>
      </c>
    </row>
    <row r="1099" spans="8:12" x14ac:dyDescent="0.3">
      <c r="H1099" s="7" t="str">
        <f>IF(B1099&lt;&gt;"Silicone","",IFERROR(XLOOKUP(D1099,#REF!,#REF!),""))</f>
        <v/>
      </c>
      <c r="J1099" s="7" t="str">
        <f ca="1">IFERROR(XLOOKUP(D1099,'Spec_Single_H&amp;S'!B:B,'Spec_Single_H&amp;S'!E:E),
IFERROR(XLOOKUP(D1099,#REF!,#REF!),""))</f>
        <v/>
      </c>
      <c r="K1099" s="7" t="str">
        <f ca="1">IFERROR(XLOOKUP(D1099,'Spec_Single_H&amp;S'!B:B,'Spec_Single_H&amp;S'!F:F),
IFERROR(XLOOKUP(D1099,#REF!,#REF!),""))</f>
        <v/>
      </c>
      <c r="L1099" s="7" t="str">
        <f t="shared" ca="1" si="39"/>
        <v/>
      </c>
    </row>
    <row r="1100" spans="8:12" x14ac:dyDescent="0.3">
      <c r="H1100" s="7" t="str">
        <f>IF(B1100&lt;&gt;"Silicone","",IFERROR(XLOOKUP(D1100,#REF!,#REF!),""))</f>
        <v/>
      </c>
      <c r="J1100" s="7" t="str">
        <f ca="1">IFERROR(XLOOKUP(D1100,'Spec_Single_H&amp;S'!B:B,'Spec_Single_H&amp;S'!E:E),
IFERROR(XLOOKUP(D1100,#REF!,#REF!),""))</f>
        <v/>
      </c>
      <c r="K1100" s="7" t="str">
        <f ca="1">IFERROR(XLOOKUP(D1100,'Spec_Single_H&amp;S'!B:B,'Spec_Single_H&amp;S'!F:F),
IFERROR(XLOOKUP(D1100,#REF!,#REF!),""))</f>
        <v/>
      </c>
      <c r="L1100" s="7" t="str">
        <f t="shared" ca="1" si="39"/>
        <v/>
      </c>
    </row>
    <row r="1101" spans="8:12" x14ac:dyDescent="0.3">
      <c r="H1101" s="7" t="str">
        <f>IF(B1101&lt;&gt;"Silicone","",IFERROR(XLOOKUP(D1101,#REF!,#REF!),""))</f>
        <v/>
      </c>
      <c r="J1101" s="7" t="str">
        <f ca="1">IFERROR(XLOOKUP(D1101,'Spec_Single_H&amp;S'!B:B,'Spec_Single_H&amp;S'!E:E),
IFERROR(XLOOKUP(D1101,#REF!,#REF!),""))</f>
        <v/>
      </c>
      <c r="K1101" s="7" t="str">
        <f ca="1">IFERROR(XLOOKUP(D1101,'Spec_Single_H&amp;S'!B:B,'Spec_Single_H&amp;S'!F:F),
IFERROR(XLOOKUP(D1101,#REF!,#REF!),""))</f>
        <v/>
      </c>
      <c r="L1101" s="7" t="str">
        <f t="shared" ca="1" si="39"/>
        <v/>
      </c>
    </row>
    <row r="1102" spans="8:12" x14ac:dyDescent="0.3">
      <c r="H1102" s="7" t="str">
        <f>IF(B1102&lt;&gt;"Silicone","",IFERROR(XLOOKUP(D1102,#REF!,#REF!),""))</f>
        <v/>
      </c>
      <c r="J1102" s="7" t="str">
        <f ca="1">IFERROR(XLOOKUP(D1102,'Spec_Single_H&amp;S'!B:B,'Spec_Single_H&amp;S'!E:E),
IFERROR(XLOOKUP(D1102,#REF!,#REF!),""))</f>
        <v/>
      </c>
      <c r="K1102" s="7" t="str">
        <f ca="1">IFERROR(XLOOKUP(D1102,'Spec_Single_H&amp;S'!B:B,'Spec_Single_H&amp;S'!F:F),
IFERROR(XLOOKUP(D1102,#REF!,#REF!),""))</f>
        <v/>
      </c>
      <c r="L1102" s="7" t="str">
        <f t="shared" ca="1" si="39"/>
        <v/>
      </c>
    </row>
    <row r="1103" spans="8:12" x14ac:dyDescent="0.3">
      <c r="H1103" s="7" t="str">
        <f>IF(B1103&lt;&gt;"Silicone","",IFERROR(XLOOKUP(D1103,#REF!,#REF!),""))</f>
        <v/>
      </c>
      <c r="J1103" s="7" t="str">
        <f ca="1">IFERROR(XLOOKUP(D1103,'Spec_Single_H&amp;S'!B:B,'Spec_Single_H&amp;S'!E:E),
IFERROR(XLOOKUP(D1103,#REF!,#REF!),""))</f>
        <v/>
      </c>
      <c r="K1103" s="7" t="str">
        <f ca="1">IFERROR(XLOOKUP(D1103,'Spec_Single_H&amp;S'!B:B,'Spec_Single_H&amp;S'!F:F),
IFERROR(XLOOKUP(D1103,#REF!,#REF!),""))</f>
        <v/>
      </c>
      <c r="L1103" s="7" t="str">
        <f t="shared" ca="1" si="39"/>
        <v/>
      </c>
    </row>
    <row r="1104" spans="8:12" x14ac:dyDescent="0.3">
      <c r="H1104" s="7" t="str">
        <f>IF(B1104&lt;&gt;"Silicone","",IFERROR(XLOOKUP(D1104,#REF!,#REF!),""))</f>
        <v/>
      </c>
      <c r="J1104" s="7" t="str">
        <f ca="1">IFERROR(XLOOKUP(D1104,'Spec_Single_H&amp;S'!B:B,'Spec_Single_H&amp;S'!E:E),
IFERROR(XLOOKUP(D1104,#REF!,#REF!),""))</f>
        <v/>
      </c>
      <c r="K1104" s="7" t="str">
        <f ca="1">IFERROR(XLOOKUP(D1104,'Spec_Single_H&amp;S'!B:B,'Spec_Single_H&amp;S'!F:F),
IFERROR(XLOOKUP(D1104,#REF!,#REF!),""))</f>
        <v/>
      </c>
      <c r="L1104" s="7" t="str">
        <f t="shared" ca="1" si="39"/>
        <v/>
      </c>
    </row>
    <row r="1105" spans="8:12" x14ac:dyDescent="0.3">
      <c r="H1105" s="7" t="str">
        <f>IF(B1105&lt;&gt;"Silicone","",IFERROR(XLOOKUP(D1105,#REF!,#REF!),""))</f>
        <v/>
      </c>
      <c r="J1105" s="7" t="str">
        <f ca="1">IFERROR(XLOOKUP(D1105,'Spec_Single_H&amp;S'!B:B,'Spec_Single_H&amp;S'!E:E),
IFERROR(XLOOKUP(D1105,#REF!,#REF!),""))</f>
        <v/>
      </c>
      <c r="K1105" s="7" t="str">
        <f ca="1">IFERROR(XLOOKUP(D1105,'Spec_Single_H&amp;S'!B:B,'Spec_Single_H&amp;S'!F:F),
IFERROR(XLOOKUP(D1105,#REF!,#REF!),""))</f>
        <v/>
      </c>
      <c r="L1105" s="7" t="str">
        <f t="shared" ca="1" si="39"/>
        <v/>
      </c>
    </row>
    <row r="1106" spans="8:12" x14ac:dyDescent="0.3">
      <c r="H1106" s="7" t="str">
        <f>IF(B1106&lt;&gt;"Silicone","",IFERROR(XLOOKUP(D1106,#REF!,#REF!),""))</f>
        <v/>
      </c>
      <c r="J1106" s="7" t="str">
        <f ca="1">IFERROR(XLOOKUP(D1106,'Spec_Single_H&amp;S'!B:B,'Spec_Single_H&amp;S'!E:E),
IFERROR(XLOOKUP(D1106,#REF!,#REF!),""))</f>
        <v/>
      </c>
      <c r="K1106" s="7" t="str">
        <f ca="1">IFERROR(XLOOKUP(D1106,'Spec_Single_H&amp;S'!B:B,'Spec_Single_H&amp;S'!F:F),
IFERROR(XLOOKUP(D1106,#REF!,#REF!),""))</f>
        <v/>
      </c>
      <c r="L1106" s="7" t="str">
        <f t="shared" ca="1" si="39"/>
        <v/>
      </c>
    </row>
    <row r="1107" spans="8:12" x14ac:dyDescent="0.3">
      <c r="H1107" s="7" t="str">
        <f>IF(B1107&lt;&gt;"Silicone","",IFERROR(XLOOKUP(D1107,#REF!,#REF!),""))</f>
        <v/>
      </c>
      <c r="J1107" s="7" t="str">
        <f ca="1">IFERROR(XLOOKUP(D1107,'Spec_Single_H&amp;S'!B:B,'Spec_Single_H&amp;S'!E:E),
IFERROR(XLOOKUP(D1107,#REF!,#REF!),""))</f>
        <v/>
      </c>
      <c r="K1107" s="7" t="str">
        <f ca="1">IFERROR(XLOOKUP(D1107,'Spec_Single_H&amp;S'!B:B,'Spec_Single_H&amp;S'!F:F),
IFERROR(XLOOKUP(D1107,#REF!,#REF!),""))</f>
        <v/>
      </c>
      <c r="L1107" s="7" t="str">
        <f t="shared" ca="1" si="39"/>
        <v/>
      </c>
    </row>
    <row r="1108" spans="8:12" x14ac:dyDescent="0.3">
      <c r="H1108" s="7" t="str">
        <f>IF(B1108&lt;&gt;"Silicone","",IFERROR(XLOOKUP(D1108,#REF!,#REF!),""))</f>
        <v/>
      </c>
      <c r="J1108" s="7" t="str">
        <f ca="1">IFERROR(XLOOKUP(D1108,'Spec_Single_H&amp;S'!B:B,'Spec_Single_H&amp;S'!E:E),
IFERROR(XLOOKUP(D1108,#REF!,#REF!),""))</f>
        <v/>
      </c>
      <c r="K1108" s="7" t="str">
        <f ca="1">IFERROR(XLOOKUP(D1108,'Spec_Single_H&amp;S'!B:B,'Spec_Single_H&amp;S'!F:F),
IFERROR(XLOOKUP(D1108,#REF!,#REF!),""))</f>
        <v/>
      </c>
      <c r="L1108" s="7" t="str">
        <f t="shared" ca="1" si="39"/>
        <v/>
      </c>
    </row>
    <row r="1109" spans="8:12" x14ac:dyDescent="0.3">
      <c r="H1109" s="7" t="str">
        <f>IF(B1109&lt;&gt;"Silicone","",IFERROR(XLOOKUP(D1109,#REF!,#REF!),""))</f>
        <v/>
      </c>
      <c r="J1109" s="7" t="str">
        <f ca="1">IFERROR(XLOOKUP(D1109,'Spec_Single_H&amp;S'!B:B,'Spec_Single_H&amp;S'!E:E),
IFERROR(XLOOKUP(D1109,#REF!,#REF!),""))</f>
        <v/>
      </c>
      <c r="K1109" s="7" t="str">
        <f ca="1">IFERROR(XLOOKUP(D1109,'Spec_Single_H&amp;S'!B:B,'Spec_Single_H&amp;S'!F:F),
IFERROR(XLOOKUP(D1109,#REF!,#REF!),""))</f>
        <v/>
      </c>
      <c r="L1109" s="7" t="str">
        <f t="shared" ca="1" si="39"/>
        <v/>
      </c>
    </row>
    <row r="1110" spans="8:12" x14ac:dyDescent="0.3">
      <c r="H1110" s="7" t="str">
        <f>IF(B1110&lt;&gt;"Silicone","",IFERROR(XLOOKUP(D1110,#REF!,#REF!),""))</f>
        <v/>
      </c>
      <c r="J1110" s="7" t="str">
        <f ca="1">IFERROR(XLOOKUP(D1110,'Spec_Single_H&amp;S'!B:B,'Spec_Single_H&amp;S'!E:E),
IFERROR(XLOOKUP(D1110,#REF!,#REF!),""))</f>
        <v/>
      </c>
      <c r="K1110" s="7" t="str">
        <f ca="1">IFERROR(XLOOKUP(D1110,'Spec_Single_H&amp;S'!B:B,'Spec_Single_H&amp;S'!F:F),
IFERROR(XLOOKUP(D1110,#REF!,#REF!),""))</f>
        <v/>
      </c>
      <c r="L1110" s="7" t="str">
        <f t="shared" ca="1" si="39"/>
        <v/>
      </c>
    </row>
    <row r="1111" spans="8:12" x14ac:dyDescent="0.3">
      <c r="H1111" s="7" t="str">
        <f>IF(B1111&lt;&gt;"Silicone","",IFERROR(XLOOKUP(D1111,#REF!,#REF!),""))</f>
        <v/>
      </c>
      <c r="J1111" s="7" t="str">
        <f ca="1">IFERROR(XLOOKUP(D1111,'Spec_Single_H&amp;S'!B:B,'Spec_Single_H&amp;S'!E:E),
IFERROR(XLOOKUP(D1111,#REF!,#REF!),""))</f>
        <v/>
      </c>
      <c r="K1111" s="7" t="str">
        <f ca="1">IFERROR(XLOOKUP(D1111,'Spec_Single_H&amp;S'!B:B,'Spec_Single_H&amp;S'!F:F),
IFERROR(XLOOKUP(D1111,#REF!,#REF!),""))</f>
        <v/>
      </c>
      <c r="L1111" s="7" t="str">
        <f t="shared" ca="1" si="39"/>
        <v/>
      </c>
    </row>
    <row r="1112" spans="8:12" x14ac:dyDescent="0.3">
      <c r="H1112" s="7" t="str">
        <f>IF(B1112&lt;&gt;"Silicone","",IFERROR(XLOOKUP(D1112,#REF!,#REF!),""))</f>
        <v/>
      </c>
      <c r="J1112" s="7" t="str">
        <f ca="1">IFERROR(XLOOKUP(D1112,'Spec_Single_H&amp;S'!B:B,'Spec_Single_H&amp;S'!E:E),
IFERROR(XLOOKUP(D1112,#REF!,#REF!),""))</f>
        <v/>
      </c>
      <c r="K1112" s="7" t="str">
        <f ca="1">IFERROR(XLOOKUP(D1112,'Spec_Single_H&amp;S'!B:B,'Spec_Single_H&amp;S'!F:F),
IFERROR(XLOOKUP(D1112,#REF!,#REF!),""))</f>
        <v/>
      </c>
      <c r="L1112" s="7" t="str">
        <f t="shared" ca="1" si="39"/>
        <v/>
      </c>
    </row>
    <row r="1113" spans="8:12" x14ac:dyDescent="0.3">
      <c r="H1113" s="7" t="str">
        <f>IF(B1113&lt;&gt;"Silicone","",IFERROR(XLOOKUP(D1113,#REF!,#REF!),""))</f>
        <v/>
      </c>
      <c r="J1113" s="7" t="str">
        <f ca="1">IFERROR(XLOOKUP(D1113,'Spec_Single_H&amp;S'!B:B,'Spec_Single_H&amp;S'!E:E),
IFERROR(XLOOKUP(D1113,#REF!,#REF!),""))</f>
        <v/>
      </c>
      <c r="K1113" s="7" t="str">
        <f ca="1">IFERROR(XLOOKUP(D1113,'Spec_Single_H&amp;S'!B:B,'Spec_Single_H&amp;S'!F:F),
IFERROR(XLOOKUP(D1113,#REF!,#REF!),""))</f>
        <v/>
      </c>
      <c r="L1113" s="7" t="str">
        <f t="shared" ca="1" si="39"/>
        <v/>
      </c>
    </row>
    <row r="1114" spans="8:12" x14ac:dyDescent="0.3">
      <c r="H1114" s="7" t="str">
        <f>IF(B1114&lt;&gt;"Silicone","",IFERROR(XLOOKUP(D1114,#REF!,#REF!),""))</f>
        <v/>
      </c>
      <c r="J1114" s="7" t="str">
        <f ca="1">IFERROR(XLOOKUP(D1114,'Spec_Single_H&amp;S'!B:B,'Spec_Single_H&amp;S'!E:E),
IFERROR(XLOOKUP(D1114,#REF!,#REF!),""))</f>
        <v/>
      </c>
      <c r="K1114" s="7" t="str">
        <f ca="1">IFERROR(XLOOKUP(D1114,'Spec_Single_H&amp;S'!B:B,'Spec_Single_H&amp;S'!F:F),
IFERROR(XLOOKUP(D1114,#REF!,#REF!),""))</f>
        <v/>
      </c>
      <c r="L1114" s="7" t="str">
        <f t="shared" ca="1" si="39"/>
        <v/>
      </c>
    </row>
    <row r="1115" spans="8:12" x14ac:dyDescent="0.3">
      <c r="H1115" s="7" t="str">
        <f>IF(B1115&lt;&gt;"Silicone","",IFERROR(XLOOKUP(D1115,#REF!,#REF!),""))</f>
        <v/>
      </c>
      <c r="J1115" s="7" t="str">
        <f ca="1">IFERROR(XLOOKUP(D1115,'Spec_Single_H&amp;S'!B:B,'Spec_Single_H&amp;S'!E:E),
IFERROR(XLOOKUP(D1115,#REF!,#REF!),""))</f>
        <v/>
      </c>
      <c r="K1115" s="7" t="str">
        <f ca="1">IFERROR(XLOOKUP(D1115,'Spec_Single_H&amp;S'!B:B,'Spec_Single_H&amp;S'!F:F),
IFERROR(XLOOKUP(D1115,#REF!,#REF!),""))</f>
        <v/>
      </c>
      <c r="L1115" s="7" t="str">
        <f t="shared" ca="1" si="39"/>
        <v/>
      </c>
    </row>
    <row r="1116" spans="8:12" x14ac:dyDescent="0.3">
      <c r="H1116" s="7" t="str">
        <f>IF(B1116&lt;&gt;"Silicone","",IFERROR(XLOOKUP(D1116,#REF!,#REF!),""))</f>
        <v/>
      </c>
      <c r="J1116" s="7" t="str">
        <f ca="1">IFERROR(XLOOKUP(D1116,'Spec_Single_H&amp;S'!B:B,'Spec_Single_H&amp;S'!E:E),
IFERROR(XLOOKUP(D1116,#REF!,#REF!),""))</f>
        <v/>
      </c>
      <c r="K1116" s="7" t="str">
        <f ca="1">IFERROR(XLOOKUP(D1116,'Spec_Single_H&amp;S'!B:B,'Spec_Single_H&amp;S'!F:F),
IFERROR(XLOOKUP(D1116,#REF!,#REF!),""))</f>
        <v/>
      </c>
      <c r="L1116" s="7" t="str">
        <f t="shared" ca="1" si="39"/>
        <v/>
      </c>
    </row>
    <row r="1117" spans="8:12" x14ac:dyDescent="0.3">
      <c r="H1117" s="7" t="str">
        <f>IF(B1117&lt;&gt;"Silicone","",IFERROR(XLOOKUP(D1117,#REF!,#REF!),""))</f>
        <v/>
      </c>
      <c r="J1117" s="7" t="str">
        <f ca="1">IFERROR(XLOOKUP(D1117,'Spec_Single_H&amp;S'!B:B,'Spec_Single_H&amp;S'!E:E),
IFERROR(XLOOKUP(D1117,#REF!,#REF!),""))</f>
        <v/>
      </c>
      <c r="K1117" s="7" t="str">
        <f ca="1">IFERROR(XLOOKUP(D1117,'Spec_Single_H&amp;S'!B:B,'Spec_Single_H&amp;S'!F:F),
IFERROR(XLOOKUP(D1117,#REF!,#REF!),""))</f>
        <v/>
      </c>
      <c r="L1117" s="7" t="str">
        <f t="shared" ca="1" si="39"/>
        <v/>
      </c>
    </row>
    <row r="1118" spans="8:12" x14ac:dyDescent="0.3">
      <c r="H1118" s="7" t="str">
        <f>IF(B1118&lt;&gt;"Silicone","",IFERROR(XLOOKUP(D1118,#REF!,#REF!),""))</f>
        <v/>
      </c>
      <c r="J1118" s="7" t="str">
        <f ca="1">IFERROR(XLOOKUP(D1118,'Spec_Single_H&amp;S'!B:B,'Spec_Single_H&amp;S'!E:E),
IFERROR(XLOOKUP(D1118,#REF!,#REF!),""))</f>
        <v/>
      </c>
      <c r="K1118" s="7" t="str">
        <f ca="1">IFERROR(XLOOKUP(D1118,'Spec_Single_H&amp;S'!B:B,'Spec_Single_H&amp;S'!F:F),
IFERROR(XLOOKUP(D1118,#REF!,#REF!),""))</f>
        <v/>
      </c>
      <c r="L1118" s="7" t="str">
        <f t="shared" ca="1" si="39"/>
        <v/>
      </c>
    </row>
    <row r="1119" spans="8:12" x14ac:dyDescent="0.3">
      <c r="H1119" s="7" t="str">
        <f>IF(B1119&lt;&gt;"Silicone","",IFERROR(XLOOKUP(D1119,#REF!,#REF!),""))</f>
        <v/>
      </c>
      <c r="J1119" s="7" t="str">
        <f ca="1">IFERROR(XLOOKUP(D1119,'Spec_Single_H&amp;S'!B:B,'Spec_Single_H&amp;S'!E:E),
IFERROR(XLOOKUP(D1119,#REF!,#REF!),""))</f>
        <v/>
      </c>
      <c r="K1119" s="7" t="str">
        <f ca="1">IFERROR(XLOOKUP(D1119,'Spec_Single_H&amp;S'!B:B,'Spec_Single_H&amp;S'!F:F),
IFERROR(XLOOKUP(D1119,#REF!,#REF!),""))</f>
        <v/>
      </c>
      <c r="L1119" s="7" t="str">
        <f t="shared" ca="1" si="39"/>
        <v/>
      </c>
    </row>
    <row r="1120" spans="8:12" x14ac:dyDescent="0.3">
      <c r="H1120" s="7" t="str">
        <f>IF(B1120&lt;&gt;"Silicone","",IFERROR(XLOOKUP(D1120,#REF!,#REF!),""))</f>
        <v/>
      </c>
      <c r="J1120" s="7" t="str">
        <f ca="1">IFERROR(XLOOKUP(D1120,'Spec_Single_H&amp;S'!B:B,'Spec_Single_H&amp;S'!E:E),
IFERROR(XLOOKUP(D1120,#REF!,#REF!),""))</f>
        <v/>
      </c>
      <c r="K1120" s="7" t="str">
        <f ca="1">IFERROR(XLOOKUP(D1120,'Spec_Single_H&amp;S'!B:B,'Spec_Single_H&amp;S'!F:F),
IFERROR(XLOOKUP(D1120,#REF!,#REF!),""))</f>
        <v/>
      </c>
      <c r="L1120" s="7" t="str">
        <f t="shared" ca="1" si="39"/>
        <v/>
      </c>
    </row>
    <row r="1121" spans="8:12" x14ac:dyDescent="0.3">
      <c r="H1121" s="7" t="str">
        <f>IF(B1121&lt;&gt;"Silicone","",IFERROR(XLOOKUP(D1121,#REF!,#REF!),""))</f>
        <v/>
      </c>
      <c r="J1121" s="7" t="str">
        <f ca="1">IFERROR(XLOOKUP(D1121,'Spec_Single_H&amp;S'!B:B,'Spec_Single_H&amp;S'!E:E),
IFERROR(XLOOKUP(D1121,#REF!,#REF!),""))</f>
        <v/>
      </c>
      <c r="K1121" s="7" t="str">
        <f ca="1">IFERROR(XLOOKUP(D1121,'Spec_Single_H&amp;S'!B:B,'Spec_Single_H&amp;S'!F:F),
IFERROR(XLOOKUP(D1121,#REF!,#REF!),""))</f>
        <v/>
      </c>
      <c r="L1121" s="7" t="str">
        <f t="shared" ca="1" si="39"/>
        <v/>
      </c>
    </row>
    <row r="1122" spans="8:12" x14ac:dyDescent="0.3">
      <c r="H1122" s="7" t="str">
        <f>IF(B1122&lt;&gt;"Silicone","",IFERROR(XLOOKUP(D1122,#REF!,#REF!),""))</f>
        <v/>
      </c>
      <c r="J1122" s="7" t="str">
        <f ca="1">IFERROR(XLOOKUP(D1122,'Spec_Single_H&amp;S'!B:B,'Spec_Single_H&amp;S'!E:E),
IFERROR(XLOOKUP(D1122,#REF!,#REF!),""))</f>
        <v/>
      </c>
      <c r="K1122" s="7" t="str">
        <f ca="1">IFERROR(XLOOKUP(D1122,'Spec_Single_H&amp;S'!B:B,'Spec_Single_H&amp;S'!F:F),
IFERROR(XLOOKUP(D1122,#REF!,#REF!),""))</f>
        <v/>
      </c>
      <c r="L1122" s="7" t="str">
        <f t="shared" ca="1" si="39"/>
        <v/>
      </c>
    </row>
    <row r="1123" spans="8:12" x14ac:dyDescent="0.3">
      <c r="H1123" s="7" t="str">
        <f>IF(B1123&lt;&gt;"Silicone","",IFERROR(XLOOKUP(D1123,#REF!,#REF!),""))</f>
        <v/>
      </c>
      <c r="J1123" s="7" t="str">
        <f ca="1">IFERROR(XLOOKUP(D1123,'Spec_Single_H&amp;S'!B:B,'Spec_Single_H&amp;S'!E:E),
IFERROR(XLOOKUP(D1123,#REF!,#REF!),""))</f>
        <v/>
      </c>
      <c r="K1123" s="7" t="str">
        <f ca="1">IFERROR(XLOOKUP(D1123,'Spec_Single_H&amp;S'!B:B,'Spec_Single_H&amp;S'!F:F),
IFERROR(XLOOKUP(D1123,#REF!,#REF!),""))</f>
        <v/>
      </c>
      <c r="L1123" s="7" t="str">
        <f t="shared" ca="1" si="39"/>
        <v/>
      </c>
    </row>
    <row r="1124" spans="8:12" x14ac:dyDescent="0.3">
      <c r="H1124" s="7" t="str">
        <f>IF(B1124&lt;&gt;"Silicone","",IFERROR(XLOOKUP(D1124,#REF!,#REF!),""))</f>
        <v/>
      </c>
      <c r="J1124" s="7" t="str">
        <f ca="1">IFERROR(XLOOKUP(D1124,'Spec_Single_H&amp;S'!B:B,'Spec_Single_H&amp;S'!E:E),
IFERROR(XLOOKUP(D1124,#REF!,#REF!),""))</f>
        <v/>
      </c>
      <c r="K1124" s="7" t="str">
        <f ca="1">IFERROR(XLOOKUP(D1124,'Spec_Single_H&amp;S'!B:B,'Spec_Single_H&amp;S'!F:F),
IFERROR(XLOOKUP(D1124,#REF!,#REF!),""))</f>
        <v/>
      </c>
      <c r="L1124" s="7" t="str">
        <f t="shared" ca="1" si="39"/>
        <v/>
      </c>
    </row>
    <row r="1125" spans="8:12" x14ac:dyDescent="0.3">
      <c r="H1125" s="7" t="str">
        <f>IF(B1125&lt;&gt;"Silicone","",IFERROR(XLOOKUP(D1125,#REF!,#REF!),""))</f>
        <v/>
      </c>
      <c r="J1125" s="7" t="str">
        <f ca="1">IFERROR(XLOOKUP(D1125,'Spec_Single_H&amp;S'!B:B,'Spec_Single_H&amp;S'!E:E),
IFERROR(XLOOKUP(D1125,#REF!,#REF!),""))</f>
        <v/>
      </c>
      <c r="K1125" s="7" t="str">
        <f ca="1">IFERROR(XLOOKUP(D1125,'Spec_Single_H&amp;S'!B:B,'Spec_Single_H&amp;S'!F:F),
IFERROR(XLOOKUP(D1125,#REF!,#REF!),""))</f>
        <v/>
      </c>
      <c r="L1125" s="7" t="str">
        <f t="shared" ca="1" si="39"/>
        <v/>
      </c>
    </row>
    <row r="1126" spans="8:12" x14ac:dyDescent="0.3">
      <c r="H1126" s="7" t="str">
        <f>IF(B1126&lt;&gt;"Silicone","",IFERROR(XLOOKUP(D1126,#REF!,#REF!),""))</f>
        <v/>
      </c>
      <c r="J1126" s="7" t="str">
        <f ca="1">IFERROR(XLOOKUP(D1126,'Spec_Single_H&amp;S'!B:B,'Spec_Single_H&amp;S'!E:E),
IFERROR(XLOOKUP(D1126,#REF!,#REF!),""))</f>
        <v/>
      </c>
      <c r="K1126" s="7" t="str">
        <f ca="1">IFERROR(XLOOKUP(D1126,'Spec_Single_H&amp;S'!B:B,'Spec_Single_H&amp;S'!F:F),
IFERROR(XLOOKUP(D1126,#REF!,#REF!),""))</f>
        <v/>
      </c>
      <c r="L1126" s="7" t="str">
        <f t="shared" ca="1" si="39"/>
        <v/>
      </c>
    </row>
    <row r="1127" spans="8:12" x14ac:dyDescent="0.3">
      <c r="H1127" s="7" t="str">
        <f>IF(B1127&lt;&gt;"Silicone","",IFERROR(XLOOKUP(D1127,#REF!,#REF!),""))</f>
        <v/>
      </c>
      <c r="J1127" s="7" t="str">
        <f ca="1">IFERROR(XLOOKUP(D1127,'Spec_Single_H&amp;S'!B:B,'Spec_Single_H&amp;S'!E:E),
IFERROR(XLOOKUP(D1127,#REF!,#REF!),""))</f>
        <v/>
      </c>
      <c r="K1127" s="7" t="str">
        <f ca="1">IFERROR(XLOOKUP(D1127,'Spec_Single_H&amp;S'!B:B,'Spec_Single_H&amp;S'!F:F),
IFERROR(XLOOKUP(D1127,#REF!,#REF!),""))</f>
        <v/>
      </c>
      <c r="L1127" s="7" t="str">
        <f t="shared" ca="1" si="39"/>
        <v/>
      </c>
    </row>
    <row r="1128" spans="8:12" x14ac:dyDescent="0.3">
      <c r="H1128" s="7" t="str">
        <f>IF(B1128&lt;&gt;"Silicone","",IFERROR(XLOOKUP(D1128,#REF!,#REF!),""))</f>
        <v/>
      </c>
      <c r="J1128" s="7" t="str">
        <f ca="1">IFERROR(XLOOKUP(D1128,'Spec_Single_H&amp;S'!B:B,'Spec_Single_H&amp;S'!E:E),
IFERROR(XLOOKUP(D1128,#REF!,#REF!),""))</f>
        <v/>
      </c>
      <c r="K1128" s="7" t="str">
        <f ca="1">IFERROR(XLOOKUP(D1128,'Spec_Single_H&amp;S'!B:B,'Spec_Single_H&amp;S'!F:F),
IFERROR(XLOOKUP(D1128,#REF!,#REF!),""))</f>
        <v/>
      </c>
      <c r="L1128" s="7" t="str">
        <f t="shared" ca="1" si="39"/>
        <v/>
      </c>
    </row>
    <row r="1129" spans="8:12" x14ac:dyDescent="0.3">
      <c r="H1129" s="7" t="str">
        <f>IF(B1129&lt;&gt;"Silicone","",IFERROR(XLOOKUP(D1129,#REF!,#REF!),""))</f>
        <v/>
      </c>
      <c r="J1129" s="7" t="str">
        <f ca="1">IFERROR(XLOOKUP(D1129,'Spec_Single_H&amp;S'!B:B,'Spec_Single_H&amp;S'!E:E),
IFERROR(XLOOKUP(D1129,#REF!,#REF!),""))</f>
        <v/>
      </c>
      <c r="K1129" s="7" t="str">
        <f ca="1">IFERROR(XLOOKUP(D1129,'Spec_Single_H&amp;S'!B:B,'Spec_Single_H&amp;S'!F:F),
IFERROR(XLOOKUP(D1129,#REF!,#REF!),""))</f>
        <v/>
      </c>
      <c r="L1129" s="7" t="str">
        <f t="shared" ca="1" si="39"/>
        <v/>
      </c>
    </row>
    <row r="1130" spans="8:12" x14ac:dyDescent="0.3">
      <c r="H1130" s="7" t="str">
        <f>IF(B1130&lt;&gt;"Silicone","",IFERROR(XLOOKUP(D1130,#REF!,#REF!),""))</f>
        <v/>
      </c>
      <c r="J1130" s="7" t="str">
        <f ca="1">IFERROR(XLOOKUP(D1130,'Spec_Single_H&amp;S'!B:B,'Spec_Single_H&amp;S'!E:E),
IFERROR(XLOOKUP(D1130,#REF!,#REF!),""))</f>
        <v/>
      </c>
      <c r="K1130" s="7" t="str">
        <f ca="1">IFERROR(XLOOKUP(D1130,'Spec_Single_H&amp;S'!B:B,'Spec_Single_H&amp;S'!F:F),
IFERROR(XLOOKUP(D1130,#REF!,#REF!),""))</f>
        <v/>
      </c>
      <c r="L1130" s="7" t="str">
        <f t="shared" ca="1" si="39"/>
        <v/>
      </c>
    </row>
    <row r="1131" spans="8:12" x14ac:dyDescent="0.3">
      <c r="H1131" s="7" t="str">
        <f>IF(B1131&lt;&gt;"Silicone","",IFERROR(XLOOKUP(D1131,#REF!,#REF!),""))</f>
        <v/>
      </c>
      <c r="J1131" s="7" t="str">
        <f ca="1">IFERROR(XLOOKUP(D1131,'Spec_Single_H&amp;S'!B:B,'Spec_Single_H&amp;S'!E:E),
IFERROR(XLOOKUP(D1131,#REF!,#REF!),""))</f>
        <v/>
      </c>
      <c r="K1131" s="7" t="str">
        <f ca="1">IFERROR(XLOOKUP(D1131,'Spec_Single_H&amp;S'!B:B,'Spec_Single_H&amp;S'!F:F),
IFERROR(XLOOKUP(D1131,#REF!,#REF!),""))</f>
        <v/>
      </c>
      <c r="L1131" s="7" t="str">
        <f t="shared" ca="1" si="39"/>
        <v/>
      </c>
    </row>
    <row r="1132" spans="8:12" x14ac:dyDescent="0.3">
      <c r="H1132" s="7" t="str">
        <f>IF(B1132&lt;&gt;"Silicone","",IFERROR(XLOOKUP(D1132,#REF!,#REF!),""))</f>
        <v/>
      </c>
      <c r="J1132" s="7" t="str">
        <f ca="1">IFERROR(XLOOKUP(D1132,'Spec_Single_H&amp;S'!B:B,'Spec_Single_H&amp;S'!E:E),
IFERROR(XLOOKUP(D1132,#REF!,#REF!),""))</f>
        <v/>
      </c>
      <c r="K1132" s="7" t="str">
        <f ca="1">IFERROR(XLOOKUP(D1132,'Spec_Single_H&amp;S'!B:B,'Spec_Single_H&amp;S'!F:F),
IFERROR(XLOOKUP(D1132,#REF!,#REF!),""))</f>
        <v/>
      </c>
      <c r="L1132" s="7" t="str">
        <f t="shared" ca="1" si="39"/>
        <v/>
      </c>
    </row>
    <row r="1133" spans="8:12" x14ac:dyDescent="0.3">
      <c r="H1133" s="7" t="str">
        <f>IF(B1133&lt;&gt;"Silicone","",IFERROR(XLOOKUP(D1133,#REF!,#REF!),""))</f>
        <v/>
      </c>
      <c r="J1133" s="7" t="str">
        <f ca="1">IFERROR(XLOOKUP(D1133,'Spec_Single_H&amp;S'!B:B,'Spec_Single_H&amp;S'!E:E),
IFERROR(XLOOKUP(D1133,#REF!,#REF!),""))</f>
        <v/>
      </c>
      <c r="K1133" s="7" t="str">
        <f ca="1">IFERROR(XLOOKUP(D1133,'Spec_Single_H&amp;S'!B:B,'Spec_Single_H&amp;S'!F:F),
IFERROR(XLOOKUP(D1133,#REF!,#REF!),""))</f>
        <v/>
      </c>
      <c r="L1133" s="7" t="str">
        <f t="shared" ca="1" si="39"/>
        <v/>
      </c>
    </row>
    <row r="1134" spans="8:12" x14ac:dyDescent="0.3">
      <c r="H1134" s="7" t="str">
        <f>IF(B1134&lt;&gt;"Silicone","",IFERROR(XLOOKUP(D1134,#REF!,#REF!),""))</f>
        <v/>
      </c>
      <c r="J1134" s="7" t="str">
        <f ca="1">IFERROR(XLOOKUP(D1134,'Spec_Single_H&amp;S'!B:B,'Spec_Single_H&amp;S'!E:E),
IFERROR(XLOOKUP(D1134,#REF!,#REF!),""))</f>
        <v/>
      </c>
      <c r="K1134" s="7" t="str">
        <f ca="1">IFERROR(XLOOKUP(D1134,'Spec_Single_H&amp;S'!B:B,'Spec_Single_H&amp;S'!F:F),
IFERROR(XLOOKUP(D1134,#REF!,#REF!),""))</f>
        <v/>
      </c>
      <c r="L1134" s="7" t="str">
        <f t="shared" ca="1" si="39"/>
        <v/>
      </c>
    </row>
    <row r="1135" spans="8:12" x14ac:dyDescent="0.3">
      <c r="H1135" s="7" t="str">
        <f>IF(B1135&lt;&gt;"Silicone","",IFERROR(XLOOKUP(D1135,#REF!,#REF!),""))</f>
        <v/>
      </c>
      <c r="J1135" s="7" t="str">
        <f ca="1">IFERROR(XLOOKUP(D1135,'Spec_Single_H&amp;S'!B:B,'Spec_Single_H&amp;S'!E:E),
IFERROR(XLOOKUP(D1135,#REF!,#REF!),""))</f>
        <v/>
      </c>
      <c r="K1135" s="7" t="str">
        <f ca="1">IFERROR(XLOOKUP(D1135,'Spec_Single_H&amp;S'!B:B,'Spec_Single_H&amp;S'!F:F),
IFERROR(XLOOKUP(D1135,#REF!,#REF!),""))</f>
        <v/>
      </c>
      <c r="L1135" s="7" t="str">
        <f t="shared" ca="1" si="39"/>
        <v/>
      </c>
    </row>
    <row r="1136" spans="8:12" x14ac:dyDescent="0.3">
      <c r="H1136" s="7" t="str">
        <f>IF(B1136&lt;&gt;"Silicone","",IFERROR(XLOOKUP(D1136,#REF!,#REF!),""))</f>
        <v/>
      </c>
      <c r="J1136" s="7" t="str">
        <f ca="1">IFERROR(XLOOKUP(D1136,'Spec_Single_H&amp;S'!B:B,'Spec_Single_H&amp;S'!E:E),
IFERROR(XLOOKUP(D1136,#REF!,#REF!),""))</f>
        <v/>
      </c>
      <c r="K1136" s="7" t="str">
        <f ca="1">IFERROR(XLOOKUP(D1136,'Spec_Single_H&amp;S'!B:B,'Spec_Single_H&amp;S'!F:F),
IFERROR(XLOOKUP(D1136,#REF!,#REF!),""))</f>
        <v/>
      </c>
      <c r="L1136" s="7" t="str">
        <f t="shared" ca="1" si="39"/>
        <v/>
      </c>
    </row>
    <row r="1137" spans="8:12" x14ac:dyDescent="0.3">
      <c r="H1137" s="7" t="str">
        <f>IF(B1137&lt;&gt;"Silicone","",IFERROR(XLOOKUP(D1137,#REF!,#REF!),""))</f>
        <v/>
      </c>
      <c r="J1137" s="7" t="str">
        <f ca="1">IFERROR(XLOOKUP(D1137,'Spec_Single_H&amp;S'!B:B,'Spec_Single_H&amp;S'!E:E),
IFERROR(XLOOKUP(D1137,#REF!,#REF!),""))</f>
        <v/>
      </c>
      <c r="K1137" s="7" t="str">
        <f ca="1">IFERROR(XLOOKUP(D1137,'Spec_Single_H&amp;S'!B:B,'Spec_Single_H&amp;S'!F:F),
IFERROR(XLOOKUP(D1137,#REF!,#REF!),""))</f>
        <v/>
      </c>
      <c r="L1137" s="7" t="str">
        <f t="shared" ca="1" si="39"/>
        <v/>
      </c>
    </row>
    <row r="1138" spans="8:12" x14ac:dyDescent="0.3">
      <c r="H1138" s="7" t="str">
        <f>IF(B1138&lt;&gt;"Silicone","",IFERROR(XLOOKUP(D1138,#REF!,#REF!),""))</f>
        <v/>
      </c>
      <c r="J1138" s="7" t="str">
        <f ca="1">IFERROR(XLOOKUP(D1138,'Spec_Single_H&amp;S'!B:B,'Spec_Single_H&amp;S'!E:E),
IFERROR(XLOOKUP(D1138,#REF!,#REF!),""))</f>
        <v/>
      </c>
      <c r="K1138" s="7" t="str">
        <f ca="1">IFERROR(XLOOKUP(D1138,'Spec_Single_H&amp;S'!B:B,'Spec_Single_H&amp;S'!F:F),
IFERROR(XLOOKUP(D1138,#REF!,#REF!),""))</f>
        <v/>
      </c>
      <c r="L1138" s="7" t="str">
        <f t="shared" ca="1" si="39"/>
        <v/>
      </c>
    </row>
    <row r="1139" spans="8:12" x14ac:dyDescent="0.3">
      <c r="H1139" s="7" t="str">
        <f>IF(B1139&lt;&gt;"Silicone","",IFERROR(XLOOKUP(D1139,#REF!,#REF!),""))</f>
        <v/>
      </c>
      <c r="J1139" s="7" t="str">
        <f ca="1">IFERROR(XLOOKUP(D1139,'Spec_Single_H&amp;S'!B:B,'Spec_Single_H&amp;S'!E:E),
IFERROR(XLOOKUP(D1139,#REF!,#REF!),""))</f>
        <v/>
      </c>
      <c r="K1139" s="7" t="str">
        <f ca="1">IFERROR(XLOOKUP(D1139,'Spec_Single_H&amp;S'!B:B,'Spec_Single_H&amp;S'!F:F),
IFERROR(XLOOKUP(D1139,#REF!,#REF!),""))</f>
        <v/>
      </c>
      <c r="L1139" s="7" t="str">
        <f t="shared" ca="1" si="39"/>
        <v/>
      </c>
    </row>
    <row r="1140" spans="8:12" x14ac:dyDescent="0.3">
      <c r="H1140" s="7" t="str">
        <f>IF(B1140&lt;&gt;"Silicone","",IFERROR(XLOOKUP(D1140,#REF!,#REF!),""))</f>
        <v/>
      </c>
      <c r="J1140" s="7" t="str">
        <f ca="1">IFERROR(XLOOKUP(D1140,'Spec_Single_H&amp;S'!B:B,'Spec_Single_H&amp;S'!E:E),
IFERROR(XLOOKUP(D1140,#REF!,#REF!),""))</f>
        <v/>
      </c>
      <c r="K1140" s="7" t="str">
        <f ca="1">IFERROR(XLOOKUP(D1140,'Spec_Single_H&amp;S'!B:B,'Spec_Single_H&amp;S'!F:F),
IFERROR(XLOOKUP(D1140,#REF!,#REF!),""))</f>
        <v/>
      </c>
      <c r="L1140" s="7" t="str">
        <f t="shared" ca="1" si="39"/>
        <v/>
      </c>
    </row>
    <row r="1141" spans="8:12" x14ac:dyDescent="0.3">
      <c r="H1141" s="7" t="str">
        <f>IF(B1141&lt;&gt;"Silicone","",IFERROR(XLOOKUP(D1141,#REF!,#REF!),""))</f>
        <v/>
      </c>
      <c r="J1141" s="7" t="str">
        <f ca="1">IFERROR(XLOOKUP(D1141,'Spec_Single_H&amp;S'!B:B,'Spec_Single_H&amp;S'!E:E),
IFERROR(XLOOKUP(D1141,#REF!,#REF!),""))</f>
        <v/>
      </c>
      <c r="K1141" s="7" t="str">
        <f ca="1">IFERROR(XLOOKUP(D1141,'Spec_Single_H&amp;S'!B:B,'Spec_Single_H&amp;S'!F:F),
IFERROR(XLOOKUP(D1141,#REF!,#REF!),""))</f>
        <v/>
      </c>
      <c r="L1141" s="7" t="str">
        <f t="shared" ca="1" si="39"/>
        <v/>
      </c>
    </row>
    <row r="1142" spans="8:12" x14ac:dyDescent="0.3">
      <c r="H1142" s="7" t="str">
        <f>IF(B1142&lt;&gt;"Silicone","",IFERROR(XLOOKUP(D1142,#REF!,#REF!),""))</f>
        <v/>
      </c>
      <c r="J1142" s="7" t="str">
        <f ca="1">IFERROR(XLOOKUP(D1142,'Spec_Single_H&amp;S'!B:B,'Spec_Single_H&amp;S'!E:E),
IFERROR(XLOOKUP(D1142,#REF!,#REF!),""))</f>
        <v/>
      </c>
      <c r="K1142" s="7" t="str">
        <f ca="1">IFERROR(XLOOKUP(D1142,'Spec_Single_H&amp;S'!B:B,'Spec_Single_H&amp;S'!F:F),
IFERROR(XLOOKUP(D1142,#REF!,#REF!),""))</f>
        <v/>
      </c>
      <c r="L1142" s="7" t="str">
        <f t="shared" ca="1" si="39"/>
        <v/>
      </c>
    </row>
    <row r="1143" spans="8:12" x14ac:dyDescent="0.3">
      <c r="H1143" s="7" t="str">
        <f>IF(B1143&lt;&gt;"Silicone","",IFERROR(XLOOKUP(D1143,#REF!,#REF!),""))</f>
        <v/>
      </c>
      <c r="J1143" s="7" t="str">
        <f ca="1">IFERROR(XLOOKUP(D1143,'Spec_Single_H&amp;S'!B:B,'Spec_Single_H&amp;S'!E:E),
IFERROR(XLOOKUP(D1143,#REF!,#REF!),""))</f>
        <v/>
      </c>
      <c r="K1143" s="7" t="str">
        <f ca="1">IFERROR(XLOOKUP(D1143,'Spec_Single_H&amp;S'!B:B,'Spec_Single_H&amp;S'!F:F),
IFERROR(XLOOKUP(D1143,#REF!,#REF!),""))</f>
        <v/>
      </c>
      <c r="L1143" s="7" t="str">
        <f t="shared" ca="1" si="39"/>
        <v/>
      </c>
    </row>
    <row r="1144" spans="8:12" x14ac:dyDescent="0.3">
      <c r="H1144" s="7" t="str">
        <f>IF(B1144&lt;&gt;"Silicone","",IFERROR(XLOOKUP(D1144,#REF!,#REF!),""))</f>
        <v/>
      </c>
      <c r="J1144" s="7" t="str">
        <f ca="1">IFERROR(XLOOKUP(D1144,'Spec_Single_H&amp;S'!B:B,'Spec_Single_H&amp;S'!E:E),
IFERROR(XLOOKUP(D1144,#REF!,#REF!),""))</f>
        <v/>
      </c>
      <c r="K1144" s="7" t="str">
        <f ca="1">IFERROR(XLOOKUP(D1144,'Spec_Single_H&amp;S'!B:B,'Spec_Single_H&amp;S'!F:F),
IFERROR(XLOOKUP(D1144,#REF!,#REF!),""))</f>
        <v/>
      </c>
      <c r="L1144" s="7" t="str">
        <f t="shared" ca="1" si="39"/>
        <v/>
      </c>
    </row>
    <row r="1145" spans="8:12" x14ac:dyDescent="0.3">
      <c r="H1145" s="7" t="str">
        <f>IF(B1145&lt;&gt;"Silicone","",IFERROR(XLOOKUP(D1145,#REF!,#REF!),""))</f>
        <v/>
      </c>
      <c r="J1145" s="7" t="str">
        <f ca="1">IFERROR(XLOOKUP(D1145,'Spec_Single_H&amp;S'!B:B,'Spec_Single_H&amp;S'!E:E),
IFERROR(XLOOKUP(D1145,#REF!,#REF!),""))</f>
        <v/>
      </c>
      <c r="K1145" s="7" t="str">
        <f ca="1">IFERROR(XLOOKUP(D1145,'Spec_Single_H&amp;S'!B:B,'Spec_Single_H&amp;S'!F:F),
IFERROR(XLOOKUP(D1145,#REF!,#REF!),""))</f>
        <v/>
      </c>
      <c r="L1145" s="7" t="str">
        <f t="shared" ca="1" si="39"/>
        <v/>
      </c>
    </row>
    <row r="1146" spans="8:12" x14ac:dyDescent="0.3">
      <c r="H1146" s="7" t="str">
        <f>IF(B1146&lt;&gt;"Silicone","",IFERROR(XLOOKUP(D1146,#REF!,#REF!),""))</f>
        <v/>
      </c>
      <c r="J1146" s="7" t="str">
        <f ca="1">IFERROR(XLOOKUP(D1146,'Spec_Single_H&amp;S'!B:B,'Spec_Single_H&amp;S'!E:E),
IFERROR(XLOOKUP(D1146,#REF!,#REF!),""))</f>
        <v/>
      </c>
      <c r="K1146" s="7" t="str">
        <f ca="1">IFERROR(XLOOKUP(D1146,'Spec_Single_H&amp;S'!B:B,'Spec_Single_H&amp;S'!F:F),
IFERROR(XLOOKUP(D1146,#REF!,#REF!),""))</f>
        <v/>
      </c>
      <c r="L1146" s="7" t="str">
        <f t="shared" ca="1" si="39"/>
        <v/>
      </c>
    </row>
    <row r="1147" spans="8:12" x14ac:dyDescent="0.3">
      <c r="H1147" s="7" t="str">
        <f>IF(B1147&lt;&gt;"Silicone","",IFERROR(XLOOKUP(D1147,#REF!,#REF!),""))</f>
        <v/>
      </c>
      <c r="J1147" s="7" t="str">
        <f ca="1">IFERROR(XLOOKUP(D1147,'Spec_Single_H&amp;S'!B:B,'Spec_Single_H&amp;S'!E:E),
IFERROR(XLOOKUP(D1147,#REF!,#REF!),""))</f>
        <v/>
      </c>
      <c r="K1147" s="7" t="str">
        <f ca="1">IFERROR(XLOOKUP(D1147,'Spec_Single_H&amp;S'!B:B,'Spec_Single_H&amp;S'!F:F),
IFERROR(XLOOKUP(D1147,#REF!,#REF!),""))</f>
        <v/>
      </c>
      <c r="L1147" s="7" t="str">
        <f t="shared" ca="1" si="39"/>
        <v/>
      </c>
    </row>
    <row r="1148" spans="8:12" x14ac:dyDescent="0.3">
      <c r="H1148" s="7" t="str">
        <f>IF(B1148&lt;&gt;"Silicone","",IFERROR(XLOOKUP(D1148,#REF!,#REF!),""))</f>
        <v/>
      </c>
      <c r="J1148" s="7" t="str">
        <f ca="1">IFERROR(XLOOKUP(D1148,'Spec_Single_H&amp;S'!B:B,'Spec_Single_H&amp;S'!E:E),
IFERROR(XLOOKUP(D1148,#REF!,#REF!),""))</f>
        <v/>
      </c>
      <c r="K1148" s="7" t="str">
        <f ca="1">IFERROR(XLOOKUP(D1148,'Spec_Single_H&amp;S'!B:B,'Spec_Single_H&amp;S'!F:F),
IFERROR(XLOOKUP(D1148,#REF!,#REF!),""))</f>
        <v/>
      </c>
      <c r="L1148" s="7" t="str">
        <f t="shared" ca="1" si="39"/>
        <v/>
      </c>
    </row>
    <row r="1149" spans="8:12" x14ac:dyDescent="0.3">
      <c r="H1149" s="7" t="str">
        <f>IF(B1149&lt;&gt;"Silicone","",IFERROR(XLOOKUP(D1149,#REF!,#REF!),""))</f>
        <v/>
      </c>
      <c r="J1149" s="7" t="str">
        <f ca="1">IFERROR(XLOOKUP(D1149,'Spec_Single_H&amp;S'!B:B,'Spec_Single_H&amp;S'!E:E),
IFERROR(XLOOKUP(D1149,#REF!,#REF!),""))</f>
        <v/>
      </c>
      <c r="K1149" s="7" t="str">
        <f ca="1">IFERROR(XLOOKUP(D1149,'Spec_Single_H&amp;S'!B:B,'Spec_Single_H&amp;S'!F:F),
IFERROR(XLOOKUP(D1149,#REF!,#REF!),""))</f>
        <v/>
      </c>
      <c r="L1149" s="7" t="str">
        <f t="shared" ca="1" si="39"/>
        <v/>
      </c>
    </row>
    <row r="1150" spans="8:12" x14ac:dyDescent="0.3">
      <c r="H1150" s="7" t="str">
        <f>IF(B1150&lt;&gt;"Silicone","",IFERROR(XLOOKUP(D1150,#REF!,#REF!),""))</f>
        <v/>
      </c>
      <c r="J1150" s="7" t="str">
        <f ca="1">IFERROR(XLOOKUP(D1150,'Spec_Single_H&amp;S'!B:B,'Spec_Single_H&amp;S'!E:E),
IFERROR(XLOOKUP(D1150,#REF!,#REF!),""))</f>
        <v/>
      </c>
      <c r="K1150" s="7" t="str">
        <f ca="1">IFERROR(XLOOKUP(D1150,'Spec_Single_H&amp;S'!B:B,'Spec_Single_H&amp;S'!F:F),
IFERROR(XLOOKUP(D1150,#REF!,#REF!),""))</f>
        <v/>
      </c>
      <c r="L1150" s="7" t="str">
        <f t="shared" ca="1" si="39"/>
        <v/>
      </c>
    </row>
    <row r="1151" spans="8:12" x14ac:dyDescent="0.3">
      <c r="H1151" s="7" t="str">
        <f>IF(B1151&lt;&gt;"Silicone","",IFERROR(XLOOKUP(D1151,#REF!,#REF!),""))</f>
        <v/>
      </c>
      <c r="J1151" s="7" t="str">
        <f ca="1">IFERROR(XLOOKUP(D1151,'Spec_Single_H&amp;S'!B:B,'Spec_Single_H&amp;S'!E:E),
IFERROR(XLOOKUP(D1151,#REF!,#REF!),""))</f>
        <v/>
      </c>
      <c r="K1151" s="7" t="str">
        <f ca="1">IFERROR(XLOOKUP(D1151,'Spec_Single_H&amp;S'!B:B,'Spec_Single_H&amp;S'!F:F),
IFERROR(XLOOKUP(D1151,#REF!,#REF!),""))</f>
        <v/>
      </c>
      <c r="L1151" s="7" t="str">
        <f t="shared" ca="1" si="39"/>
        <v/>
      </c>
    </row>
    <row r="1152" spans="8:12" x14ac:dyDescent="0.3">
      <c r="H1152" s="7" t="str">
        <f>IF(B1152&lt;&gt;"Silicone","",IFERROR(XLOOKUP(D1152,#REF!,#REF!),""))</f>
        <v/>
      </c>
      <c r="J1152" s="7" t="str">
        <f ca="1">IFERROR(XLOOKUP(D1152,'Spec_Single_H&amp;S'!B:B,'Spec_Single_H&amp;S'!E:E),
IFERROR(XLOOKUP(D1152,#REF!,#REF!),""))</f>
        <v/>
      </c>
      <c r="K1152" s="7" t="str">
        <f ca="1">IFERROR(XLOOKUP(D1152,'Spec_Single_H&amp;S'!B:B,'Spec_Single_H&amp;S'!F:F),
IFERROR(XLOOKUP(D1152,#REF!,#REF!),""))</f>
        <v/>
      </c>
      <c r="L1152" s="7" t="str">
        <f t="shared" ca="1" si="39"/>
        <v/>
      </c>
    </row>
    <row r="1153" spans="8:12" x14ac:dyDescent="0.3">
      <c r="H1153" s="7" t="str">
        <f>IF(B1153&lt;&gt;"Silicone","",IFERROR(XLOOKUP(D1153,#REF!,#REF!),""))</f>
        <v/>
      </c>
      <c r="J1153" s="7" t="str">
        <f ca="1">IFERROR(XLOOKUP(D1153,'Spec_Single_H&amp;S'!B:B,'Spec_Single_H&amp;S'!E:E),
IFERROR(XLOOKUP(D1153,#REF!,#REF!),""))</f>
        <v/>
      </c>
      <c r="K1153" s="7" t="str">
        <f ca="1">IFERROR(XLOOKUP(D1153,'Spec_Single_H&amp;S'!B:B,'Spec_Single_H&amp;S'!F:F),
IFERROR(XLOOKUP(D1153,#REF!,#REF!),""))</f>
        <v/>
      </c>
      <c r="L1153" s="7" t="str">
        <f t="shared" ca="1" si="39"/>
        <v/>
      </c>
    </row>
    <row r="1154" spans="8:12" x14ac:dyDescent="0.3">
      <c r="H1154" s="7" t="str">
        <f>IF(B1154&lt;&gt;"Silicone","",IFERROR(XLOOKUP(D1154,#REF!,#REF!),""))</f>
        <v/>
      </c>
      <c r="J1154" s="7" t="str">
        <f ca="1">IFERROR(XLOOKUP(D1154,'Spec_Single_H&amp;S'!B:B,'Spec_Single_H&amp;S'!E:E),
IFERROR(XLOOKUP(D1154,#REF!,#REF!),""))</f>
        <v/>
      </c>
      <c r="K1154" s="7" t="str">
        <f ca="1">IFERROR(XLOOKUP(D1154,'Spec_Single_H&amp;S'!B:B,'Spec_Single_H&amp;S'!F:F),
IFERROR(XLOOKUP(D1154,#REF!,#REF!),""))</f>
        <v/>
      </c>
      <c r="L1154" s="7" t="str">
        <f t="shared" ca="1" si="39"/>
        <v/>
      </c>
    </row>
    <row r="1155" spans="8:12" x14ac:dyDescent="0.3">
      <c r="H1155" s="7" t="str">
        <f>IF(B1155&lt;&gt;"Silicone","",IFERROR(XLOOKUP(D1155,#REF!,#REF!),""))</f>
        <v/>
      </c>
      <c r="J1155" s="7" t="str">
        <f ca="1">IFERROR(XLOOKUP(D1155,'Spec_Single_H&amp;S'!B:B,'Spec_Single_H&amp;S'!E:E),
IFERROR(XLOOKUP(D1155,#REF!,#REF!),""))</f>
        <v/>
      </c>
      <c r="K1155" s="7" t="str">
        <f ca="1">IFERROR(XLOOKUP(D1155,'Spec_Single_H&amp;S'!B:B,'Spec_Single_H&amp;S'!F:F),
IFERROR(XLOOKUP(D1155,#REF!,#REF!),""))</f>
        <v/>
      </c>
      <c r="L1155" s="7" t="str">
        <f t="shared" ca="1" si="39"/>
        <v/>
      </c>
    </row>
    <row r="1156" spans="8:12" x14ac:dyDescent="0.3">
      <c r="H1156" s="7" t="str">
        <f>IF(B1156&lt;&gt;"Silicone","",IFERROR(XLOOKUP(D1156,#REF!,#REF!),""))</f>
        <v/>
      </c>
      <c r="J1156" s="7" t="str">
        <f ca="1">IFERROR(XLOOKUP(D1156,'Spec_Single_H&amp;S'!B:B,'Spec_Single_H&amp;S'!E:E),
IFERROR(XLOOKUP(D1156,#REF!,#REF!),""))</f>
        <v/>
      </c>
      <c r="K1156" s="7" t="str">
        <f ca="1">IFERROR(XLOOKUP(D1156,'Spec_Single_H&amp;S'!B:B,'Spec_Single_H&amp;S'!F:F),
IFERROR(XLOOKUP(D1156,#REF!,#REF!),""))</f>
        <v/>
      </c>
      <c r="L1156" s="7" t="str">
        <f t="shared" ca="1" si="39"/>
        <v/>
      </c>
    </row>
    <row r="1157" spans="8:12" x14ac:dyDescent="0.3">
      <c r="H1157" s="7" t="str">
        <f>IF(B1157&lt;&gt;"Silicone","",IFERROR(XLOOKUP(D1157,#REF!,#REF!),""))</f>
        <v/>
      </c>
      <c r="J1157" s="7" t="str">
        <f ca="1">IFERROR(XLOOKUP(D1157,'Spec_Single_H&amp;S'!B:B,'Spec_Single_H&amp;S'!E:E),
IFERROR(XLOOKUP(D1157,#REF!,#REF!),""))</f>
        <v/>
      </c>
      <c r="K1157" s="7" t="str">
        <f ca="1">IFERROR(XLOOKUP(D1157,'Spec_Single_H&amp;S'!B:B,'Spec_Single_H&amp;S'!F:F),
IFERROR(XLOOKUP(D1157,#REF!,#REF!),""))</f>
        <v/>
      </c>
      <c r="L1157" s="7" t="str">
        <f t="shared" ca="1" si="39"/>
        <v/>
      </c>
    </row>
    <row r="1158" spans="8:12" x14ac:dyDescent="0.3">
      <c r="H1158" s="7" t="str">
        <f>IF(B1158&lt;&gt;"Silicone","",IFERROR(XLOOKUP(D1158,#REF!,#REF!),""))</f>
        <v/>
      </c>
      <c r="J1158" s="7" t="str">
        <f ca="1">IFERROR(XLOOKUP(D1158,'Spec_Single_H&amp;S'!B:B,'Spec_Single_H&amp;S'!E:E),
IFERROR(XLOOKUP(D1158,#REF!,#REF!),""))</f>
        <v/>
      </c>
      <c r="K1158" s="7" t="str">
        <f ca="1">IFERROR(XLOOKUP(D1158,'Spec_Single_H&amp;S'!B:B,'Spec_Single_H&amp;S'!F:F),
IFERROR(XLOOKUP(D1158,#REF!,#REF!),""))</f>
        <v/>
      </c>
      <c r="L1158" s="7" t="str">
        <f t="shared" ca="1" si="39"/>
        <v/>
      </c>
    </row>
    <row r="1159" spans="8:12" x14ac:dyDescent="0.3">
      <c r="H1159" s="7" t="str">
        <f>IF(B1159&lt;&gt;"Silicone","",IFERROR(XLOOKUP(D1159,#REF!,#REF!),""))</f>
        <v/>
      </c>
      <c r="J1159" s="7" t="str">
        <f ca="1">IFERROR(XLOOKUP(D1159,'Spec_Single_H&amp;S'!B:B,'Spec_Single_H&amp;S'!E:E),
IFERROR(XLOOKUP(D1159,#REF!,#REF!),""))</f>
        <v/>
      </c>
      <c r="K1159" s="7" t="str">
        <f ca="1">IFERROR(XLOOKUP(D1159,'Spec_Single_H&amp;S'!B:B,'Spec_Single_H&amp;S'!F:F),
IFERROR(XLOOKUP(D1159,#REF!,#REF!),""))</f>
        <v/>
      </c>
      <c r="L1159" s="7" t="str">
        <f t="shared" ca="1" si="39"/>
        <v/>
      </c>
    </row>
    <row r="1160" spans="8:12" x14ac:dyDescent="0.3">
      <c r="H1160" s="7" t="str">
        <f>IF(B1160&lt;&gt;"Silicone","",IFERROR(XLOOKUP(D1160,#REF!,#REF!),""))</f>
        <v/>
      </c>
      <c r="J1160" s="7" t="str">
        <f ca="1">IFERROR(XLOOKUP(D1160,'Spec_Single_H&amp;S'!B:B,'Spec_Single_H&amp;S'!E:E),
IFERROR(XLOOKUP(D1160,#REF!,#REF!),""))</f>
        <v/>
      </c>
      <c r="K1160" s="7" t="str">
        <f ca="1">IFERROR(XLOOKUP(D1160,'Spec_Single_H&amp;S'!B:B,'Spec_Single_H&amp;S'!F:F),
IFERROR(XLOOKUP(D1160,#REF!,#REF!),""))</f>
        <v/>
      </c>
      <c r="L1160" s="7" t="str">
        <f t="shared" ref="L1160:L1223" ca="1" si="40">IF(AND(NOT(ISBLANK(I1160)),I1160&gt;=J1160,I1160&lt;=K1160),"적합",IF(ISBLANK(I1160),"", "부적합"))</f>
        <v/>
      </c>
    </row>
    <row r="1161" spans="8:12" x14ac:dyDescent="0.3">
      <c r="H1161" s="7" t="str">
        <f>IF(B1161&lt;&gt;"Silicone","",IFERROR(XLOOKUP(D1161,#REF!,#REF!),""))</f>
        <v/>
      </c>
      <c r="J1161" s="7" t="str">
        <f ca="1">IFERROR(XLOOKUP(D1161,'Spec_Single_H&amp;S'!B:B,'Spec_Single_H&amp;S'!E:E),
IFERROR(XLOOKUP(D1161,#REF!,#REF!),""))</f>
        <v/>
      </c>
      <c r="K1161" s="7" t="str">
        <f ca="1">IFERROR(XLOOKUP(D1161,'Spec_Single_H&amp;S'!B:B,'Spec_Single_H&amp;S'!F:F),
IFERROR(XLOOKUP(D1161,#REF!,#REF!),""))</f>
        <v/>
      </c>
      <c r="L1161" s="7" t="str">
        <f t="shared" ca="1" si="40"/>
        <v/>
      </c>
    </row>
    <row r="1162" spans="8:12" x14ac:dyDescent="0.3">
      <c r="H1162" s="7" t="str">
        <f>IF(B1162&lt;&gt;"Silicone","",IFERROR(XLOOKUP(D1162,#REF!,#REF!),""))</f>
        <v/>
      </c>
      <c r="J1162" s="7" t="str">
        <f ca="1">IFERROR(XLOOKUP(D1162,'Spec_Single_H&amp;S'!B:B,'Spec_Single_H&amp;S'!E:E),
IFERROR(XLOOKUP(D1162,#REF!,#REF!),""))</f>
        <v/>
      </c>
      <c r="K1162" s="7" t="str">
        <f ca="1">IFERROR(XLOOKUP(D1162,'Spec_Single_H&amp;S'!B:B,'Spec_Single_H&amp;S'!F:F),
IFERROR(XLOOKUP(D1162,#REF!,#REF!),""))</f>
        <v/>
      </c>
      <c r="L1162" s="7" t="str">
        <f t="shared" ca="1" si="40"/>
        <v/>
      </c>
    </row>
    <row r="1163" spans="8:12" x14ac:dyDescent="0.3">
      <c r="H1163" s="7" t="str">
        <f>IF(B1163&lt;&gt;"Silicone","",IFERROR(XLOOKUP(D1163,#REF!,#REF!),""))</f>
        <v/>
      </c>
      <c r="J1163" s="7" t="str">
        <f ca="1">IFERROR(XLOOKUP(D1163,'Spec_Single_H&amp;S'!B:B,'Spec_Single_H&amp;S'!E:E),
IFERROR(XLOOKUP(D1163,#REF!,#REF!),""))</f>
        <v/>
      </c>
      <c r="K1163" s="7" t="str">
        <f ca="1">IFERROR(XLOOKUP(D1163,'Spec_Single_H&amp;S'!B:B,'Spec_Single_H&amp;S'!F:F),
IFERROR(XLOOKUP(D1163,#REF!,#REF!),""))</f>
        <v/>
      </c>
      <c r="L1163" s="7" t="str">
        <f t="shared" ca="1" si="40"/>
        <v/>
      </c>
    </row>
    <row r="1164" spans="8:12" x14ac:dyDescent="0.3">
      <c r="H1164" s="7" t="str">
        <f>IF(B1164&lt;&gt;"Silicone","",IFERROR(XLOOKUP(D1164,#REF!,#REF!),""))</f>
        <v/>
      </c>
      <c r="J1164" s="7" t="str">
        <f ca="1">IFERROR(XLOOKUP(D1164,'Spec_Single_H&amp;S'!B:B,'Spec_Single_H&amp;S'!E:E),
IFERROR(XLOOKUP(D1164,#REF!,#REF!),""))</f>
        <v/>
      </c>
      <c r="K1164" s="7" t="str">
        <f ca="1">IFERROR(XLOOKUP(D1164,'Spec_Single_H&amp;S'!B:B,'Spec_Single_H&amp;S'!F:F),
IFERROR(XLOOKUP(D1164,#REF!,#REF!),""))</f>
        <v/>
      </c>
      <c r="L1164" s="7" t="str">
        <f t="shared" ca="1" si="40"/>
        <v/>
      </c>
    </row>
    <row r="1165" spans="8:12" x14ac:dyDescent="0.3">
      <c r="H1165" s="7" t="str">
        <f>IF(B1165&lt;&gt;"Silicone","",IFERROR(XLOOKUP(D1165,#REF!,#REF!),""))</f>
        <v/>
      </c>
      <c r="J1165" s="7" t="str">
        <f ca="1">IFERROR(XLOOKUP(D1165,'Spec_Single_H&amp;S'!B:B,'Spec_Single_H&amp;S'!E:E),
IFERROR(XLOOKUP(D1165,#REF!,#REF!),""))</f>
        <v/>
      </c>
      <c r="K1165" s="7" t="str">
        <f ca="1">IFERROR(XLOOKUP(D1165,'Spec_Single_H&amp;S'!B:B,'Spec_Single_H&amp;S'!F:F),
IFERROR(XLOOKUP(D1165,#REF!,#REF!),""))</f>
        <v/>
      </c>
      <c r="L1165" s="7" t="str">
        <f t="shared" ca="1" si="40"/>
        <v/>
      </c>
    </row>
    <row r="1166" spans="8:12" x14ac:dyDescent="0.3">
      <c r="H1166" s="7" t="str">
        <f>IF(B1166&lt;&gt;"Silicone","",IFERROR(XLOOKUP(D1166,#REF!,#REF!),""))</f>
        <v/>
      </c>
      <c r="J1166" s="7" t="str">
        <f ca="1">IFERROR(XLOOKUP(D1166,'Spec_Single_H&amp;S'!B:B,'Spec_Single_H&amp;S'!E:E),
IFERROR(XLOOKUP(D1166,#REF!,#REF!),""))</f>
        <v/>
      </c>
      <c r="K1166" s="7" t="str">
        <f ca="1">IFERROR(XLOOKUP(D1166,'Spec_Single_H&amp;S'!B:B,'Spec_Single_H&amp;S'!F:F),
IFERROR(XLOOKUP(D1166,#REF!,#REF!),""))</f>
        <v/>
      </c>
      <c r="L1166" s="7" t="str">
        <f t="shared" ca="1" si="40"/>
        <v/>
      </c>
    </row>
    <row r="1167" spans="8:12" x14ac:dyDescent="0.3">
      <c r="H1167" s="7" t="str">
        <f>IF(B1167&lt;&gt;"Silicone","",IFERROR(XLOOKUP(D1167,#REF!,#REF!),""))</f>
        <v/>
      </c>
      <c r="J1167" s="7" t="str">
        <f ca="1">IFERROR(XLOOKUP(D1167,'Spec_Single_H&amp;S'!B:B,'Spec_Single_H&amp;S'!E:E),
IFERROR(XLOOKUP(D1167,#REF!,#REF!),""))</f>
        <v/>
      </c>
      <c r="K1167" s="7" t="str">
        <f ca="1">IFERROR(XLOOKUP(D1167,'Spec_Single_H&amp;S'!B:B,'Spec_Single_H&amp;S'!F:F),
IFERROR(XLOOKUP(D1167,#REF!,#REF!),""))</f>
        <v/>
      </c>
      <c r="L1167" s="7" t="str">
        <f t="shared" ca="1" si="40"/>
        <v/>
      </c>
    </row>
    <row r="1168" spans="8:12" x14ac:dyDescent="0.3">
      <c r="H1168" s="7" t="str">
        <f>IF(B1168&lt;&gt;"Silicone","",IFERROR(XLOOKUP(D1168,#REF!,#REF!),""))</f>
        <v/>
      </c>
      <c r="J1168" s="7" t="str">
        <f ca="1">IFERROR(XLOOKUP(D1168,'Spec_Single_H&amp;S'!B:B,'Spec_Single_H&amp;S'!E:E),
IFERROR(XLOOKUP(D1168,#REF!,#REF!),""))</f>
        <v/>
      </c>
      <c r="K1168" s="7" t="str">
        <f ca="1">IFERROR(XLOOKUP(D1168,'Spec_Single_H&amp;S'!B:B,'Spec_Single_H&amp;S'!F:F),
IFERROR(XLOOKUP(D1168,#REF!,#REF!),""))</f>
        <v/>
      </c>
      <c r="L1168" s="7" t="str">
        <f t="shared" ca="1" si="40"/>
        <v/>
      </c>
    </row>
    <row r="1169" spans="8:12" x14ac:dyDescent="0.3">
      <c r="H1169" s="7" t="str">
        <f>IF(B1169&lt;&gt;"Silicone","",IFERROR(XLOOKUP(D1169,#REF!,#REF!),""))</f>
        <v/>
      </c>
      <c r="J1169" s="7" t="str">
        <f ca="1">IFERROR(XLOOKUP(D1169,'Spec_Single_H&amp;S'!B:B,'Spec_Single_H&amp;S'!E:E),
IFERROR(XLOOKUP(D1169,#REF!,#REF!),""))</f>
        <v/>
      </c>
      <c r="K1169" s="7" t="str">
        <f ca="1">IFERROR(XLOOKUP(D1169,'Spec_Single_H&amp;S'!B:B,'Spec_Single_H&amp;S'!F:F),
IFERROR(XLOOKUP(D1169,#REF!,#REF!),""))</f>
        <v/>
      </c>
      <c r="L1169" s="7" t="str">
        <f t="shared" ca="1" si="40"/>
        <v/>
      </c>
    </row>
    <row r="1170" spans="8:12" x14ac:dyDescent="0.3">
      <c r="H1170" s="7" t="str">
        <f>IF(B1170&lt;&gt;"Silicone","",IFERROR(XLOOKUP(D1170,#REF!,#REF!),""))</f>
        <v/>
      </c>
      <c r="J1170" s="7" t="str">
        <f ca="1">IFERROR(XLOOKUP(D1170,'Spec_Single_H&amp;S'!B:B,'Spec_Single_H&amp;S'!E:E),
IFERROR(XLOOKUP(D1170,#REF!,#REF!),""))</f>
        <v/>
      </c>
      <c r="K1170" s="7" t="str">
        <f ca="1">IFERROR(XLOOKUP(D1170,'Spec_Single_H&amp;S'!B:B,'Spec_Single_H&amp;S'!F:F),
IFERROR(XLOOKUP(D1170,#REF!,#REF!),""))</f>
        <v/>
      </c>
      <c r="L1170" s="7" t="str">
        <f t="shared" ca="1" si="40"/>
        <v/>
      </c>
    </row>
    <row r="1171" spans="8:12" x14ac:dyDescent="0.3">
      <c r="H1171" s="7" t="str">
        <f>IF(B1171&lt;&gt;"Silicone","",IFERROR(XLOOKUP(D1171,#REF!,#REF!),""))</f>
        <v/>
      </c>
      <c r="J1171" s="7" t="str">
        <f ca="1">IFERROR(XLOOKUP(D1171,'Spec_Single_H&amp;S'!B:B,'Spec_Single_H&amp;S'!E:E),
IFERROR(XLOOKUP(D1171,#REF!,#REF!),""))</f>
        <v/>
      </c>
      <c r="K1171" s="7" t="str">
        <f ca="1">IFERROR(XLOOKUP(D1171,'Spec_Single_H&amp;S'!B:B,'Spec_Single_H&amp;S'!F:F),
IFERROR(XLOOKUP(D1171,#REF!,#REF!),""))</f>
        <v/>
      </c>
      <c r="L1171" s="7" t="str">
        <f t="shared" ca="1" si="40"/>
        <v/>
      </c>
    </row>
    <row r="1172" spans="8:12" x14ac:dyDescent="0.3">
      <c r="H1172" s="7" t="str">
        <f>IF(B1172&lt;&gt;"Silicone","",IFERROR(XLOOKUP(D1172,#REF!,#REF!),""))</f>
        <v/>
      </c>
      <c r="J1172" s="7" t="str">
        <f ca="1">IFERROR(XLOOKUP(D1172,'Spec_Single_H&amp;S'!B:B,'Spec_Single_H&amp;S'!E:E),
IFERROR(XLOOKUP(D1172,#REF!,#REF!),""))</f>
        <v/>
      </c>
      <c r="K1172" s="7" t="str">
        <f ca="1">IFERROR(XLOOKUP(D1172,'Spec_Single_H&amp;S'!B:B,'Spec_Single_H&amp;S'!F:F),
IFERROR(XLOOKUP(D1172,#REF!,#REF!),""))</f>
        <v/>
      </c>
      <c r="L1172" s="7" t="str">
        <f t="shared" ca="1" si="40"/>
        <v/>
      </c>
    </row>
    <row r="1173" spans="8:12" x14ac:dyDescent="0.3">
      <c r="H1173" s="7" t="str">
        <f>IF(B1173&lt;&gt;"Silicone","",IFERROR(XLOOKUP(D1173,#REF!,#REF!),""))</f>
        <v/>
      </c>
      <c r="J1173" s="7" t="str">
        <f ca="1">IFERROR(XLOOKUP(D1173,'Spec_Single_H&amp;S'!B:B,'Spec_Single_H&amp;S'!E:E),
IFERROR(XLOOKUP(D1173,#REF!,#REF!),""))</f>
        <v/>
      </c>
      <c r="K1173" s="7" t="str">
        <f ca="1">IFERROR(XLOOKUP(D1173,'Spec_Single_H&amp;S'!B:B,'Spec_Single_H&amp;S'!F:F),
IFERROR(XLOOKUP(D1173,#REF!,#REF!),""))</f>
        <v/>
      </c>
      <c r="L1173" s="7" t="str">
        <f t="shared" ca="1" si="40"/>
        <v/>
      </c>
    </row>
    <row r="1174" spans="8:12" x14ac:dyDescent="0.3">
      <c r="H1174" s="7" t="str">
        <f>IF(B1174&lt;&gt;"Silicone","",IFERROR(XLOOKUP(D1174,#REF!,#REF!),""))</f>
        <v/>
      </c>
      <c r="J1174" s="7" t="str">
        <f ca="1">IFERROR(XLOOKUP(D1174,'Spec_Single_H&amp;S'!B:B,'Spec_Single_H&amp;S'!E:E),
IFERROR(XLOOKUP(D1174,#REF!,#REF!),""))</f>
        <v/>
      </c>
      <c r="K1174" s="7" t="str">
        <f ca="1">IFERROR(XLOOKUP(D1174,'Spec_Single_H&amp;S'!B:B,'Spec_Single_H&amp;S'!F:F),
IFERROR(XLOOKUP(D1174,#REF!,#REF!),""))</f>
        <v/>
      </c>
      <c r="L1174" s="7" t="str">
        <f t="shared" ca="1" si="40"/>
        <v/>
      </c>
    </row>
    <row r="1175" spans="8:12" x14ac:dyDescent="0.3">
      <c r="H1175" s="7" t="str">
        <f>IF(B1175&lt;&gt;"Silicone","",IFERROR(XLOOKUP(D1175,#REF!,#REF!),""))</f>
        <v/>
      </c>
      <c r="J1175" s="7" t="str">
        <f ca="1">IFERROR(XLOOKUP(D1175,'Spec_Single_H&amp;S'!B:B,'Spec_Single_H&amp;S'!E:E),
IFERROR(XLOOKUP(D1175,#REF!,#REF!),""))</f>
        <v/>
      </c>
      <c r="K1175" s="7" t="str">
        <f ca="1">IFERROR(XLOOKUP(D1175,'Spec_Single_H&amp;S'!B:B,'Spec_Single_H&amp;S'!F:F),
IFERROR(XLOOKUP(D1175,#REF!,#REF!),""))</f>
        <v/>
      </c>
      <c r="L1175" s="7" t="str">
        <f t="shared" ca="1" si="40"/>
        <v/>
      </c>
    </row>
    <row r="1176" spans="8:12" x14ac:dyDescent="0.3">
      <c r="H1176" s="7" t="str">
        <f>IF(B1176&lt;&gt;"Silicone","",IFERROR(XLOOKUP(D1176,#REF!,#REF!),""))</f>
        <v/>
      </c>
      <c r="J1176" s="7" t="str">
        <f ca="1">IFERROR(XLOOKUP(D1176,'Spec_Single_H&amp;S'!B:B,'Spec_Single_H&amp;S'!E:E),
IFERROR(XLOOKUP(D1176,#REF!,#REF!),""))</f>
        <v/>
      </c>
      <c r="K1176" s="7" t="str">
        <f ca="1">IFERROR(XLOOKUP(D1176,'Spec_Single_H&amp;S'!B:B,'Spec_Single_H&amp;S'!F:F),
IFERROR(XLOOKUP(D1176,#REF!,#REF!),""))</f>
        <v/>
      </c>
      <c r="L1176" s="7" t="str">
        <f t="shared" ca="1" si="40"/>
        <v/>
      </c>
    </row>
    <row r="1177" spans="8:12" x14ac:dyDescent="0.3">
      <c r="H1177" s="7" t="str">
        <f>IF(B1177&lt;&gt;"Silicone","",IFERROR(XLOOKUP(D1177,#REF!,#REF!),""))</f>
        <v/>
      </c>
      <c r="J1177" s="7" t="str">
        <f ca="1">IFERROR(XLOOKUP(D1177,'Spec_Single_H&amp;S'!B:B,'Spec_Single_H&amp;S'!E:E),
IFERROR(XLOOKUP(D1177,#REF!,#REF!),""))</f>
        <v/>
      </c>
      <c r="K1177" s="7" t="str">
        <f ca="1">IFERROR(XLOOKUP(D1177,'Spec_Single_H&amp;S'!B:B,'Spec_Single_H&amp;S'!F:F),
IFERROR(XLOOKUP(D1177,#REF!,#REF!),""))</f>
        <v/>
      </c>
      <c r="L1177" s="7" t="str">
        <f t="shared" ca="1" si="40"/>
        <v/>
      </c>
    </row>
    <row r="1178" spans="8:12" x14ac:dyDescent="0.3">
      <c r="H1178" s="7" t="str">
        <f>IF(B1178&lt;&gt;"Silicone","",IFERROR(XLOOKUP(D1178,#REF!,#REF!),""))</f>
        <v/>
      </c>
      <c r="J1178" s="7" t="str">
        <f ca="1">IFERROR(XLOOKUP(D1178,'Spec_Single_H&amp;S'!B:B,'Spec_Single_H&amp;S'!E:E),
IFERROR(XLOOKUP(D1178,#REF!,#REF!),""))</f>
        <v/>
      </c>
      <c r="K1178" s="7" t="str">
        <f ca="1">IFERROR(XLOOKUP(D1178,'Spec_Single_H&amp;S'!B:B,'Spec_Single_H&amp;S'!F:F),
IFERROR(XLOOKUP(D1178,#REF!,#REF!),""))</f>
        <v/>
      </c>
      <c r="L1178" s="7" t="str">
        <f t="shared" ca="1" si="40"/>
        <v/>
      </c>
    </row>
    <row r="1179" spans="8:12" x14ac:dyDescent="0.3">
      <c r="H1179" s="7" t="str">
        <f>IF(B1179&lt;&gt;"Silicone","",IFERROR(XLOOKUP(D1179,#REF!,#REF!),""))</f>
        <v/>
      </c>
      <c r="J1179" s="7" t="str">
        <f ca="1">IFERROR(XLOOKUP(D1179,'Spec_Single_H&amp;S'!B:B,'Spec_Single_H&amp;S'!E:E),
IFERROR(XLOOKUP(D1179,#REF!,#REF!),""))</f>
        <v/>
      </c>
      <c r="K1179" s="7" t="str">
        <f ca="1">IFERROR(XLOOKUP(D1179,'Spec_Single_H&amp;S'!B:B,'Spec_Single_H&amp;S'!F:F),
IFERROR(XLOOKUP(D1179,#REF!,#REF!),""))</f>
        <v/>
      </c>
      <c r="L1179" s="7" t="str">
        <f t="shared" ca="1" si="40"/>
        <v/>
      </c>
    </row>
    <row r="1180" spans="8:12" x14ac:dyDescent="0.3">
      <c r="H1180" s="7" t="str">
        <f>IF(B1180&lt;&gt;"Silicone","",IFERROR(XLOOKUP(D1180,#REF!,#REF!),""))</f>
        <v/>
      </c>
      <c r="J1180" s="7" t="str">
        <f ca="1">IFERROR(XLOOKUP(D1180,'Spec_Single_H&amp;S'!B:B,'Spec_Single_H&amp;S'!E:E),
IFERROR(XLOOKUP(D1180,#REF!,#REF!),""))</f>
        <v/>
      </c>
      <c r="K1180" s="7" t="str">
        <f ca="1">IFERROR(XLOOKUP(D1180,'Spec_Single_H&amp;S'!B:B,'Spec_Single_H&amp;S'!F:F),
IFERROR(XLOOKUP(D1180,#REF!,#REF!),""))</f>
        <v/>
      </c>
      <c r="L1180" s="7" t="str">
        <f t="shared" ca="1" si="40"/>
        <v/>
      </c>
    </row>
    <row r="1181" spans="8:12" x14ac:dyDescent="0.3">
      <c r="H1181" s="7" t="str">
        <f>IF(B1181&lt;&gt;"Silicone","",IFERROR(XLOOKUP(D1181,#REF!,#REF!),""))</f>
        <v/>
      </c>
      <c r="J1181" s="7" t="str">
        <f ca="1">IFERROR(XLOOKUP(D1181,'Spec_Single_H&amp;S'!B:B,'Spec_Single_H&amp;S'!E:E),
IFERROR(XLOOKUP(D1181,#REF!,#REF!),""))</f>
        <v/>
      </c>
      <c r="K1181" s="7" t="str">
        <f ca="1">IFERROR(XLOOKUP(D1181,'Spec_Single_H&amp;S'!B:B,'Spec_Single_H&amp;S'!F:F),
IFERROR(XLOOKUP(D1181,#REF!,#REF!),""))</f>
        <v/>
      </c>
      <c r="L1181" s="7" t="str">
        <f t="shared" ca="1" si="40"/>
        <v/>
      </c>
    </row>
    <row r="1182" spans="8:12" x14ac:dyDescent="0.3">
      <c r="H1182" s="7" t="str">
        <f>IF(B1182&lt;&gt;"Silicone","",IFERROR(XLOOKUP(D1182,#REF!,#REF!),""))</f>
        <v/>
      </c>
      <c r="J1182" s="7" t="str">
        <f ca="1">IFERROR(XLOOKUP(D1182,'Spec_Single_H&amp;S'!B:B,'Spec_Single_H&amp;S'!E:E),
IFERROR(XLOOKUP(D1182,#REF!,#REF!),""))</f>
        <v/>
      </c>
      <c r="K1182" s="7" t="str">
        <f ca="1">IFERROR(XLOOKUP(D1182,'Spec_Single_H&amp;S'!B:B,'Spec_Single_H&amp;S'!F:F),
IFERROR(XLOOKUP(D1182,#REF!,#REF!),""))</f>
        <v/>
      </c>
      <c r="L1182" s="7" t="str">
        <f t="shared" ca="1" si="40"/>
        <v/>
      </c>
    </row>
    <row r="1183" spans="8:12" x14ac:dyDescent="0.3">
      <c r="H1183" s="7" t="str">
        <f>IF(B1183&lt;&gt;"Silicone","",IFERROR(XLOOKUP(D1183,#REF!,#REF!),""))</f>
        <v/>
      </c>
      <c r="J1183" s="7" t="str">
        <f ca="1">IFERROR(XLOOKUP(D1183,'Spec_Single_H&amp;S'!B:B,'Spec_Single_H&amp;S'!E:E),
IFERROR(XLOOKUP(D1183,#REF!,#REF!),""))</f>
        <v/>
      </c>
      <c r="K1183" s="7" t="str">
        <f ca="1">IFERROR(XLOOKUP(D1183,'Spec_Single_H&amp;S'!B:B,'Spec_Single_H&amp;S'!F:F),
IFERROR(XLOOKUP(D1183,#REF!,#REF!),""))</f>
        <v/>
      </c>
      <c r="L1183" s="7" t="str">
        <f t="shared" ca="1" si="40"/>
        <v/>
      </c>
    </row>
    <row r="1184" spans="8:12" x14ac:dyDescent="0.3">
      <c r="H1184" s="7" t="str">
        <f>IF(B1184&lt;&gt;"Silicone","",IFERROR(XLOOKUP(D1184,#REF!,#REF!),""))</f>
        <v/>
      </c>
      <c r="J1184" s="7" t="str">
        <f ca="1">IFERROR(XLOOKUP(D1184,'Spec_Single_H&amp;S'!B:B,'Spec_Single_H&amp;S'!E:E),
IFERROR(XLOOKUP(D1184,#REF!,#REF!),""))</f>
        <v/>
      </c>
      <c r="K1184" s="7" t="str">
        <f ca="1">IFERROR(XLOOKUP(D1184,'Spec_Single_H&amp;S'!B:B,'Spec_Single_H&amp;S'!F:F),
IFERROR(XLOOKUP(D1184,#REF!,#REF!),""))</f>
        <v/>
      </c>
      <c r="L1184" s="7" t="str">
        <f t="shared" ca="1" si="40"/>
        <v/>
      </c>
    </row>
    <row r="1185" spans="8:12" x14ac:dyDescent="0.3">
      <c r="H1185" s="7" t="str">
        <f>IF(B1185&lt;&gt;"Silicone","",IFERROR(XLOOKUP(D1185,#REF!,#REF!),""))</f>
        <v/>
      </c>
      <c r="J1185" s="7" t="str">
        <f ca="1">IFERROR(XLOOKUP(D1185,'Spec_Single_H&amp;S'!B:B,'Spec_Single_H&amp;S'!E:E),
IFERROR(XLOOKUP(D1185,#REF!,#REF!),""))</f>
        <v/>
      </c>
      <c r="K1185" s="7" t="str">
        <f ca="1">IFERROR(XLOOKUP(D1185,'Spec_Single_H&amp;S'!B:B,'Spec_Single_H&amp;S'!F:F),
IFERROR(XLOOKUP(D1185,#REF!,#REF!),""))</f>
        <v/>
      </c>
      <c r="L1185" s="7" t="str">
        <f t="shared" ca="1" si="40"/>
        <v/>
      </c>
    </row>
    <row r="1186" spans="8:12" x14ac:dyDescent="0.3">
      <c r="H1186" s="7" t="str">
        <f>IF(B1186&lt;&gt;"Silicone","",IFERROR(XLOOKUP(D1186,#REF!,#REF!),""))</f>
        <v/>
      </c>
      <c r="J1186" s="7" t="str">
        <f ca="1">IFERROR(XLOOKUP(D1186,'Spec_Single_H&amp;S'!B:B,'Spec_Single_H&amp;S'!E:E),
IFERROR(XLOOKUP(D1186,#REF!,#REF!),""))</f>
        <v/>
      </c>
      <c r="K1186" s="7" t="str">
        <f ca="1">IFERROR(XLOOKUP(D1186,'Spec_Single_H&amp;S'!B:B,'Spec_Single_H&amp;S'!F:F),
IFERROR(XLOOKUP(D1186,#REF!,#REF!),""))</f>
        <v/>
      </c>
      <c r="L1186" s="7" t="str">
        <f t="shared" ca="1" si="40"/>
        <v/>
      </c>
    </row>
    <row r="1187" spans="8:12" x14ac:dyDescent="0.3">
      <c r="H1187" s="7" t="str">
        <f>IF(B1187&lt;&gt;"Silicone","",IFERROR(XLOOKUP(D1187,#REF!,#REF!),""))</f>
        <v/>
      </c>
      <c r="J1187" s="7" t="str">
        <f ca="1">IFERROR(XLOOKUP(D1187,'Spec_Single_H&amp;S'!B:B,'Spec_Single_H&amp;S'!E:E),
IFERROR(XLOOKUP(D1187,#REF!,#REF!),""))</f>
        <v/>
      </c>
      <c r="K1187" s="7" t="str">
        <f ca="1">IFERROR(XLOOKUP(D1187,'Spec_Single_H&amp;S'!B:B,'Spec_Single_H&amp;S'!F:F),
IFERROR(XLOOKUP(D1187,#REF!,#REF!),""))</f>
        <v/>
      </c>
      <c r="L1187" s="7" t="str">
        <f t="shared" ca="1" si="40"/>
        <v/>
      </c>
    </row>
    <row r="1188" spans="8:12" x14ac:dyDescent="0.3">
      <c r="H1188" s="7" t="str">
        <f>IF(B1188&lt;&gt;"Silicone","",IFERROR(XLOOKUP(D1188,#REF!,#REF!),""))</f>
        <v/>
      </c>
      <c r="J1188" s="7" t="str">
        <f ca="1">IFERROR(XLOOKUP(D1188,'Spec_Single_H&amp;S'!B:B,'Spec_Single_H&amp;S'!E:E),
IFERROR(XLOOKUP(D1188,#REF!,#REF!),""))</f>
        <v/>
      </c>
      <c r="K1188" s="7" t="str">
        <f ca="1">IFERROR(XLOOKUP(D1188,'Spec_Single_H&amp;S'!B:B,'Spec_Single_H&amp;S'!F:F),
IFERROR(XLOOKUP(D1188,#REF!,#REF!),""))</f>
        <v/>
      </c>
      <c r="L1188" s="7" t="str">
        <f t="shared" ca="1" si="40"/>
        <v/>
      </c>
    </row>
    <row r="1189" spans="8:12" x14ac:dyDescent="0.3">
      <c r="H1189" s="7" t="str">
        <f>IF(B1189&lt;&gt;"Silicone","",IFERROR(XLOOKUP(D1189,#REF!,#REF!),""))</f>
        <v/>
      </c>
      <c r="J1189" s="7" t="str">
        <f ca="1">IFERROR(XLOOKUP(D1189,'Spec_Single_H&amp;S'!B:B,'Spec_Single_H&amp;S'!E:E),
IFERROR(XLOOKUP(D1189,#REF!,#REF!),""))</f>
        <v/>
      </c>
      <c r="K1189" s="7" t="str">
        <f ca="1">IFERROR(XLOOKUP(D1189,'Spec_Single_H&amp;S'!B:B,'Spec_Single_H&amp;S'!F:F),
IFERROR(XLOOKUP(D1189,#REF!,#REF!),""))</f>
        <v/>
      </c>
      <c r="L1189" s="7" t="str">
        <f t="shared" ca="1" si="40"/>
        <v/>
      </c>
    </row>
    <row r="1190" spans="8:12" x14ac:dyDescent="0.3">
      <c r="H1190" s="7" t="str">
        <f>IF(B1190&lt;&gt;"Silicone","",IFERROR(XLOOKUP(D1190,#REF!,#REF!),""))</f>
        <v/>
      </c>
      <c r="J1190" s="7" t="str">
        <f ca="1">IFERROR(XLOOKUP(D1190,'Spec_Single_H&amp;S'!B:B,'Spec_Single_H&amp;S'!E:E),
IFERROR(XLOOKUP(D1190,#REF!,#REF!),""))</f>
        <v/>
      </c>
      <c r="K1190" s="7" t="str">
        <f ca="1">IFERROR(XLOOKUP(D1190,'Spec_Single_H&amp;S'!B:B,'Spec_Single_H&amp;S'!F:F),
IFERROR(XLOOKUP(D1190,#REF!,#REF!),""))</f>
        <v/>
      </c>
      <c r="L1190" s="7" t="str">
        <f t="shared" ca="1" si="40"/>
        <v/>
      </c>
    </row>
    <row r="1191" spans="8:12" x14ac:dyDescent="0.3">
      <c r="H1191" s="7" t="str">
        <f>IF(B1191&lt;&gt;"Silicone","",IFERROR(XLOOKUP(D1191,#REF!,#REF!),""))</f>
        <v/>
      </c>
      <c r="J1191" s="7" t="str">
        <f ca="1">IFERROR(XLOOKUP(D1191,'Spec_Single_H&amp;S'!B:B,'Spec_Single_H&amp;S'!E:E),
IFERROR(XLOOKUP(D1191,#REF!,#REF!),""))</f>
        <v/>
      </c>
      <c r="K1191" s="7" t="str">
        <f ca="1">IFERROR(XLOOKUP(D1191,'Spec_Single_H&amp;S'!B:B,'Spec_Single_H&amp;S'!F:F),
IFERROR(XLOOKUP(D1191,#REF!,#REF!),""))</f>
        <v/>
      </c>
      <c r="L1191" s="7" t="str">
        <f t="shared" ca="1" si="40"/>
        <v/>
      </c>
    </row>
    <row r="1192" spans="8:12" x14ac:dyDescent="0.3">
      <c r="H1192" s="7" t="str">
        <f>IF(B1192&lt;&gt;"Silicone","",IFERROR(XLOOKUP(D1192,#REF!,#REF!),""))</f>
        <v/>
      </c>
      <c r="J1192" s="7" t="str">
        <f ca="1">IFERROR(XLOOKUP(D1192,'Spec_Single_H&amp;S'!B:B,'Spec_Single_H&amp;S'!E:E),
IFERROR(XLOOKUP(D1192,#REF!,#REF!),""))</f>
        <v/>
      </c>
      <c r="K1192" s="7" t="str">
        <f ca="1">IFERROR(XLOOKUP(D1192,'Spec_Single_H&amp;S'!B:B,'Spec_Single_H&amp;S'!F:F),
IFERROR(XLOOKUP(D1192,#REF!,#REF!),""))</f>
        <v/>
      </c>
      <c r="L1192" s="7" t="str">
        <f t="shared" ca="1" si="40"/>
        <v/>
      </c>
    </row>
    <row r="1193" spans="8:12" x14ac:dyDescent="0.3">
      <c r="H1193" s="7" t="str">
        <f>IF(B1193&lt;&gt;"Silicone","",IFERROR(XLOOKUP(D1193,#REF!,#REF!),""))</f>
        <v/>
      </c>
      <c r="J1193" s="7" t="str">
        <f ca="1">IFERROR(XLOOKUP(D1193,'Spec_Single_H&amp;S'!B:B,'Spec_Single_H&amp;S'!E:E),
IFERROR(XLOOKUP(D1193,#REF!,#REF!),""))</f>
        <v/>
      </c>
      <c r="K1193" s="7" t="str">
        <f ca="1">IFERROR(XLOOKUP(D1193,'Spec_Single_H&amp;S'!B:B,'Spec_Single_H&amp;S'!F:F),
IFERROR(XLOOKUP(D1193,#REF!,#REF!),""))</f>
        <v/>
      </c>
      <c r="L1193" s="7" t="str">
        <f t="shared" ca="1" si="40"/>
        <v/>
      </c>
    </row>
    <row r="1194" spans="8:12" x14ac:dyDescent="0.3">
      <c r="H1194" s="7" t="str">
        <f>IF(B1194&lt;&gt;"Silicone","",IFERROR(XLOOKUP(D1194,#REF!,#REF!),""))</f>
        <v/>
      </c>
      <c r="J1194" s="7" t="str">
        <f ca="1">IFERROR(XLOOKUP(D1194,'Spec_Single_H&amp;S'!B:B,'Spec_Single_H&amp;S'!E:E),
IFERROR(XLOOKUP(D1194,#REF!,#REF!),""))</f>
        <v/>
      </c>
      <c r="K1194" s="7" t="str">
        <f ca="1">IFERROR(XLOOKUP(D1194,'Spec_Single_H&amp;S'!B:B,'Spec_Single_H&amp;S'!F:F),
IFERROR(XLOOKUP(D1194,#REF!,#REF!),""))</f>
        <v/>
      </c>
      <c r="L1194" s="7" t="str">
        <f t="shared" ca="1" si="40"/>
        <v/>
      </c>
    </row>
    <row r="1195" spans="8:12" x14ac:dyDescent="0.3">
      <c r="H1195" s="7" t="str">
        <f>IF(B1195&lt;&gt;"Silicone","",IFERROR(XLOOKUP(D1195,#REF!,#REF!),""))</f>
        <v/>
      </c>
      <c r="J1195" s="7" t="str">
        <f ca="1">IFERROR(XLOOKUP(D1195,'Spec_Single_H&amp;S'!B:B,'Spec_Single_H&amp;S'!E:E),
IFERROR(XLOOKUP(D1195,#REF!,#REF!),""))</f>
        <v/>
      </c>
      <c r="K1195" s="7" t="str">
        <f ca="1">IFERROR(XLOOKUP(D1195,'Spec_Single_H&amp;S'!B:B,'Spec_Single_H&amp;S'!F:F),
IFERROR(XLOOKUP(D1195,#REF!,#REF!),""))</f>
        <v/>
      </c>
      <c r="L1195" s="7" t="str">
        <f t="shared" ca="1" si="40"/>
        <v/>
      </c>
    </row>
    <row r="1196" spans="8:12" x14ac:dyDescent="0.3">
      <c r="H1196" s="7" t="str">
        <f>IF(B1196&lt;&gt;"Silicone","",IFERROR(XLOOKUP(D1196,#REF!,#REF!),""))</f>
        <v/>
      </c>
      <c r="J1196" s="7" t="str">
        <f ca="1">IFERROR(XLOOKUP(D1196,'Spec_Single_H&amp;S'!B:B,'Spec_Single_H&amp;S'!E:E),
IFERROR(XLOOKUP(D1196,#REF!,#REF!),""))</f>
        <v/>
      </c>
      <c r="K1196" s="7" t="str">
        <f ca="1">IFERROR(XLOOKUP(D1196,'Spec_Single_H&amp;S'!B:B,'Spec_Single_H&amp;S'!F:F),
IFERROR(XLOOKUP(D1196,#REF!,#REF!),""))</f>
        <v/>
      </c>
      <c r="L1196" s="7" t="str">
        <f t="shared" ca="1" si="40"/>
        <v/>
      </c>
    </row>
    <row r="1197" spans="8:12" x14ac:dyDescent="0.3">
      <c r="H1197" s="7" t="str">
        <f>IF(B1197&lt;&gt;"Silicone","",IFERROR(XLOOKUP(D1197,#REF!,#REF!),""))</f>
        <v/>
      </c>
      <c r="J1197" s="7" t="str">
        <f ca="1">IFERROR(XLOOKUP(D1197,'Spec_Single_H&amp;S'!B:B,'Spec_Single_H&amp;S'!E:E),
IFERROR(XLOOKUP(D1197,#REF!,#REF!),""))</f>
        <v/>
      </c>
      <c r="K1197" s="7" t="str">
        <f ca="1">IFERROR(XLOOKUP(D1197,'Spec_Single_H&amp;S'!B:B,'Spec_Single_H&amp;S'!F:F),
IFERROR(XLOOKUP(D1197,#REF!,#REF!),""))</f>
        <v/>
      </c>
      <c r="L1197" s="7" t="str">
        <f t="shared" ca="1" si="40"/>
        <v/>
      </c>
    </row>
    <row r="1198" spans="8:12" x14ac:dyDescent="0.3">
      <c r="H1198" s="7" t="str">
        <f>IF(B1198&lt;&gt;"Silicone","",IFERROR(XLOOKUP(D1198,#REF!,#REF!),""))</f>
        <v/>
      </c>
      <c r="J1198" s="7" t="str">
        <f ca="1">IFERROR(XLOOKUP(D1198,'Spec_Single_H&amp;S'!B:B,'Spec_Single_H&amp;S'!E:E),
IFERROR(XLOOKUP(D1198,#REF!,#REF!),""))</f>
        <v/>
      </c>
      <c r="K1198" s="7" t="str">
        <f ca="1">IFERROR(XLOOKUP(D1198,'Spec_Single_H&amp;S'!B:B,'Spec_Single_H&amp;S'!F:F),
IFERROR(XLOOKUP(D1198,#REF!,#REF!),""))</f>
        <v/>
      </c>
      <c r="L1198" s="7" t="str">
        <f t="shared" ca="1" si="40"/>
        <v/>
      </c>
    </row>
    <row r="1199" spans="8:12" x14ac:dyDescent="0.3">
      <c r="H1199" s="7" t="str">
        <f>IF(B1199&lt;&gt;"Silicone","",IFERROR(XLOOKUP(D1199,#REF!,#REF!),""))</f>
        <v/>
      </c>
      <c r="J1199" s="7" t="str">
        <f ca="1">IFERROR(XLOOKUP(D1199,'Spec_Single_H&amp;S'!B:B,'Spec_Single_H&amp;S'!E:E),
IFERROR(XLOOKUP(D1199,#REF!,#REF!),""))</f>
        <v/>
      </c>
      <c r="K1199" s="7" t="str">
        <f ca="1">IFERROR(XLOOKUP(D1199,'Spec_Single_H&amp;S'!B:B,'Spec_Single_H&amp;S'!F:F),
IFERROR(XLOOKUP(D1199,#REF!,#REF!),""))</f>
        <v/>
      </c>
      <c r="L1199" s="7" t="str">
        <f t="shared" ca="1" si="40"/>
        <v/>
      </c>
    </row>
    <row r="1200" spans="8:12" x14ac:dyDescent="0.3">
      <c r="H1200" s="7" t="str">
        <f>IF(B1200&lt;&gt;"Silicone","",IFERROR(XLOOKUP(D1200,#REF!,#REF!),""))</f>
        <v/>
      </c>
      <c r="J1200" s="7" t="str">
        <f ca="1">IFERROR(XLOOKUP(D1200,'Spec_Single_H&amp;S'!B:B,'Spec_Single_H&amp;S'!E:E),
IFERROR(XLOOKUP(D1200,#REF!,#REF!),""))</f>
        <v/>
      </c>
      <c r="K1200" s="7" t="str">
        <f ca="1">IFERROR(XLOOKUP(D1200,'Spec_Single_H&amp;S'!B:B,'Spec_Single_H&amp;S'!F:F),
IFERROR(XLOOKUP(D1200,#REF!,#REF!),""))</f>
        <v/>
      </c>
      <c r="L1200" s="7" t="str">
        <f t="shared" ca="1" si="40"/>
        <v/>
      </c>
    </row>
    <row r="1201" spans="8:12" x14ac:dyDescent="0.3">
      <c r="H1201" s="7" t="str">
        <f>IF(B1201&lt;&gt;"Silicone","",IFERROR(XLOOKUP(D1201,#REF!,#REF!),""))</f>
        <v/>
      </c>
      <c r="J1201" s="7" t="str">
        <f ca="1">IFERROR(XLOOKUP(D1201,'Spec_Single_H&amp;S'!B:B,'Spec_Single_H&amp;S'!E:E),
IFERROR(XLOOKUP(D1201,#REF!,#REF!),""))</f>
        <v/>
      </c>
      <c r="K1201" s="7" t="str">
        <f ca="1">IFERROR(XLOOKUP(D1201,'Spec_Single_H&amp;S'!B:B,'Spec_Single_H&amp;S'!F:F),
IFERROR(XLOOKUP(D1201,#REF!,#REF!),""))</f>
        <v/>
      </c>
      <c r="L1201" s="7" t="str">
        <f t="shared" ca="1" si="40"/>
        <v/>
      </c>
    </row>
    <row r="1202" spans="8:12" x14ac:dyDescent="0.3">
      <c r="H1202" s="7" t="str">
        <f>IF(B1202&lt;&gt;"Silicone","",IFERROR(XLOOKUP(D1202,#REF!,#REF!),""))</f>
        <v/>
      </c>
      <c r="J1202" s="7" t="str">
        <f ca="1">IFERROR(XLOOKUP(D1202,'Spec_Single_H&amp;S'!B:B,'Spec_Single_H&amp;S'!E:E),
IFERROR(XLOOKUP(D1202,#REF!,#REF!),""))</f>
        <v/>
      </c>
      <c r="K1202" s="7" t="str">
        <f ca="1">IFERROR(XLOOKUP(D1202,'Spec_Single_H&amp;S'!B:B,'Spec_Single_H&amp;S'!F:F),
IFERROR(XLOOKUP(D1202,#REF!,#REF!),""))</f>
        <v/>
      </c>
      <c r="L1202" s="7" t="str">
        <f t="shared" ca="1" si="40"/>
        <v/>
      </c>
    </row>
    <row r="1203" spans="8:12" x14ac:dyDescent="0.3">
      <c r="H1203" s="7" t="str">
        <f>IF(B1203&lt;&gt;"Silicone","",IFERROR(XLOOKUP(D1203,#REF!,#REF!),""))</f>
        <v/>
      </c>
      <c r="J1203" s="7" t="str">
        <f ca="1">IFERROR(XLOOKUP(D1203,'Spec_Single_H&amp;S'!B:B,'Spec_Single_H&amp;S'!E:E),
IFERROR(XLOOKUP(D1203,#REF!,#REF!),""))</f>
        <v/>
      </c>
      <c r="K1203" s="7" t="str">
        <f ca="1">IFERROR(XLOOKUP(D1203,'Spec_Single_H&amp;S'!B:B,'Spec_Single_H&amp;S'!F:F),
IFERROR(XLOOKUP(D1203,#REF!,#REF!),""))</f>
        <v/>
      </c>
      <c r="L1203" s="7" t="str">
        <f t="shared" ca="1" si="40"/>
        <v/>
      </c>
    </row>
    <row r="1204" spans="8:12" x14ac:dyDescent="0.3">
      <c r="H1204" s="7" t="str">
        <f>IF(B1204&lt;&gt;"Silicone","",IFERROR(XLOOKUP(D1204,#REF!,#REF!),""))</f>
        <v/>
      </c>
      <c r="J1204" s="7" t="str">
        <f ca="1">IFERROR(XLOOKUP(D1204,'Spec_Single_H&amp;S'!B:B,'Spec_Single_H&amp;S'!E:E),
IFERROR(XLOOKUP(D1204,#REF!,#REF!),""))</f>
        <v/>
      </c>
      <c r="K1204" s="7" t="str">
        <f ca="1">IFERROR(XLOOKUP(D1204,'Spec_Single_H&amp;S'!B:B,'Spec_Single_H&amp;S'!F:F),
IFERROR(XLOOKUP(D1204,#REF!,#REF!),""))</f>
        <v/>
      </c>
      <c r="L1204" s="7" t="str">
        <f t="shared" ca="1" si="40"/>
        <v/>
      </c>
    </row>
    <row r="1205" spans="8:12" x14ac:dyDescent="0.3">
      <c r="H1205" s="7" t="str">
        <f>IF(B1205&lt;&gt;"Silicone","",IFERROR(XLOOKUP(D1205,#REF!,#REF!),""))</f>
        <v/>
      </c>
      <c r="J1205" s="7" t="str">
        <f ca="1">IFERROR(XLOOKUP(D1205,'Spec_Single_H&amp;S'!B:B,'Spec_Single_H&amp;S'!E:E),
IFERROR(XLOOKUP(D1205,#REF!,#REF!),""))</f>
        <v/>
      </c>
      <c r="K1205" s="7" t="str">
        <f ca="1">IFERROR(XLOOKUP(D1205,'Spec_Single_H&amp;S'!B:B,'Spec_Single_H&amp;S'!F:F),
IFERROR(XLOOKUP(D1205,#REF!,#REF!),""))</f>
        <v/>
      </c>
      <c r="L1205" s="7" t="str">
        <f t="shared" ca="1" si="40"/>
        <v/>
      </c>
    </row>
    <row r="1206" spans="8:12" x14ac:dyDescent="0.3">
      <c r="H1206" s="7" t="str">
        <f>IF(B1206&lt;&gt;"Silicone","",IFERROR(XLOOKUP(D1206,#REF!,#REF!),""))</f>
        <v/>
      </c>
      <c r="J1206" s="7" t="str">
        <f ca="1">IFERROR(XLOOKUP(D1206,'Spec_Single_H&amp;S'!B:B,'Spec_Single_H&amp;S'!E:E),
IFERROR(XLOOKUP(D1206,#REF!,#REF!),""))</f>
        <v/>
      </c>
      <c r="K1206" s="7" t="str">
        <f ca="1">IFERROR(XLOOKUP(D1206,'Spec_Single_H&amp;S'!B:B,'Spec_Single_H&amp;S'!F:F),
IFERROR(XLOOKUP(D1206,#REF!,#REF!),""))</f>
        <v/>
      </c>
      <c r="L1206" s="7" t="str">
        <f t="shared" ca="1" si="40"/>
        <v/>
      </c>
    </row>
    <row r="1207" spans="8:12" x14ac:dyDescent="0.3">
      <c r="H1207" s="7" t="str">
        <f>IF(B1207&lt;&gt;"Silicone","",IFERROR(XLOOKUP(D1207,#REF!,#REF!),""))</f>
        <v/>
      </c>
      <c r="J1207" s="7" t="str">
        <f ca="1">IFERROR(XLOOKUP(D1207,'Spec_Single_H&amp;S'!B:B,'Spec_Single_H&amp;S'!E:E),
IFERROR(XLOOKUP(D1207,#REF!,#REF!),""))</f>
        <v/>
      </c>
      <c r="K1207" s="7" t="str">
        <f ca="1">IFERROR(XLOOKUP(D1207,'Spec_Single_H&amp;S'!B:B,'Spec_Single_H&amp;S'!F:F),
IFERROR(XLOOKUP(D1207,#REF!,#REF!),""))</f>
        <v/>
      </c>
      <c r="L1207" s="7" t="str">
        <f t="shared" ca="1" si="40"/>
        <v/>
      </c>
    </row>
    <row r="1208" spans="8:12" x14ac:dyDescent="0.3">
      <c r="H1208" s="7" t="str">
        <f>IF(B1208&lt;&gt;"Silicone","",IFERROR(XLOOKUP(D1208,#REF!,#REF!),""))</f>
        <v/>
      </c>
      <c r="J1208" s="7" t="str">
        <f ca="1">IFERROR(XLOOKUP(D1208,'Spec_Single_H&amp;S'!B:B,'Spec_Single_H&amp;S'!E:E),
IFERROR(XLOOKUP(D1208,#REF!,#REF!),""))</f>
        <v/>
      </c>
      <c r="K1208" s="7" t="str">
        <f ca="1">IFERROR(XLOOKUP(D1208,'Spec_Single_H&amp;S'!B:B,'Spec_Single_H&amp;S'!F:F),
IFERROR(XLOOKUP(D1208,#REF!,#REF!),""))</f>
        <v/>
      </c>
      <c r="L1208" s="7" t="str">
        <f t="shared" ca="1" si="40"/>
        <v/>
      </c>
    </row>
    <row r="1209" spans="8:12" x14ac:dyDescent="0.3">
      <c r="H1209" s="7" t="str">
        <f>IF(B1209&lt;&gt;"Silicone","",IFERROR(XLOOKUP(D1209,#REF!,#REF!),""))</f>
        <v/>
      </c>
      <c r="J1209" s="7" t="str">
        <f ca="1">IFERROR(XLOOKUP(D1209,'Spec_Single_H&amp;S'!B:B,'Spec_Single_H&amp;S'!E:E),
IFERROR(XLOOKUP(D1209,#REF!,#REF!),""))</f>
        <v/>
      </c>
      <c r="K1209" s="7" t="str">
        <f ca="1">IFERROR(XLOOKUP(D1209,'Spec_Single_H&amp;S'!B:B,'Spec_Single_H&amp;S'!F:F),
IFERROR(XLOOKUP(D1209,#REF!,#REF!),""))</f>
        <v/>
      </c>
      <c r="L1209" s="7" t="str">
        <f t="shared" ca="1" si="40"/>
        <v/>
      </c>
    </row>
    <row r="1210" spans="8:12" x14ac:dyDescent="0.3">
      <c r="H1210" s="7" t="str">
        <f>IF(B1210&lt;&gt;"Silicone","",IFERROR(XLOOKUP(D1210,#REF!,#REF!),""))</f>
        <v/>
      </c>
      <c r="J1210" s="7" t="str">
        <f ca="1">IFERROR(XLOOKUP(D1210,'Spec_Single_H&amp;S'!B:B,'Spec_Single_H&amp;S'!E:E),
IFERROR(XLOOKUP(D1210,#REF!,#REF!),""))</f>
        <v/>
      </c>
      <c r="K1210" s="7" t="str">
        <f ca="1">IFERROR(XLOOKUP(D1210,'Spec_Single_H&amp;S'!B:B,'Spec_Single_H&amp;S'!F:F),
IFERROR(XLOOKUP(D1210,#REF!,#REF!),""))</f>
        <v/>
      </c>
      <c r="L1210" s="7" t="str">
        <f t="shared" ca="1" si="40"/>
        <v/>
      </c>
    </row>
    <row r="1211" spans="8:12" x14ac:dyDescent="0.3">
      <c r="H1211" s="7" t="str">
        <f>IF(B1211&lt;&gt;"Silicone","",IFERROR(XLOOKUP(D1211,#REF!,#REF!),""))</f>
        <v/>
      </c>
      <c r="J1211" s="7" t="str">
        <f ca="1">IFERROR(XLOOKUP(D1211,'Spec_Single_H&amp;S'!B:B,'Spec_Single_H&amp;S'!E:E),
IFERROR(XLOOKUP(D1211,#REF!,#REF!),""))</f>
        <v/>
      </c>
      <c r="K1211" s="7" t="str">
        <f ca="1">IFERROR(XLOOKUP(D1211,'Spec_Single_H&amp;S'!B:B,'Spec_Single_H&amp;S'!F:F),
IFERROR(XLOOKUP(D1211,#REF!,#REF!),""))</f>
        <v/>
      </c>
      <c r="L1211" s="7" t="str">
        <f t="shared" ca="1" si="40"/>
        <v/>
      </c>
    </row>
    <row r="1212" spans="8:12" x14ac:dyDescent="0.3">
      <c r="H1212" s="7" t="str">
        <f>IF(B1212&lt;&gt;"Silicone","",IFERROR(XLOOKUP(D1212,#REF!,#REF!),""))</f>
        <v/>
      </c>
      <c r="J1212" s="7" t="str">
        <f ca="1">IFERROR(XLOOKUP(D1212,'Spec_Single_H&amp;S'!B:B,'Spec_Single_H&amp;S'!E:E),
IFERROR(XLOOKUP(D1212,#REF!,#REF!),""))</f>
        <v/>
      </c>
      <c r="K1212" s="7" t="str">
        <f ca="1">IFERROR(XLOOKUP(D1212,'Spec_Single_H&amp;S'!B:B,'Spec_Single_H&amp;S'!F:F),
IFERROR(XLOOKUP(D1212,#REF!,#REF!),""))</f>
        <v/>
      </c>
      <c r="L1212" s="7" t="str">
        <f t="shared" ca="1" si="40"/>
        <v/>
      </c>
    </row>
    <row r="1213" spans="8:12" x14ac:dyDescent="0.3">
      <c r="H1213" s="7" t="str">
        <f>IF(B1213&lt;&gt;"Silicone","",IFERROR(XLOOKUP(D1213,#REF!,#REF!),""))</f>
        <v/>
      </c>
      <c r="J1213" s="7" t="str">
        <f ca="1">IFERROR(XLOOKUP(D1213,'Spec_Single_H&amp;S'!B:B,'Spec_Single_H&amp;S'!E:E),
IFERROR(XLOOKUP(D1213,#REF!,#REF!),""))</f>
        <v/>
      </c>
      <c r="K1213" s="7" t="str">
        <f ca="1">IFERROR(XLOOKUP(D1213,'Spec_Single_H&amp;S'!B:B,'Spec_Single_H&amp;S'!F:F),
IFERROR(XLOOKUP(D1213,#REF!,#REF!),""))</f>
        <v/>
      </c>
      <c r="L1213" s="7" t="str">
        <f t="shared" ca="1" si="40"/>
        <v/>
      </c>
    </row>
    <row r="1214" spans="8:12" x14ac:dyDescent="0.3">
      <c r="H1214" s="7" t="str">
        <f>IF(B1214&lt;&gt;"Silicone","",IFERROR(XLOOKUP(D1214,#REF!,#REF!),""))</f>
        <v/>
      </c>
      <c r="J1214" s="7" t="str">
        <f ca="1">IFERROR(XLOOKUP(D1214,'Spec_Single_H&amp;S'!B:B,'Spec_Single_H&amp;S'!E:E),
IFERROR(XLOOKUP(D1214,#REF!,#REF!),""))</f>
        <v/>
      </c>
      <c r="K1214" s="7" t="str">
        <f ca="1">IFERROR(XLOOKUP(D1214,'Spec_Single_H&amp;S'!B:B,'Spec_Single_H&amp;S'!F:F),
IFERROR(XLOOKUP(D1214,#REF!,#REF!),""))</f>
        <v/>
      </c>
      <c r="L1214" s="7" t="str">
        <f t="shared" ca="1" si="40"/>
        <v/>
      </c>
    </row>
    <row r="1215" spans="8:12" x14ac:dyDescent="0.3">
      <c r="H1215" s="7" t="str">
        <f>IF(B1215&lt;&gt;"Silicone","",IFERROR(XLOOKUP(D1215,#REF!,#REF!),""))</f>
        <v/>
      </c>
      <c r="J1215" s="7" t="str">
        <f ca="1">IFERROR(XLOOKUP(D1215,'Spec_Single_H&amp;S'!B:B,'Spec_Single_H&amp;S'!E:E),
IFERROR(XLOOKUP(D1215,#REF!,#REF!),""))</f>
        <v/>
      </c>
      <c r="K1215" s="7" t="str">
        <f ca="1">IFERROR(XLOOKUP(D1215,'Spec_Single_H&amp;S'!B:B,'Spec_Single_H&amp;S'!F:F),
IFERROR(XLOOKUP(D1215,#REF!,#REF!),""))</f>
        <v/>
      </c>
      <c r="L1215" s="7" t="str">
        <f t="shared" ca="1" si="40"/>
        <v/>
      </c>
    </row>
    <row r="1216" spans="8:12" x14ac:dyDescent="0.3">
      <c r="H1216" s="7" t="str">
        <f>IF(B1216&lt;&gt;"Silicone","",IFERROR(XLOOKUP(D1216,#REF!,#REF!),""))</f>
        <v/>
      </c>
      <c r="J1216" s="7" t="str">
        <f ca="1">IFERROR(XLOOKUP(D1216,'Spec_Single_H&amp;S'!B:B,'Spec_Single_H&amp;S'!E:E),
IFERROR(XLOOKUP(D1216,#REF!,#REF!),""))</f>
        <v/>
      </c>
      <c r="K1216" s="7" t="str">
        <f ca="1">IFERROR(XLOOKUP(D1216,'Spec_Single_H&amp;S'!B:B,'Spec_Single_H&amp;S'!F:F),
IFERROR(XLOOKUP(D1216,#REF!,#REF!),""))</f>
        <v/>
      </c>
      <c r="L1216" s="7" t="str">
        <f t="shared" ca="1" si="40"/>
        <v/>
      </c>
    </row>
    <row r="1217" spans="8:12" x14ac:dyDescent="0.3">
      <c r="H1217" s="7" t="str">
        <f>IF(B1217&lt;&gt;"Silicone","",IFERROR(XLOOKUP(D1217,#REF!,#REF!),""))</f>
        <v/>
      </c>
      <c r="J1217" s="7" t="str">
        <f ca="1">IFERROR(XLOOKUP(D1217,'Spec_Single_H&amp;S'!B:B,'Spec_Single_H&amp;S'!E:E),
IFERROR(XLOOKUP(D1217,#REF!,#REF!),""))</f>
        <v/>
      </c>
      <c r="K1217" s="7" t="str">
        <f ca="1">IFERROR(XLOOKUP(D1217,'Spec_Single_H&amp;S'!B:B,'Spec_Single_H&amp;S'!F:F),
IFERROR(XLOOKUP(D1217,#REF!,#REF!),""))</f>
        <v/>
      </c>
      <c r="L1217" s="7" t="str">
        <f t="shared" ca="1" si="40"/>
        <v/>
      </c>
    </row>
    <row r="1218" spans="8:12" x14ac:dyDescent="0.3">
      <c r="H1218" s="7" t="str">
        <f>IF(B1218&lt;&gt;"Silicone","",IFERROR(XLOOKUP(D1218,#REF!,#REF!),""))</f>
        <v/>
      </c>
      <c r="J1218" s="7" t="str">
        <f ca="1">IFERROR(XLOOKUP(D1218,'Spec_Single_H&amp;S'!B:B,'Spec_Single_H&amp;S'!E:E),
IFERROR(XLOOKUP(D1218,#REF!,#REF!),""))</f>
        <v/>
      </c>
      <c r="K1218" s="7" t="str">
        <f ca="1">IFERROR(XLOOKUP(D1218,'Spec_Single_H&amp;S'!B:B,'Spec_Single_H&amp;S'!F:F),
IFERROR(XLOOKUP(D1218,#REF!,#REF!),""))</f>
        <v/>
      </c>
      <c r="L1218" s="7" t="str">
        <f t="shared" ca="1" si="40"/>
        <v/>
      </c>
    </row>
    <row r="1219" spans="8:12" x14ac:dyDescent="0.3">
      <c r="H1219" s="7" t="str">
        <f>IF(B1219&lt;&gt;"Silicone","",IFERROR(XLOOKUP(D1219,#REF!,#REF!),""))</f>
        <v/>
      </c>
      <c r="J1219" s="7" t="str">
        <f ca="1">IFERROR(XLOOKUP(D1219,'Spec_Single_H&amp;S'!B:B,'Spec_Single_H&amp;S'!E:E),
IFERROR(XLOOKUP(D1219,#REF!,#REF!),""))</f>
        <v/>
      </c>
      <c r="K1219" s="7" t="str">
        <f ca="1">IFERROR(XLOOKUP(D1219,'Spec_Single_H&amp;S'!B:B,'Spec_Single_H&amp;S'!F:F),
IFERROR(XLOOKUP(D1219,#REF!,#REF!),""))</f>
        <v/>
      </c>
      <c r="L1219" s="7" t="str">
        <f t="shared" ca="1" si="40"/>
        <v/>
      </c>
    </row>
    <row r="1220" spans="8:12" x14ac:dyDescent="0.3">
      <c r="H1220" s="7" t="str">
        <f>IF(B1220&lt;&gt;"Silicone","",IFERROR(XLOOKUP(D1220,#REF!,#REF!),""))</f>
        <v/>
      </c>
      <c r="J1220" s="7" t="str">
        <f ca="1">IFERROR(XLOOKUP(D1220,'Spec_Single_H&amp;S'!B:B,'Spec_Single_H&amp;S'!E:E),
IFERROR(XLOOKUP(D1220,#REF!,#REF!),""))</f>
        <v/>
      </c>
      <c r="K1220" s="7" t="str">
        <f ca="1">IFERROR(XLOOKUP(D1220,'Spec_Single_H&amp;S'!B:B,'Spec_Single_H&amp;S'!F:F),
IFERROR(XLOOKUP(D1220,#REF!,#REF!),""))</f>
        <v/>
      </c>
      <c r="L1220" s="7" t="str">
        <f t="shared" ca="1" si="40"/>
        <v/>
      </c>
    </row>
    <row r="1221" spans="8:12" x14ac:dyDescent="0.3">
      <c r="H1221" s="7" t="str">
        <f>IF(B1221&lt;&gt;"Silicone","",IFERROR(XLOOKUP(D1221,#REF!,#REF!),""))</f>
        <v/>
      </c>
      <c r="J1221" s="7" t="str">
        <f ca="1">IFERROR(XLOOKUP(D1221,'Spec_Single_H&amp;S'!B:B,'Spec_Single_H&amp;S'!E:E),
IFERROR(XLOOKUP(D1221,#REF!,#REF!),""))</f>
        <v/>
      </c>
      <c r="K1221" s="7" t="str">
        <f ca="1">IFERROR(XLOOKUP(D1221,'Spec_Single_H&amp;S'!B:B,'Spec_Single_H&amp;S'!F:F),
IFERROR(XLOOKUP(D1221,#REF!,#REF!),""))</f>
        <v/>
      </c>
      <c r="L1221" s="7" t="str">
        <f t="shared" ca="1" si="40"/>
        <v/>
      </c>
    </row>
    <row r="1222" spans="8:12" x14ac:dyDescent="0.3">
      <c r="H1222" s="7" t="str">
        <f>IF(B1222&lt;&gt;"Silicone","",IFERROR(XLOOKUP(D1222,#REF!,#REF!),""))</f>
        <v/>
      </c>
      <c r="J1222" s="7" t="str">
        <f ca="1">IFERROR(XLOOKUP(D1222,'Spec_Single_H&amp;S'!B:B,'Spec_Single_H&amp;S'!E:E),
IFERROR(XLOOKUP(D1222,#REF!,#REF!),""))</f>
        <v/>
      </c>
      <c r="K1222" s="7" t="str">
        <f ca="1">IFERROR(XLOOKUP(D1222,'Spec_Single_H&amp;S'!B:B,'Spec_Single_H&amp;S'!F:F),
IFERROR(XLOOKUP(D1222,#REF!,#REF!),""))</f>
        <v/>
      </c>
      <c r="L1222" s="7" t="str">
        <f t="shared" ca="1" si="40"/>
        <v/>
      </c>
    </row>
    <row r="1223" spans="8:12" x14ac:dyDescent="0.3">
      <c r="H1223" s="7" t="str">
        <f>IF(B1223&lt;&gt;"Silicone","",IFERROR(XLOOKUP(D1223,#REF!,#REF!),""))</f>
        <v/>
      </c>
      <c r="J1223" s="7" t="str">
        <f ca="1">IFERROR(XLOOKUP(D1223,'Spec_Single_H&amp;S'!B:B,'Spec_Single_H&amp;S'!E:E),
IFERROR(XLOOKUP(D1223,#REF!,#REF!),""))</f>
        <v/>
      </c>
      <c r="K1223" s="7" t="str">
        <f ca="1">IFERROR(XLOOKUP(D1223,'Spec_Single_H&amp;S'!B:B,'Spec_Single_H&amp;S'!F:F),
IFERROR(XLOOKUP(D1223,#REF!,#REF!),""))</f>
        <v/>
      </c>
      <c r="L1223" s="7" t="str">
        <f t="shared" ca="1" si="40"/>
        <v/>
      </c>
    </row>
    <row r="1224" spans="8:12" x14ac:dyDescent="0.3">
      <c r="H1224" s="7" t="str">
        <f>IF(B1224&lt;&gt;"Silicone","",IFERROR(XLOOKUP(D1224,#REF!,#REF!),""))</f>
        <v/>
      </c>
      <c r="J1224" s="7" t="str">
        <f ca="1">IFERROR(XLOOKUP(D1224,'Spec_Single_H&amp;S'!B:B,'Spec_Single_H&amp;S'!E:E),
IFERROR(XLOOKUP(D1224,#REF!,#REF!),""))</f>
        <v/>
      </c>
      <c r="K1224" s="7" t="str">
        <f ca="1">IFERROR(XLOOKUP(D1224,'Spec_Single_H&amp;S'!B:B,'Spec_Single_H&amp;S'!F:F),
IFERROR(XLOOKUP(D1224,#REF!,#REF!),""))</f>
        <v/>
      </c>
      <c r="L1224" s="7" t="str">
        <f t="shared" ref="L1224:L1287" ca="1" si="41">IF(AND(NOT(ISBLANK(I1224)),I1224&gt;=J1224,I1224&lt;=K1224),"적합",IF(ISBLANK(I1224),"", "부적합"))</f>
        <v/>
      </c>
    </row>
    <row r="1225" spans="8:12" x14ac:dyDescent="0.3">
      <c r="H1225" s="7" t="str">
        <f>IF(B1225&lt;&gt;"Silicone","",IFERROR(XLOOKUP(D1225,#REF!,#REF!),""))</f>
        <v/>
      </c>
      <c r="J1225" s="7" t="str">
        <f ca="1">IFERROR(XLOOKUP(D1225,'Spec_Single_H&amp;S'!B:B,'Spec_Single_H&amp;S'!E:E),
IFERROR(XLOOKUP(D1225,#REF!,#REF!),""))</f>
        <v/>
      </c>
      <c r="K1225" s="7" t="str">
        <f ca="1">IFERROR(XLOOKUP(D1225,'Spec_Single_H&amp;S'!B:B,'Spec_Single_H&amp;S'!F:F),
IFERROR(XLOOKUP(D1225,#REF!,#REF!),""))</f>
        <v/>
      </c>
      <c r="L1225" s="7" t="str">
        <f t="shared" ca="1" si="41"/>
        <v/>
      </c>
    </row>
    <row r="1226" spans="8:12" x14ac:dyDescent="0.3">
      <c r="H1226" s="7" t="str">
        <f>IF(B1226&lt;&gt;"Silicone","",IFERROR(XLOOKUP(D1226,#REF!,#REF!),""))</f>
        <v/>
      </c>
      <c r="J1226" s="7" t="str">
        <f ca="1">IFERROR(XLOOKUP(D1226,'Spec_Single_H&amp;S'!B:B,'Spec_Single_H&amp;S'!E:E),
IFERROR(XLOOKUP(D1226,#REF!,#REF!),""))</f>
        <v/>
      </c>
      <c r="K1226" s="7" t="str">
        <f ca="1">IFERROR(XLOOKUP(D1226,'Spec_Single_H&amp;S'!B:B,'Spec_Single_H&amp;S'!F:F),
IFERROR(XLOOKUP(D1226,#REF!,#REF!),""))</f>
        <v/>
      </c>
      <c r="L1226" s="7" t="str">
        <f t="shared" ca="1" si="41"/>
        <v/>
      </c>
    </row>
    <row r="1227" spans="8:12" x14ac:dyDescent="0.3">
      <c r="H1227" s="7" t="str">
        <f>IF(B1227&lt;&gt;"Silicone","",IFERROR(XLOOKUP(D1227,#REF!,#REF!),""))</f>
        <v/>
      </c>
      <c r="J1227" s="7" t="str">
        <f ca="1">IFERROR(XLOOKUP(D1227,'Spec_Single_H&amp;S'!B:B,'Spec_Single_H&amp;S'!E:E),
IFERROR(XLOOKUP(D1227,#REF!,#REF!),""))</f>
        <v/>
      </c>
      <c r="K1227" s="7" t="str">
        <f ca="1">IFERROR(XLOOKUP(D1227,'Spec_Single_H&amp;S'!B:B,'Spec_Single_H&amp;S'!F:F),
IFERROR(XLOOKUP(D1227,#REF!,#REF!),""))</f>
        <v/>
      </c>
      <c r="L1227" s="7" t="str">
        <f t="shared" ca="1" si="41"/>
        <v/>
      </c>
    </row>
    <row r="1228" spans="8:12" x14ac:dyDescent="0.3">
      <c r="H1228" s="7" t="str">
        <f>IF(B1228&lt;&gt;"Silicone","",IFERROR(XLOOKUP(D1228,#REF!,#REF!),""))</f>
        <v/>
      </c>
      <c r="J1228" s="7" t="str">
        <f ca="1">IFERROR(XLOOKUP(D1228,'Spec_Single_H&amp;S'!B:B,'Spec_Single_H&amp;S'!E:E),
IFERROR(XLOOKUP(D1228,#REF!,#REF!),""))</f>
        <v/>
      </c>
      <c r="K1228" s="7" t="str">
        <f ca="1">IFERROR(XLOOKUP(D1228,'Spec_Single_H&amp;S'!B:B,'Spec_Single_H&amp;S'!F:F),
IFERROR(XLOOKUP(D1228,#REF!,#REF!),""))</f>
        <v/>
      </c>
      <c r="L1228" s="7" t="str">
        <f t="shared" ca="1" si="41"/>
        <v/>
      </c>
    </row>
    <row r="1229" spans="8:12" x14ac:dyDescent="0.3">
      <c r="H1229" s="7" t="str">
        <f>IF(B1229&lt;&gt;"Silicone","",IFERROR(XLOOKUP(D1229,#REF!,#REF!),""))</f>
        <v/>
      </c>
      <c r="J1229" s="7" t="str">
        <f ca="1">IFERROR(XLOOKUP(D1229,'Spec_Single_H&amp;S'!B:B,'Spec_Single_H&amp;S'!E:E),
IFERROR(XLOOKUP(D1229,#REF!,#REF!),""))</f>
        <v/>
      </c>
      <c r="K1229" s="7" t="str">
        <f ca="1">IFERROR(XLOOKUP(D1229,'Spec_Single_H&amp;S'!B:B,'Spec_Single_H&amp;S'!F:F),
IFERROR(XLOOKUP(D1229,#REF!,#REF!),""))</f>
        <v/>
      </c>
      <c r="L1229" s="7" t="str">
        <f t="shared" ca="1" si="41"/>
        <v/>
      </c>
    </row>
    <row r="1230" spans="8:12" x14ac:dyDescent="0.3">
      <c r="H1230" s="7" t="str">
        <f>IF(B1230&lt;&gt;"Silicone","",IFERROR(XLOOKUP(D1230,#REF!,#REF!),""))</f>
        <v/>
      </c>
      <c r="J1230" s="7" t="str">
        <f ca="1">IFERROR(XLOOKUP(D1230,'Spec_Single_H&amp;S'!B:B,'Spec_Single_H&amp;S'!E:E),
IFERROR(XLOOKUP(D1230,#REF!,#REF!),""))</f>
        <v/>
      </c>
      <c r="K1230" s="7" t="str">
        <f ca="1">IFERROR(XLOOKUP(D1230,'Spec_Single_H&amp;S'!B:B,'Spec_Single_H&amp;S'!F:F),
IFERROR(XLOOKUP(D1230,#REF!,#REF!),""))</f>
        <v/>
      </c>
      <c r="L1230" s="7" t="str">
        <f t="shared" ca="1" si="41"/>
        <v/>
      </c>
    </row>
    <row r="1231" spans="8:12" x14ac:dyDescent="0.3">
      <c r="H1231" s="7" t="str">
        <f>IF(B1231&lt;&gt;"Silicone","",IFERROR(XLOOKUP(D1231,#REF!,#REF!),""))</f>
        <v/>
      </c>
      <c r="J1231" s="7" t="str">
        <f ca="1">IFERROR(XLOOKUP(D1231,'Spec_Single_H&amp;S'!B:B,'Spec_Single_H&amp;S'!E:E),
IFERROR(XLOOKUP(D1231,#REF!,#REF!),""))</f>
        <v/>
      </c>
      <c r="K1231" s="7" t="str">
        <f ca="1">IFERROR(XLOOKUP(D1231,'Spec_Single_H&amp;S'!B:B,'Spec_Single_H&amp;S'!F:F),
IFERROR(XLOOKUP(D1231,#REF!,#REF!),""))</f>
        <v/>
      </c>
      <c r="L1231" s="7" t="str">
        <f t="shared" ca="1" si="41"/>
        <v/>
      </c>
    </row>
    <row r="1232" spans="8:12" x14ac:dyDescent="0.3">
      <c r="H1232" s="7" t="str">
        <f>IF(B1232&lt;&gt;"Silicone","",IFERROR(XLOOKUP(D1232,#REF!,#REF!),""))</f>
        <v/>
      </c>
      <c r="J1232" s="7" t="str">
        <f ca="1">IFERROR(XLOOKUP(D1232,'Spec_Single_H&amp;S'!B:B,'Spec_Single_H&amp;S'!E:E),
IFERROR(XLOOKUP(D1232,#REF!,#REF!),""))</f>
        <v/>
      </c>
      <c r="K1232" s="7" t="str">
        <f ca="1">IFERROR(XLOOKUP(D1232,'Spec_Single_H&amp;S'!B:B,'Spec_Single_H&amp;S'!F:F),
IFERROR(XLOOKUP(D1232,#REF!,#REF!),""))</f>
        <v/>
      </c>
      <c r="L1232" s="7" t="str">
        <f t="shared" ca="1" si="41"/>
        <v/>
      </c>
    </row>
    <row r="1233" spans="8:12" x14ac:dyDescent="0.3">
      <c r="H1233" s="7" t="str">
        <f>IF(B1233&lt;&gt;"Silicone","",IFERROR(XLOOKUP(D1233,#REF!,#REF!),""))</f>
        <v/>
      </c>
      <c r="J1233" s="7" t="str">
        <f ca="1">IFERROR(XLOOKUP(D1233,'Spec_Single_H&amp;S'!B:B,'Spec_Single_H&amp;S'!E:E),
IFERROR(XLOOKUP(D1233,#REF!,#REF!),""))</f>
        <v/>
      </c>
      <c r="K1233" s="7" t="str">
        <f ca="1">IFERROR(XLOOKUP(D1233,'Spec_Single_H&amp;S'!B:B,'Spec_Single_H&amp;S'!F:F),
IFERROR(XLOOKUP(D1233,#REF!,#REF!),""))</f>
        <v/>
      </c>
      <c r="L1233" s="7" t="str">
        <f t="shared" ca="1" si="41"/>
        <v/>
      </c>
    </row>
    <row r="1234" spans="8:12" x14ac:dyDescent="0.3">
      <c r="H1234" s="7" t="str">
        <f>IF(B1234&lt;&gt;"Silicone","",IFERROR(XLOOKUP(D1234,#REF!,#REF!),""))</f>
        <v/>
      </c>
      <c r="J1234" s="7" t="str">
        <f ca="1">IFERROR(XLOOKUP(D1234,'Spec_Single_H&amp;S'!B:B,'Spec_Single_H&amp;S'!E:E),
IFERROR(XLOOKUP(D1234,#REF!,#REF!),""))</f>
        <v/>
      </c>
      <c r="K1234" s="7" t="str">
        <f ca="1">IFERROR(XLOOKUP(D1234,'Spec_Single_H&amp;S'!B:B,'Spec_Single_H&amp;S'!F:F),
IFERROR(XLOOKUP(D1234,#REF!,#REF!),""))</f>
        <v/>
      </c>
      <c r="L1234" s="7" t="str">
        <f t="shared" ca="1" si="41"/>
        <v/>
      </c>
    </row>
    <row r="1235" spans="8:12" x14ac:dyDescent="0.3">
      <c r="H1235" s="7" t="str">
        <f>IF(B1235&lt;&gt;"Silicone","",IFERROR(XLOOKUP(D1235,#REF!,#REF!),""))</f>
        <v/>
      </c>
      <c r="J1235" s="7" t="str">
        <f ca="1">IFERROR(XLOOKUP(D1235,'Spec_Single_H&amp;S'!B:B,'Spec_Single_H&amp;S'!E:E),
IFERROR(XLOOKUP(D1235,#REF!,#REF!),""))</f>
        <v/>
      </c>
      <c r="K1235" s="7" t="str">
        <f ca="1">IFERROR(XLOOKUP(D1235,'Spec_Single_H&amp;S'!B:B,'Spec_Single_H&amp;S'!F:F),
IFERROR(XLOOKUP(D1235,#REF!,#REF!),""))</f>
        <v/>
      </c>
      <c r="L1235" s="7" t="str">
        <f t="shared" ca="1" si="41"/>
        <v/>
      </c>
    </row>
    <row r="1236" spans="8:12" x14ac:dyDescent="0.3">
      <c r="H1236" s="7" t="str">
        <f>IF(B1236&lt;&gt;"Silicone","",IFERROR(XLOOKUP(D1236,#REF!,#REF!),""))</f>
        <v/>
      </c>
      <c r="J1236" s="7" t="str">
        <f ca="1">IFERROR(XLOOKUP(D1236,'Spec_Single_H&amp;S'!B:B,'Spec_Single_H&amp;S'!E:E),
IFERROR(XLOOKUP(D1236,#REF!,#REF!),""))</f>
        <v/>
      </c>
      <c r="K1236" s="7" t="str">
        <f ca="1">IFERROR(XLOOKUP(D1236,'Spec_Single_H&amp;S'!B:B,'Spec_Single_H&amp;S'!F:F),
IFERROR(XLOOKUP(D1236,#REF!,#REF!),""))</f>
        <v/>
      </c>
      <c r="L1236" s="7" t="str">
        <f t="shared" ca="1" si="41"/>
        <v/>
      </c>
    </row>
    <row r="1237" spans="8:12" x14ac:dyDescent="0.3">
      <c r="H1237" s="7" t="str">
        <f>IF(B1237&lt;&gt;"Silicone","",IFERROR(XLOOKUP(D1237,#REF!,#REF!),""))</f>
        <v/>
      </c>
      <c r="J1237" s="7" t="str">
        <f ca="1">IFERROR(XLOOKUP(D1237,'Spec_Single_H&amp;S'!B:B,'Spec_Single_H&amp;S'!E:E),
IFERROR(XLOOKUP(D1237,#REF!,#REF!),""))</f>
        <v/>
      </c>
      <c r="K1237" s="7" t="str">
        <f ca="1">IFERROR(XLOOKUP(D1237,'Spec_Single_H&amp;S'!B:B,'Spec_Single_H&amp;S'!F:F),
IFERROR(XLOOKUP(D1237,#REF!,#REF!),""))</f>
        <v/>
      </c>
      <c r="L1237" s="7" t="str">
        <f t="shared" ca="1" si="41"/>
        <v/>
      </c>
    </row>
    <row r="1238" spans="8:12" x14ac:dyDescent="0.3">
      <c r="H1238" s="7" t="str">
        <f>IF(B1238&lt;&gt;"Silicone","",IFERROR(XLOOKUP(D1238,#REF!,#REF!),""))</f>
        <v/>
      </c>
      <c r="J1238" s="7" t="str">
        <f ca="1">IFERROR(XLOOKUP(D1238,'Spec_Single_H&amp;S'!B:B,'Spec_Single_H&amp;S'!E:E),
IFERROR(XLOOKUP(D1238,#REF!,#REF!),""))</f>
        <v/>
      </c>
      <c r="K1238" s="7" t="str">
        <f ca="1">IFERROR(XLOOKUP(D1238,'Spec_Single_H&amp;S'!B:B,'Spec_Single_H&amp;S'!F:F),
IFERROR(XLOOKUP(D1238,#REF!,#REF!),""))</f>
        <v/>
      </c>
      <c r="L1238" s="7" t="str">
        <f t="shared" ca="1" si="41"/>
        <v/>
      </c>
    </row>
    <row r="1239" spans="8:12" x14ac:dyDescent="0.3">
      <c r="H1239" s="7" t="str">
        <f>IF(B1239&lt;&gt;"Silicone","",IFERROR(XLOOKUP(D1239,#REF!,#REF!),""))</f>
        <v/>
      </c>
      <c r="J1239" s="7" t="str">
        <f ca="1">IFERROR(XLOOKUP(D1239,'Spec_Single_H&amp;S'!B:B,'Spec_Single_H&amp;S'!E:E),
IFERROR(XLOOKUP(D1239,#REF!,#REF!),""))</f>
        <v/>
      </c>
      <c r="K1239" s="7" t="str">
        <f ca="1">IFERROR(XLOOKUP(D1239,'Spec_Single_H&amp;S'!B:B,'Spec_Single_H&amp;S'!F:F),
IFERROR(XLOOKUP(D1239,#REF!,#REF!),""))</f>
        <v/>
      </c>
      <c r="L1239" s="7" t="str">
        <f t="shared" ca="1" si="41"/>
        <v/>
      </c>
    </row>
    <row r="1240" spans="8:12" x14ac:dyDescent="0.3">
      <c r="H1240" s="7" t="str">
        <f>IF(B1240&lt;&gt;"Silicone","",IFERROR(XLOOKUP(D1240,#REF!,#REF!),""))</f>
        <v/>
      </c>
      <c r="J1240" s="7" t="str">
        <f ca="1">IFERROR(XLOOKUP(D1240,'Spec_Single_H&amp;S'!B:B,'Spec_Single_H&amp;S'!E:E),
IFERROR(XLOOKUP(D1240,#REF!,#REF!),""))</f>
        <v/>
      </c>
      <c r="K1240" s="7" t="str">
        <f ca="1">IFERROR(XLOOKUP(D1240,'Spec_Single_H&amp;S'!B:B,'Spec_Single_H&amp;S'!F:F),
IFERROR(XLOOKUP(D1240,#REF!,#REF!),""))</f>
        <v/>
      </c>
      <c r="L1240" s="7" t="str">
        <f t="shared" ca="1" si="41"/>
        <v/>
      </c>
    </row>
    <row r="1241" spans="8:12" x14ac:dyDescent="0.3">
      <c r="H1241" s="7" t="str">
        <f>IF(B1241&lt;&gt;"Silicone","",IFERROR(XLOOKUP(D1241,#REF!,#REF!),""))</f>
        <v/>
      </c>
      <c r="J1241" s="7" t="str">
        <f ca="1">IFERROR(XLOOKUP(D1241,'Spec_Single_H&amp;S'!B:B,'Spec_Single_H&amp;S'!E:E),
IFERROR(XLOOKUP(D1241,#REF!,#REF!),""))</f>
        <v/>
      </c>
      <c r="K1241" s="7" t="str">
        <f ca="1">IFERROR(XLOOKUP(D1241,'Spec_Single_H&amp;S'!B:B,'Spec_Single_H&amp;S'!F:F),
IFERROR(XLOOKUP(D1241,#REF!,#REF!),""))</f>
        <v/>
      </c>
      <c r="L1241" s="7" t="str">
        <f t="shared" ca="1" si="41"/>
        <v/>
      </c>
    </row>
    <row r="1242" spans="8:12" x14ac:dyDescent="0.3">
      <c r="H1242" s="7" t="str">
        <f>IF(B1242&lt;&gt;"Silicone","",IFERROR(XLOOKUP(D1242,#REF!,#REF!),""))</f>
        <v/>
      </c>
      <c r="J1242" s="7" t="str">
        <f ca="1">IFERROR(XLOOKUP(D1242,'Spec_Single_H&amp;S'!B:B,'Spec_Single_H&amp;S'!E:E),
IFERROR(XLOOKUP(D1242,#REF!,#REF!),""))</f>
        <v/>
      </c>
      <c r="K1242" s="7" t="str">
        <f ca="1">IFERROR(XLOOKUP(D1242,'Spec_Single_H&amp;S'!B:B,'Spec_Single_H&amp;S'!F:F),
IFERROR(XLOOKUP(D1242,#REF!,#REF!),""))</f>
        <v/>
      </c>
      <c r="L1242" s="7" t="str">
        <f t="shared" ca="1" si="41"/>
        <v/>
      </c>
    </row>
    <row r="1243" spans="8:12" x14ac:dyDescent="0.3">
      <c r="H1243" s="7" t="str">
        <f>IF(B1243&lt;&gt;"Silicone","",IFERROR(XLOOKUP(D1243,#REF!,#REF!),""))</f>
        <v/>
      </c>
      <c r="J1243" s="7" t="str">
        <f ca="1">IFERROR(XLOOKUP(D1243,'Spec_Single_H&amp;S'!B:B,'Spec_Single_H&amp;S'!E:E),
IFERROR(XLOOKUP(D1243,#REF!,#REF!),""))</f>
        <v/>
      </c>
      <c r="K1243" s="7" t="str">
        <f ca="1">IFERROR(XLOOKUP(D1243,'Spec_Single_H&amp;S'!B:B,'Spec_Single_H&amp;S'!F:F),
IFERROR(XLOOKUP(D1243,#REF!,#REF!),""))</f>
        <v/>
      </c>
      <c r="L1243" s="7" t="str">
        <f t="shared" ca="1" si="41"/>
        <v/>
      </c>
    </row>
    <row r="1244" spans="8:12" x14ac:dyDescent="0.3">
      <c r="H1244" s="7" t="str">
        <f>IF(B1244&lt;&gt;"Silicone","",IFERROR(XLOOKUP(D1244,#REF!,#REF!),""))</f>
        <v/>
      </c>
      <c r="J1244" s="7" t="str">
        <f ca="1">IFERROR(XLOOKUP(D1244,'Spec_Single_H&amp;S'!B:B,'Spec_Single_H&amp;S'!E:E),
IFERROR(XLOOKUP(D1244,#REF!,#REF!),""))</f>
        <v/>
      </c>
      <c r="K1244" s="7" t="str">
        <f ca="1">IFERROR(XLOOKUP(D1244,'Spec_Single_H&amp;S'!B:B,'Spec_Single_H&amp;S'!F:F),
IFERROR(XLOOKUP(D1244,#REF!,#REF!),""))</f>
        <v/>
      </c>
      <c r="L1244" s="7" t="str">
        <f t="shared" ca="1" si="41"/>
        <v/>
      </c>
    </row>
    <row r="1245" spans="8:12" x14ac:dyDescent="0.3">
      <c r="H1245" s="7" t="str">
        <f>IF(B1245&lt;&gt;"Silicone","",IFERROR(XLOOKUP(D1245,#REF!,#REF!),""))</f>
        <v/>
      </c>
      <c r="J1245" s="7" t="str">
        <f ca="1">IFERROR(XLOOKUP(D1245,'Spec_Single_H&amp;S'!B:B,'Spec_Single_H&amp;S'!E:E),
IFERROR(XLOOKUP(D1245,#REF!,#REF!),""))</f>
        <v/>
      </c>
      <c r="K1245" s="7" t="str">
        <f ca="1">IFERROR(XLOOKUP(D1245,'Spec_Single_H&amp;S'!B:B,'Spec_Single_H&amp;S'!F:F),
IFERROR(XLOOKUP(D1245,#REF!,#REF!),""))</f>
        <v/>
      </c>
      <c r="L1245" s="7" t="str">
        <f t="shared" ca="1" si="41"/>
        <v/>
      </c>
    </row>
    <row r="1246" spans="8:12" x14ac:dyDescent="0.3">
      <c r="H1246" s="7" t="str">
        <f>IF(B1246&lt;&gt;"Silicone","",IFERROR(XLOOKUP(D1246,#REF!,#REF!),""))</f>
        <v/>
      </c>
      <c r="J1246" s="7" t="str">
        <f ca="1">IFERROR(XLOOKUP(D1246,'Spec_Single_H&amp;S'!B:B,'Spec_Single_H&amp;S'!E:E),
IFERROR(XLOOKUP(D1246,#REF!,#REF!),""))</f>
        <v/>
      </c>
      <c r="K1246" s="7" t="str">
        <f ca="1">IFERROR(XLOOKUP(D1246,'Spec_Single_H&amp;S'!B:B,'Spec_Single_H&amp;S'!F:F),
IFERROR(XLOOKUP(D1246,#REF!,#REF!),""))</f>
        <v/>
      </c>
      <c r="L1246" s="7" t="str">
        <f t="shared" ca="1" si="41"/>
        <v/>
      </c>
    </row>
    <row r="1247" spans="8:12" x14ac:dyDescent="0.3">
      <c r="H1247" s="7" t="str">
        <f>IF(B1247&lt;&gt;"Silicone","",IFERROR(XLOOKUP(D1247,#REF!,#REF!),""))</f>
        <v/>
      </c>
      <c r="J1247" s="7" t="str">
        <f ca="1">IFERROR(XLOOKUP(D1247,'Spec_Single_H&amp;S'!B:B,'Spec_Single_H&amp;S'!E:E),
IFERROR(XLOOKUP(D1247,#REF!,#REF!),""))</f>
        <v/>
      </c>
      <c r="K1247" s="7" t="str">
        <f ca="1">IFERROR(XLOOKUP(D1247,'Spec_Single_H&amp;S'!B:B,'Spec_Single_H&amp;S'!F:F),
IFERROR(XLOOKUP(D1247,#REF!,#REF!),""))</f>
        <v/>
      </c>
      <c r="L1247" s="7" t="str">
        <f t="shared" ca="1" si="41"/>
        <v/>
      </c>
    </row>
    <row r="1248" spans="8:12" x14ac:dyDescent="0.3">
      <c r="H1248" s="7" t="str">
        <f>IF(B1248&lt;&gt;"Silicone","",IFERROR(XLOOKUP(D1248,#REF!,#REF!),""))</f>
        <v/>
      </c>
      <c r="J1248" s="7" t="str">
        <f ca="1">IFERROR(XLOOKUP(D1248,'Spec_Single_H&amp;S'!B:B,'Spec_Single_H&amp;S'!E:E),
IFERROR(XLOOKUP(D1248,#REF!,#REF!),""))</f>
        <v/>
      </c>
      <c r="K1248" s="7" t="str">
        <f ca="1">IFERROR(XLOOKUP(D1248,'Spec_Single_H&amp;S'!B:B,'Spec_Single_H&amp;S'!F:F),
IFERROR(XLOOKUP(D1248,#REF!,#REF!),""))</f>
        <v/>
      </c>
      <c r="L1248" s="7" t="str">
        <f t="shared" ca="1" si="41"/>
        <v/>
      </c>
    </row>
    <row r="1249" spans="8:12" x14ac:dyDescent="0.3">
      <c r="H1249" s="7" t="str">
        <f>IF(B1249&lt;&gt;"Silicone","",IFERROR(XLOOKUP(D1249,#REF!,#REF!),""))</f>
        <v/>
      </c>
      <c r="J1249" s="7" t="str">
        <f ca="1">IFERROR(XLOOKUP(D1249,'Spec_Single_H&amp;S'!B:B,'Spec_Single_H&amp;S'!E:E),
IFERROR(XLOOKUP(D1249,#REF!,#REF!),""))</f>
        <v/>
      </c>
      <c r="K1249" s="7" t="str">
        <f ca="1">IFERROR(XLOOKUP(D1249,'Spec_Single_H&amp;S'!B:B,'Spec_Single_H&amp;S'!F:F),
IFERROR(XLOOKUP(D1249,#REF!,#REF!),""))</f>
        <v/>
      </c>
      <c r="L1249" s="7" t="str">
        <f t="shared" ca="1" si="41"/>
        <v/>
      </c>
    </row>
    <row r="1250" spans="8:12" x14ac:dyDescent="0.3">
      <c r="H1250" s="7" t="str">
        <f>IF(B1250&lt;&gt;"Silicone","",IFERROR(XLOOKUP(D1250,#REF!,#REF!),""))</f>
        <v/>
      </c>
      <c r="J1250" s="7" t="str">
        <f ca="1">IFERROR(XLOOKUP(D1250,'Spec_Single_H&amp;S'!B:B,'Spec_Single_H&amp;S'!E:E),
IFERROR(XLOOKUP(D1250,#REF!,#REF!),""))</f>
        <v/>
      </c>
      <c r="K1250" s="7" t="str">
        <f ca="1">IFERROR(XLOOKUP(D1250,'Spec_Single_H&amp;S'!B:B,'Spec_Single_H&amp;S'!F:F),
IFERROR(XLOOKUP(D1250,#REF!,#REF!),""))</f>
        <v/>
      </c>
      <c r="L1250" s="7" t="str">
        <f t="shared" ca="1" si="41"/>
        <v/>
      </c>
    </row>
    <row r="1251" spans="8:12" x14ac:dyDescent="0.3">
      <c r="H1251" s="7" t="str">
        <f>IF(B1251&lt;&gt;"Silicone","",IFERROR(XLOOKUP(D1251,#REF!,#REF!),""))</f>
        <v/>
      </c>
      <c r="J1251" s="7" t="str">
        <f ca="1">IFERROR(XLOOKUP(D1251,'Spec_Single_H&amp;S'!B:B,'Spec_Single_H&amp;S'!E:E),
IFERROR(XLOOKUP(D1251,#REF!,#REF!),""))</f>
        <v/>
      </c>
      <c r="K1251" s="7" t="str">
        <f ca="1">IFERROR(XLOOKUP(D1251,'Spec_Single_H&amp;S'!B:B,'Spec_Single_H&amp;S'!F:F),
IFERROR(XLOOKUP(D1251,#REF!,#REF!),""))</f>
        <v/>
      </c>
      <c r="L1251" s="7" t="str">
        <f t="shared" ca="1" si="41"/>
        <v/>
      </c>
    </row>
    <row r="1252" spans="8:12" x14ac:dyDescent="0.3">
      <c r="H1252" s="7" t="str">
        <f>IF(B1252&lt;&gt;"Silicone","",IFERROR(XLOOKUP(D1252,#REF!,#REF!),""))</f>
        <v/>
      </c>
      <c r="J1252" s="7" t="str">
        <f ca="1">IFERROR(XLOOKUP(D1252,'Spec_Single_H&amp;S'!B:B,'Spec_Single_H&amp;S'!E:E),
IFERROR(XLOOKUP(D1252,#REF!,#REF!),""))</f>
        <v/>
      </c>
      <c r="K1252" s="7" t="str">
        <f ca="1">IFERROR(XLOOKUP(D1252,'Spec_Single_H&amp;S'!B:B,'Spec_Single_H&amp;S'!F:F),
IFERROR(XLOOKUP(D1252,#REF!,#REF!),""))</f>
        <v/>
      </c>
      <c r="L1252" s="7" t="str">
        <f t="shared" ca="1" si="41"/>
        <v/>
      </c>
    </row>
    <row r="1253" spans="8:12" x14ac:dyDescent="0.3">
      <c r="H1253" s="7" t="str">
        <f>IF(B1253&lt;&gt;"Silicone","",IFERROR(XLOOKUP(D1253,#REF!,#REF!),""))</f>
        <v/>
      </c>
      <c r="J1253" s="7" t="str">
        <f ca="1">IFERROR(XLOOKUP(D1253,'Spec_Single_H&amp;S'!B:B,'Spec_Single_H&amp;S'!E:E),
IFERROR(XLOOKUP(D1253,#REF!,#REF!),""))</f>
        <v/>
      </c>
      <c r="K1253" s="7" t="str">
        <f ca="1">IFERROR(XLOOKUP(D1253,'Spec_Single_H&amp;S'!B:B,'Spec_Single_H&amp;S'!F:F),
IFERROR(XLOOKUP(D1253,#REF!,#REF!),""))</f>
        <v/>
      </c>
      <c r="L1253" s="7" t="str">
        <f t="shared" ca="1" si="41"/>
        <v/>
      </c>
    </row>
    <row r="1254" spans="8:12" x14ac:dyDescent="0.3">
      <c r="H1254" s="7" t="str">
        <f>IF(B1254&lt;&gt;"Silicone","",IFERROR(XLOOKUP(D1254,#REF!,#REF!),""))</f>
        <v/>
      </c>
      <c r="J1254" s="7" t="str">
        <f ca="1">IFERROR(XLOOKUP(D1254,'Spec_Single_H&amp;S'!B:B,'Spec_Single_H&amp;S'!E:E),
IFERROR(XLOOKUP(D1254,#REF!,#REF!),""))</f>
        <v/>
      </c>
      <c r="K1254" s="7" t="str">
        <f ca="1">IFERROR(XLOOKUP(D1254,'Spec_Single_H&amp;S'!B:B,'Spec_Single_H&amp;S'!F:F),
IFERROR(XLOOKUP(D1254,#REF!,#REF!),""))</f>
        <v/>
      </c>
      <c r="L1254" s="7" t="str">
        <f t="shared" ca="1" si="41"/>
        <v/>
      </c>
    </row>
    <row r="1255" spans="8:12" x14ac:dyDescent="0.3">
      <c r="H1255" s="7" t="str">
        <f>IF(B1255&lt;&gt;"Silicone","",IFERROR(XLOOKUP(D1255,#REF!,#REF!),""))</f>
        <v/>
      </c>
      <c r="J1255" s="7" t="str">
        <f ca="1">IFERROR(XLOOKUP(D1255,'Spec_Single_H&amp;S'!B:B,'Spec_Single_H&amp;S'!E:E),
IFERROR(XLOOKUP(D1255,#REF!,#REF!),""))</f>
        <v/>
      </c>
      <c r="K1255" s="7" t="str">
        <f ca="1">IFERROR(XLOOKUP(D1255,'Spec_Single_H&amp;S'!B:B,'Spec_Single_H&amp;S'!F:F),
IFERROR(XLOOKUP(D1255,#REF!,#REF!),""))</f>
        <v/>
      </c>
      <c r="L1255" s="7" t="str">
        <f t="shared" ca="1" si="41"/>
        <v/>
      </c>
    </row>
    <row r="1256" spans="8:12" x14ac:dyDescent="0.3">
      <c r="H1256" s="7" t="str">
        <f>IF(B1256&lt;&gt;"Silicone","",IFERROR(XLOOKUP(D1256,#REF!,#REF!),""))</f>
        <v/>
      </c>
      <c r="J1256" s="7" t="str">
        <f ca="1">IFERROR(XLOOKUP(D1256,'Spec_Single_H&amp;S'!B:B,'Spec_Single_H&amp;S'!E:E),
IFERROR(XLOOKUP(D1256,#REF!,#REF!),""))</f>
        <v/>
      </c>
      <c r="K1256" s="7" t="str">
        <f ca="1">IFERROR(XLOOKUP(D1256,'Spec_Single_H&amp;S'!B:B,'Spec_Single_H&amp;S'!F:F),
IFERROR(XLOOKUP(D1256,#REF!,#REF!),""))</f>
        <v/>
      </c>
      <c r="L1256" s="7" t="str">
        <f t="shared" ca="1" si="41"/>
        <v/>
      </c>
    </row>
    <row r="1257" spans="8:12" x14ac:dyDescent="0.3">
      <c r="H1257" s="7" t="str">
        <f>IF(B1257&lt;&gt;"Silicone","",IFERROR(XLOOKUP(D1257,#REF!,#REF!),""))</f>
        <v/>
      </c>
      <c r="J1257" s="7" t="str">
        <f ca="1">IFERROR(XLOOKUP(D1257,'Spec_Single_H&amp;S'!B:B,'Spec_Single_H&amp;S'!E:E),
IFERROR(XLOOKUP(D1257,#REF!,#REF!),""))</f>
        <v/>
      </c>
      <c r="K1257" s="7" t="str">
        <f ca="1">IFERROR(XLOOKUP(D1257,'Spec_Single_H&amp;S'!B:B,'Spec_Single_H&amp;S'!F:F),
IFERROR(XLOOKUP(D1257,#REF!,#REF!),""))</f>
        <v/>
      </c>
      <c r="L1257" s="7" t="str">
        <f t="shared" ca="1" si="41"/>
        <v/>
      </c>
    </row>
    <row r="1258" spans="8:12" x14ac:dyDescent="0.3">
      <c r="H1258" s="7" t="str">
        <f>IF(B1258&lt;&gt;"Silicone","",IFERROR(XLOOKUP(D1258,#REF!,#REF!),""))</f>
        <v/>
      </c>
      <c r="J1258" s="7" t="str">
        <f ca="1">IFERROR(XLOOKUP(D1258,'Spec_Single_H&amp;S'!B:B,'Spec_Single_H&amp;S'!E:E),
IFERROR(XLOOKUP(D1258,#REF!,#REF!),""))</f>
        <v/>
      </c>
      <c r="K1258" s="7" t="str">
        <f ca="1">IFERROR(XLOOKUP(D1258,'Spec_Single_H&amp;S'!B:B,'Spec_Single_H&amp;S'!F:F),
IFERROR(XLOOKUP(D1258,#REF!,#REF!),""))</f>
        <v/>
      </c>
      <c r="L1258" s="7" t="str">
        <f t="shared" ca="1" si="41"/>
        <v/>
      </c>
    </row>
    <row r="1259" spans="8:12" x14ac:dyDescent="0.3">
      <c r="H1259" s="7" t="str">
        <f>IF(B1259&lt;&gt;"Silicone","",IFERROR(XLOOKUP(D1259,#REF!,#REF!),""))</f>
        <v/>
      </c>
      <c r="J1259" s="7" t="str">
        <f ca="1">IFERROR(XLOOKUP(D1259,'Spec_Single_H&amp;S'!B:B,'Spec_Single_H&amp;S'!E:E),
IFERROR(XLOOKUP(D1259,#REF!,#REF!),""))</f>
        <v/>
      </c>
      <c r="K1259" s="7" t="str">
        <f ca="1">IFERROR(XLOOKUP(D1259,'Spec_Single_H&amp;S'!B:B,'Spec_Single_H&amp;S'!F:F),
IFERROR(XLOOKUP(D1259,#REF!,#REF!),""))</f>
        <v/>
      </c>
      <c r="L1259" s="7" t="str">
        <f t="shared" ca="1" si="41"/>
        <v/>
      </c>
    </row>
    <row r="1260" spans="8:12" x14ac:dyDescent="0.3">
      <c r="H1260" s="7" t="str">
        <f>IF(B1260&lt;&gt;"Silicone","",IFERROR(XLOOKUP(D1260,#REF!,#REF!),""))</f>
        <v/>
      </c>
      <c r="J1260" s="7" t="str">
        <f ca="1">IFERROR(XLOOKUP(D1260,'Spec_Single_H&amp;S'!B:B,'Spec_Single_H&amp;S'!E:E),
IFERROR(XLOOKUP(D1260,#REF!,#REF!),""))</f>
        <v/>
      </c>
      <c r="K1260" s="7" t="str">
        <f ca="1">IFERROR(XLOOKUP(D1260,'Spec_Single_H&amp;S'!B:B,'Spec_Single_H&amp;S'!F:F),
IFERROR(XLOOKUP(D1260,#REF!,#REF!),""))</f>
        <v/>
      </c>
      <c r="L1260" s="7" t="str">
        <f t="shared" ca="1" si="41"/>
        <v/>
      </c>
    </row>
    <row r="1261" spans="8:12" x14ac:dyDescent="0.3">
      <c r="H1261" s="7" t="str">
        <f>IF(B1261&lt;&gt;"Silicone","",IFERROR(XLOOKUP(D1261,#REF!,#REF!),""))</f>
        <v/>
      </c>
      <c r="J1261" s="7" t="str">
        <f ca="1">IFERROR(XLOOKUP(D1261,'Spec_Single_H&amp;S'!B:B,'Spec_Single_H&amp;S'!E:E),
IFERROR(XLOOKUP(D1261,#REF!,#REF!),""))</f>
        <v/>
      </c>
      <c r="K1261" s="7" t="str">
        <f ca="1">IFERROR(XLOOKUP(D1261,'Spec_Single_H&amp;S'!B:B,'Spec_Single_H&amp;S'!F:F),
IFERROR(XLOOKUP(D1261,#REF!,#REF!),""))</f>
        <v/>
      </c>
      <c r="L1261" s="7" t="str">
        <f t="shared" ca="1" si="41"/>
        <v/>
      </c>
    </row>
    <row r="1262" spans="8:12" x14ac:dyDescent="0.3">
      <c r="H1262" s="7" t="str">
        <f>IF(B1262&lt;&gt;"Silicone","",IFERROR(XLOOKUP(D1262,#REF!,#REF!),""))</f>
        <v/>
      </c>
      <c r="J1262" s="7" t="str">
        <f ca="1">IFERROR(XLOOKUP(D1262,'Spec_Single_H&amp;S'!B:B,'Spec_Single_H&amp;S'!E:E),
IFERROR(XLOOKUP(D1262,#REF!,#REF!),""))</f>
        <v/>
      </c>
      <c r="K1262" s="7" t="str">
        <f ca="1">IFERROR(XLOOKUP(D1262,'Spec_Single_H&amp;S'!B:B,'Spec_Single_H&amp;S'!F:F),
IFERROR(XLOOKUP(D1262,#REF!,#REF!),""))</f>
        <v/>
      </c>
      <c r="L1262" s="7" t="str">
        <f t="shared" ca="1" si="41"/>
        <v/>
      </c>
    </row>
    <row r="1263" spans="8:12" x14ac:dyDescent="0.3">
      <c r="H1263" s="7" t="str">
        <f>IF(B1263&lt;&gt;"Silicone","",IFERROR(XLOOKUP(D1263,#REF!,#REF!),""))</f>
        <v/>
      </c>
      <c r="J1263" s="7" t="str">
        <f ca="1">IFERROR(XLOOKUP(D1263,'Spec_Single_H&amp;S'!B:B,'Spec_Single_H&amp;S'!E:E),
IFERROR(XLOOKUP(D1263,#REF!,#REF!),""))</f>
        <v/>
      </c>
      <c r="K1263" s="7" t="str">
        <f ca="1">IFERROR(XLOOKUP(D1263,'Spec_Single_H&amp;S'!B:B,'Spec_Single_H&amp;S'!F:F),
IFERROR(XLOOKUP(D1263,#REF!,#REF!),""))</f>
        <v/>
      </c>
      <c r="L1263" s="7" t="str">
        <f t="shared" ca="1" si="41"/>
        <v/>
      </c>
    </row>
    <row r="1264" spans="8:12" x14ac:dyDescent="0.3">
      <c r="H1264" s="7" t="str">
        <f>IF(B1264&lt;&gt;"Silicone","",IFERROR(XLOOKUP(D1264,#REF!,#REF!),""))</f>
        <v/>
      </c>
      <c r="J1264" s="7" t="str">
        <f ca="1">IFERROR(XLOOKUP(D1264,'Spec_Single_H&amp;S'!B:B,'Spec_Single_H&amp;S'!E:E),
IFERROR(XLOOKUP(D1264,#REF!,#REF!),""))</f>
        <v/>
      </c>
      <c r="K1264" s="7" t="str">
        <f ca="1">IFERROR(XLOOKUP(D1264,'Spec_Single_H&amp;S'!B:B,'Spec_Single_H&amp;S'!F:F),
IFERROR(XLOOKUP(D1264,#REF!,#REF!),""))</f>
        <v/>
      </c>
      <c r="L1264" s="7" t="str">
        <f t="shared" ca="1" si="41"/>
        <v/>
      </c>
    </row>
    <row r="1265" spans="8:12" x14ac:dyDescent="0.3">
      <c r="H1265" s="7" t="str">
        <f>IF(B1265&lt;&gt;"Silicone","",IFERROR(XLOOKUP(D1265,#REF!,#REF!),""))</f>
        <v/>
      </c>
      <c r="J1265" s="7" t="str">
        <f ca="1">IFERROR(XLOOKUP(D1265,'Spec_Single_H&amp;S'!B:B,'Spec_Single_H&amp;S'!E:E),
IFERROR(XLOOKUP(D1265,#REF!,#REF!),""))</f>
        <v/>
      </c>
      <c r="K1265" s="7" t="str">
        <f ca="1">IFERROR(XLOOKUP(D1265,'Spec_Single_H&amp;S'!B:B,'Spec_Single_H&amp;S'!F:F),
IFERROR(XLOOKUP(D1265,#REF!,#REF!),""))</f>
        <v/>
      </c>
      <c r="L1265" s="7" t="str">
        <f t="shared" ca="1" si="41"/>
        <v/>
      </c>
    </row>
    <row r="1266" spans="8:12" x14ac:dyDescent="0.3">
      <c r="H1266" s="7" t="str">
        <f>IF(B1266&lt;&gt;"Silicone","",IFERROR(XLOOKUP(D1266,#REF!,#REF!),""))</f>
        <v/>
      </c>
      <c r="J1266" s="7" t="str">
        <f ca="1">IFERROR(XLOOKUP(D1266,'Spec_Single_H&amp;S'!B:B,'Spec_Single_H&amp;S'!E:E),
IFERROR(XLOOKUP(D1266,#REF!,#REF!),""))</f>
        <v/>
      </c>
      <c r="K1266" s="7" t="str">
        <f ca="1">IFERROR(XLOOKUP(D1266,'Spec_Single_H&amp;S'!B:B,'Spec_Single_H&amp;S'!F:F),
IFERROR(XLOOKUP(D1266,#REF!,#REF!),""))</f>
        <v/>
      </c>
      <c r="L1266" s="7" t="str">
        <f t="shared" ca="1" si="41"/>
        <v/>
      </c>
    </row>
    <row r="1267" spans="8:12" x14ac:dyDescent="0.3">
      <c r="H1267" s="7" t="str">
        <f>IF(B1267&lt;&gt;"Silicone","",IFERROR(XLOOKUP(D1267,#REF!,#REF!),""))</f>
        <v/>
      </c>
      <c r="J1267" s="7" t="str">
        <f ca="1">IFERROR(XLOOKUP(D1267,'Spec_Single_H&amp;S'!B:B,'Spec_Single_H&amp;S'!E:E),
IFERROR(XLOOKUP(D1267,#REF!,#REF!),""))</f>
        <v/>
      </c>
      <c r="K1267" s="7" t="str">
        <f ca="1">IFERROR(XLOOKUP(D1267,'Spec_Single_H&amp;S'!B:B,'Spec_Single_H&amp;S'!F:F),
IFERROR(XLOOKUP(D1267,#REF!,#REF!),""))</f>
        <v/>
      </c>
      <c r="L1267" s="7" t="str">
        <f t="shared" ca="1" si="41"/>
        <v/>
      </c>
    </row>
    <row r="1268" spans="8:12" x14ac:dyDescent="0.3">
      <c r="H1268" s="7" t="str">
        <f>IF(B1268&lt;&gt;"Silicone","",IFERROR(XLOOKUP(D1268,#REF!,#REF!),""))</f>
        <v/>
      </c>
      <c r="J1268" s="7" t="str">
        <f ca="1">IFERROR(XLOOKUP(D1268,'Spec_Single_H&amp;S'!B:B,'Spec_Single_H&amp;S'!E:E),
IFERROR(XLOOKUP(D1268,#REF!,#REF!),""))</f>
        <v/>
      </c>
      <c r="K1268" s="7" t="str">
        <f ca="1">IFERROR(XLOOKUP(D1268,'Spec_Single_H&amp;S'!B:B,'Spec_Single_H&amp;S'!F:F),
IFERROR(XLOOKUP(D1268,#REF!,#REF!),""))</f>
        <v/>
      </c>
      <c r="L1268" s="7" t="str">
        <f t="shared" ca="1" si="41"/>
        <v/>
      </c>
    </row>
    <row r="1269" spans="8:12" x14ac:dyDescent="0.3">
      <c r="H1269" s="7" t="str">
        <f>IF(B1269&lt;&gt;"Silicone","",IFERROR(XLOOKUP(D1269,#REF!,#REF!),""))</f>
        <v/>
      </c>
      <c r="J1269" s="7" t="str">
        <f ca="1">IFERROR(XLOOKUP(D1269,'Spec_Single_H&amp;S'!B:B,'Spec_Single_H&amp;S'!E:E),
IFERROR(XLOOKUP(D1269,#REF!,#REF!),""))</f>
        <v/>
      </c>
      <c r="K1269" s="7" t="str">
        <f ca="1">IFERROR(XLOOKUP(D1269,'Spec_Single_H&amp;S'!B:B,'Spec_Single_H&amp;S'!F:F),
IFERROR(XLOOKUP(D1269,#REF!,#REF!),""))</f>
        <v/>
      </c>
      <c r="L1269" s="7" t="str">
        <f t="shared" ca="1" si="41"/>
        <v/>
      </c>
    </row>
    <row r="1270" spans="8:12" x14ac:dyDescent="0.3">
      <c r="H1270" s="7" t="str">
        <f>IF(B1270&lt;&gt;"Silicone","",IFERROR(XLOOKUP(D1270,#REF!,#REF!),""))</f>
        <v/>
      </c>
      <c r="J1270" s="7" t="str">
        <f ca="1">IFERROR(XLOOKUP(D1270,'Spec_Single_H&amp;S'!B:B,'Spec_Single_H&amp;S'!E:E),
IFERROR(XLOOKUP(D1270,#REF!,#REF!),""))</f>
        <v/>
      </c>
      <c r="K1270" s="7" t="str">
        <f ca="1">IFERROR(XLOOKUP(D1270,'Spec_Single_H&amp;S'!B:B,'Spec_Single_H&amp;S'!F:F),
IFERROR(XLOOKUP(D1270,#REF!,#REF!),""))</f>
        <v/>
      </c>
      <c r="L1270" s="7" t="str">
        <f t="shared" ca="1" si="41"/>
        <v/>
      </c>
    </row>
    <row r="1271" spans="8:12" x14ac:dyDescent="0.3">
      <c r="H1271" s="7" t="str">
        <f>IF(B1271&lt;&gt;"Silicone","",IFERROR(XLOOKUP(D1271,#REF!,#REF!),""))</f>
        <v/>
      </c>
      <c r="J1271" s="7" t="str">
        <f ca="1">IFERROR(XLOOKUP(D1271,'Spec_Single_H&amp;S'!B:B,'Spec_Single_H&amp;S'!E:E),
IFERROR(XLOOKUP(D1271,#REF!,#REF!),""))</f>
        <v/>
      </c>
      <c r="K1271" s="7" t="str">
        <f ca="1">IFERROR(XLOOKUP(D1271,'Spec_Single_H&amp;S'!B:B,'Spec_Single_H&amp;S'!F:F),
IFERROR(XLOOKUP(D1271,#REF!,#REF!),""))</f>
        <v/>
      </c>
      <c r="L1271" s="7" t="str">
        <f t="shared" ca="1" si="41"/>
        <v/>
      </c>
    </row>
    <row r="1272" spans="8:12" x14ac:dyDescent="0.3">
      <c r="H1272" s="7" t="str">
        <f>IF(B1272&lt;&gt;"Silicone","",IFERROR(XLOOKUP(D1272,#REF!,#REF!),""))</f>
        <v/>
      </c>
      <c r="J1272" s="7" t="str">
        <f ca="1">IFERROR(XLOOKUP(D1272,'Spec_Single_H&amp;S'!B:B,'Spec_Single_H&amp;S'!E:E),
IFERROR(XLOOKUP(D1272,#REF!,#REF!),""))</f>
        <v/>
      </c>
      <c r="K1272" s="7" t="str">
        <f ca="1">IFERROR(XLOOKUP(D1272,'Spec_Single_H&amp;S'!B:B,'Spec_Single_H&amp;S'!F:F),
IFERROR(XLOOKUP(D1272,#REF!,#REF!),""))</f>
        <v/>
      </c>
      <c r="L1272" s="7" t="str">
        <f t="shared" ca="1" si="41"/>
        <v/>
      </c>
    </row>
    <row r="1273" spans="8:12" x14ac:dyDescent="0.3">
      <c r="H1273" s="7" t="str">
        <f>IF(B1273&lt;&gt;"Silicone","",IFERROR(XLOOKUP(D1273,#REF!,#REF!),""))</f>
        <v/>
      </c>
      <c r="J1273" s="7" t="str">
        <f ca="1">IFERROR(XLOOKUP(D1273,'Spec_Single_H&amp;S'!B:B,'Spec_Single_H&amp;S'!E:E),
IFERROR(XLOOKUP(D1273,#REF!,#REF!),""))</f>
        <v/>
      </c>
      <c r="K1273" s="7" t="str">
        <f ca="1">IFERROR(XLOOKUP(D1273,'Spec_Single_H&amp;S'!B:B,'Spec_Single_H&amp;S'!F:F),
IFERROR(XLOOKUP(D1273,#REF!,#REF!),""))</f>
        <v/>
      </c>
      <c r="L1273" s="7" t="str">
        <f t="shared" ca="1" si="41"/>
        <v/>
      </c>
    </row>
    <row r="1274" spans="8:12" x14ac:dyDescent="0.3">
      <c r="H1274" s="7" t="str">
        <f>IF(B1274&lt;&gt;"Silicone","",IFERROR(XLOOKUP(D1274,#REF!,#REF!),""))</f>
        <v/>
      </c>
      <c r="J1274" s="7" t="str">
        <f ca="1">IFERROR(XLOOKUP(D1274,'Spec_Single_H&amp;S'!B:B,'Spec_Single_H&amp;S'!E:E),
IFERROR(XLOOKUP(D1274,#REF!,#REF!),""))</f>
        <v/>
      </c>
      <c r="K1274" s="7" t="str">
        <f ca="1">IFERROR(XLOOKUP(D1274,'Spec_Single_H&amp;S'!B:B,'Spec_Single_H&amp;S'!F:F),
IFERROR(XLOOKUP(D1274,#REF!,#REF!),""))</f>
        <v/>
      </c>
      <c r="L1274" s="7" t="str">
        <f t="shared" ca="1" si="41"/>
        <v/>
      </c>
    </row>
    <row r="1275" spans="8:12" x14ac:dyDescent="0.3">
      <c r="H1275" s="7" t="str">
        <f>IF(B1275&lt;&gt;"Silicone","",IFERROR(XLOOKUP(D1275,#REF!,#REF!),""))</f>
        <v/>
      </c>
      <c r="J1275" s="7" t="str">
        <f ca="1">IFERROR(XLOOKUP(D1275,'Spec_Single_H&amp;S'!B:B,'Spec_Single_H&amp;S'!E:E),
IFERROR(XLOOKUP(D1275,#REF!,#REF!),""))</f>
        <v/>
      </c>
      <c r="K1275" s="7" t="str">
        <f ca="1">IFERROR(XLOOKUP(D1275,'Spec_Single_H&amp;S'!B:B,'Spec_Single_H&amp;S'!F:F),
IFERROR(XLOOKUP(D1275,#REF!,#REF!),""))</f>
        <v/>
      </c>
      <c r="L1275" s="7" t="str">
        <f t="shared" ca="1" si="41"/>
        <v/>
      </c>
    </row>
    <row r="1276" spans="8:12" x14ac:dyDescent="0.3">
      <c r="H1276" s="7" t="str">
        <f>IF(B1276&lt;&gt;"Silicone","",IFERROR(XLOOKUP(D1276,#REF!,#REF!),""))</f>
        <v/>
      </c>
      <c r="J1276" s="7" t="str">
        <f ca="1">IFERROR(XLOOKUP(D1276,'Spec_Single_H&amp;S'!B:B,'Spec_Single_H&amp;S'!E:E),
IFERROR(XLOOKUP(D1276,#REF!,#REF!),""))</f>
        <v/>
      </c>
      <c r="K1276" s="7" t="str">
        <f ca="1">IFERROR(XLOOKUP(D1276,'Spec_Single_H&amp;S'!B:B,'Spec_Single_H&amp;S'!F:F),
IFERROR(XLOOKUP(D1276,#REF!,#REF!),""))</f>
        <v/>
      </c>
      <c r="L1276" s="7" t="str">
        <f t="shared" ca="1" si="41"/>
        <v/>
      </c>
    </row>
    <row r="1277" spans="8:12" x14ac:dyDescent="0.3">
      <c r="H1277" s="7" t="str">
        <f>IF(B1277&lt;&gt;"Silicone","",IFERROR(XLOOKUP(D1277,#REF!,#REF!),""))</f>
        <v/>
      </c>
      <c r="J1277" s="7" t="str">
        <f ca="1">IFERROR(XLOOKUP(D1277,'Spec_Single_H&amp;S'!B:B,'Spec_Single_H&amp;S'!E:E),
IFERROR(XLOOKUP(D1277,#REF!,#REF!),""))</f>
        <v/>
      </c>
      <c r="K1277" s="7" t="str">
        <f ca="1">IFERROR(XLOOKUP(D1277,'Spec_Single_H&amp;S'!B:B,'Spec_Single_H&amp;S'!F:F),
IFERROR(XLOOKUP(D1277,#REF!,#REF!),""))</f>
        <v/>
      </c>
      <c r="L1277" s="7" t="str">
        <f t="shared" ca="1" si="41"/>
        <v/>
      </c>
    </row>
    <row r="1278" spans="8:12" x14ac:dyDescent="0.3">
      <c r="H1278" s="7" t="str">
        <f>IF(B1278&lt;&gt;"Silicone","",IFERROR(XLOOKUP(D1278,#REF!,#REF!),""))</f>
        <v/>
      </c>
      <c r="J1278" s="7" t="str">
        <f ca="1">IFERROR(XLOOKUP(D1278,'Spec_Single_H&amp;S'!B:B,'Spec_Single_H&amp;S'!E:E),
IFERROR(XLOOKUP(D1278,#REF!,#REF!),""))</f>
        <v/>
      </c>
      <c r="K1278" s="7" t="str">
        <f ca="1">IFERROR(XLOOKUP(D1278,'Spec_Single_H&amp;S'!B:B,'Spec_Single_H&amp;S'!F:F),
IFERROR(XLOOKUP(D1278,#REF!,#REF!),""))</f>
        <v/>
      </c>
      <c r="L1278" s="7" t="str">
        <f t="shared" ca="1" si="41"/>
        <v/>
      </c>
    </row>
    <row r="1279" spans="8:12" x14ac:dyDescent="0.3">
      <c r="H1279" s="7" t="str">
        <f>IF(B1279&lt;&gt;"Silicone","",IFERROR(XLOOKUP(D1279,#REF!,#REF!),""))</f>
        <v/>
      </c>
      <c r="J1279" s="7" t="str">
        <f ca="1">IFERROR(XLOOKUP(D1279,'Spec_Single_H&amp;S'!B:B,'Spec_Single_H&amp;S'!E:E),
IFERROR(XLOOKUP(D1279,#REF!,#REF!),""))</f>
        <v/>
      </c>
      <c r="K1279" s="7" t="str">
        <f ca="1">IFERROR(XLOOKUP(D1279,'Spec_Single_H&amp;S'!B:B,'Spec_Single_H&amp;S'!F:F),
IFERROR(XLOOKUP(D1279,#REF!,#REF!),""))</f>
        <v/>
      </c>
      <c r="L1279" s="7" t="str">
        <f t="shared" ca="1" si="41"/>
        <v/>
      </c>
    </row>
    <row r="1280" spans="8:12" x14ac:dyDescent="0.3">
      <c r="H1280" s="7" t="str">
        <f>IF(B1280&lt;&gt;"Silicone","",IFERROR(XLOOKUP(D1280,#REF!,#REF!),""))</f>
        <v/>
      </c>
      <c r="J1280" s="7" t="str">
        <f ca="1">IFERROR(XLOOKUP(D1280,'Spec_Single_H&amp;S'!B:B,'Spec_Single_H&amp;S'!E:E),
IFERROR(XLOOKUP(D1280,#REF!,#REF!),""))</f>
        <v/>
      </c>
      <c r="K1280" s="7" t="str">
        <f ca="1">IFERROR(XLOOKUP(D1280,'Spec_Single_H&amp;S'!B:B,'Spec_Single_H&amp;S'!F:F),
IFERROR(XLOOKUP(D1280,#REF!,#REF!),""))</f>
        <v/>
      </c>
      <c r="L1280" s="7" t="str">
        <f t="shared" ca="1" si="41"/>
        <v/>
      </c>
    </row>
    <row r="1281" spans="8:12" x14ac:dyDescent="0.3">
      <c r="H1281" s="7" t="str">
        <f>IF(B1281&lt;&gt;"Silicone","",IFERROR(XLOOKUP(D1281,#REF!,#REF!),""))</f>
        <v/>
      </c>
      <c r="J1281" s="7" t="str">
        <f ca="1">IFERROR(XLOOKUP(D1281,'Spec_Single_H&amp;S'!B:B,'Spec_Single_H&amp;S'!E:E),
IFERROR(XLOOKUP(D1281,#REF!,#REF!),""))</f>
        <v/>
      </c>
      <c r="K1281" s="7" t="str">
        <f ca="1">IFERROR(XLOOKUP(D1281,'Spec_Single_H&amp;S'!B:B,'Spec_Single_H&amp;S'!F:F),
IFERROR(XLOOKUP(D1281,#REF!,#REF!),""))</f>
        <v/>
      </c>
      <c r="L1281" s="7" t="str">
        <f t="shared" ca="1" si="41"/>
        <v/>
      </c>
    </row>
    <row r="1282" spans="8:12" x14ac:dyDescent="0.3">
      <c r="H1282" s="7" t="str">
        <f>IF(B1282&lt;&gt;"Silicone","",IFERROR(XLOOKUP(D1282,#REF!,#REF!),""))</f>
        <v/>
      </c>
      <c r="J1282" s="7" t="str">
        <f ca="1">IFERROR(XLOOKUP(D1282,'Spec_Single_H&amp;S'!B:B,'Spec_Single_H&amp;S'!E:E),
IFERROR(XLOOKUP(D1282,#REF!,#REF!),""))</f>
        <v/>
      </c>
      <c r="K1282" s="7" t="str">
        <f ca="1">IFERROR(XLOOKUP(D1282,'Spec_Single_H&amp;S'!B:B,'Spec_Single_H&amp;S'!F:F),
IFERROR(XLOOKUP(D1282,#REF!,#REF!),""))</f>
        <v/>
      </c>
      <c r="L1282" s="7" t="str">
        <f t="shared" ca="1" si="41"/>
        <v/>
      </c>
    </row>
    <row r="1283" spans="8:12" x14ac:dyDescent="0.3">
      <c r="H1283" s="7" t="str">
        <f>IF(B1283&lt;&gt;"Silicone","",IFERROR(XLOOKUP(D1283,#REF!,#REF!),""))</f>
        <v/>
      </c>
      <c r="J1283" s="7" t="str">
        <f ca="1">IFERROR(XLOOKUP(D1283,'Spec_Single_H&amp;S'!B:B,'Spec_Single_H&amp;S'!E:E),
IFERROR(XLOOKUP(D1283,#REF!,#REF!),""))</f>
        <v/>
      </c>
      <c r="K1283" s="7" t="str">
        <f ca="1">IFERROR(XLOOKUP(D1283,'Spec_Single_H&amp;S'!B:B,'Spec_Single_H&amp;S'!F:F),
IFERROR(XLOOKUP(D1283,#REF!,#REF!),""))</f>
        <v/>
      </c>
      <c r="L1283" s="7" t="str">
        <f t="shared" ca="1" si="41"/>
        <v/>
      </c>
    </row>
    <row r="1284" spans="8:12" x14ac:dyDescent="0.3">
      <c r="H1284" s="7" t="str">
        <f>IF(B1284&lt;&gt;"Silicone","",IFERROR(XLOOKUP(D1284,#REF!,#REF!),""))</f>
        <v/>
      </c>
      <c r="J1284" s="7" t="str">
        <f ca="1">IFERROR(XLOOKUP(D1284,'Spec_Single_H&amp;S'!B:B,'Spec_Single_H&amp;S'!E:E),
IFERROR(XLOOKUP(D1284,#REF!,#REF!),""))</f>
        <v/>
      </c>
      <c r="K1284" s="7" t="str">
        <f ca="1">IFERROR(XLOOKUP(D1284,'Spec_Single_H&amp;S'!B:B,'Spec_Single_H&amp;S'!F:F),
IFERROR(XLOOKUP(D1284,#REF!,#REF!),""))</f>
        <v/>
      </c>
      <c r="L1284" s="7" t="str">
        <f t="shared" ca="1" si="41"/>
        <v/>
      </c>
    </row>
    <row r="1285" spans="8:12" x14ac:dyDescent="0.3">
      <c r="H1285" s="7" t="str">
        <f>IF(B1285&lt;&gt;"Silicone","",IFERROR(XLOOKUP(D1285,#REF!,#REF!),""))</f>
        <v/>
      </c>
      <c r="J1285" s="7" t="str">
        <f ca="1">IFERROR(XLOOKUP(D1285,'Spec_Single_H&amp;S'!B:B,'Spec_Single_H&amp;S'!E:E),
IFERROR(XLOOKUP(D1285,#REF!,#REF!),""))</f>
        <v/>
      </c>
      <c r="K1285" s="7" t="str">
        <f ca="1">IFERROR(XLOOKUP(D1285,'Spec_Single_H&amp;S'!B:B,'Spec_Single_H&amp;S'!F:F),
IFERROR(XLOOKUP(D1285,#REF!,#REF!),""))</f>
        <v/>
      </c>
      <c r="L1285" s="7" t="str">
        <f t="shared" ca="1" si="41"/>
        <v/>
      </c>
    </row>
    <row r="1286" spans="8:12" x14ac:dyDescent="0.3">
      <c r="H1286" s="7" t="str">
        <f>IF(B1286&lt;&gt;"Silicone","",IFERROR(XLOOKUP(D1286,#REF!,#REF!),""))</f>
        <v/>
      </c>
      <c r="J1286" s="7" t="str">
        <f ca="1">IFERROR(XLOOKUP(D1286,'Spec_Single_H&amp;S'!B:B,'Spec_Single_H&amp;S'!E:E),
IFERROR(XLOOKUP(D1286,#REF!,#REF!),""))</f>
        <v/>
      </c>
      <c r="K1286" s="7" t="str">
        <f ca="1">IFERROR(XLOOKUP(D1286,'Spec_Single_H&amp;S'!B:B,'Spec_Single_H&amp;S'!F:F),
IFERROR(XLOOKUP(D1286,#REF!,#REF!),""))</f>
        <v/>
      </c>
      <c r="L1286" s="7" t="str">
        <f t="shared" ca="1" si="41"/>
        <v/>
      </c>
    </row>
    <row r="1287" spans="8:12" x14ac:dyDescent="0.3">
      <c r="H1287" s="7" t="str">
        <f>IF(B1287&lt;&gt;"Silicone","",IFERROR(XLOOKUP(D1287,#REF!,#REF!),""))</f>
        <v/>
      </c>
      <c r="J1287" s="7" t="str">
        <f ca="1">IFERROR(XLOOKUP(D1287,'Spec_Single_H&amp;S'!B:B,'Spec_Single_H&amp;S'!E:E),
IFERROR(XLOOKUP(D1287,#REF!,#REF!),""))</f>
        <v/>
      </c>
      <c r="K1287" s="7" t="str">
        <f ca="1">IFERROR(XLOOKUP(D1287,'Spec_Single_H&amp;S'!B:B,'Spec_Single_H&amp;S'!F:F),
IFERROR(XLOOKUP(D1287,#REF!,#REF!),""))</f>
        <v/>
      </c>
      <c r="L1287" s="7" t="str">
        <f t="shared" ca="1" si="41"/>
        <v/>
      </c>
    </row>
    <row r="1288" spans="8:12" x14ac:dyDescent="0.3">
      <c r="H1288" s="7" t="str">
        <f>IF(B1288&lt;&gt;"Silicone","",IFERROR(XLOOKUP(D1288,#REF!,#REF!),""))</f>
        <v/>
      </c>
      <c r="J1288" s="7" t="str">
        <f ca="1">IFERROR(XLOOKUP(D1288,'Spec_Single_H&amp;S'!B:B,'Spec_Single_H&amp;S'!E:E),
IFERROR(XLOOKUP(D1288,#REF!,#REF!),""))</f>
        <v/>
      </c>
      <c r="K1288" s="7" t="str">
        <f ca="1">IFERROR(XLOOKUP(D1288,'Spec_Single_H&amp;S'!B:B,'Spec_Single_H&amp;S'!F:F),
IFERROR(XLOOKUP(D1288,#REF!,#REF!),""))</f>
        <v/>
      </c>
      <c r="L1288" s="7" t="str">
        <f t="shared" ref="L1288:L1351" ca="1" si="42">IF(AND(NOT(ISBLANK(I1288)),I1288&gt;=J1288,I1288&lt;=K1288),"적합",IF(ISBLANK(I1288),"", "부적합"))</f>
        <v/>
      </c>
    </row>
    <row r="1289" spans="8:12" x14ac:dyDescent="0.3">
      <c r="H1289" s="7" t="str">
        <f>IF(B1289&lt;&gt;"Silicone","",IFERROR(XLOOKUP(D1289,#REF!,#REF!),""))</f>
        <v/>
      </c>
      <c r="J1289" s="7" t="str">
        <f ca="1">IFERROR(XLOOKUP(D1289,'Spec_Single_H&amp;S'!B:B,'Spec_Single_H&amp;S'!E:E),
IFERROR(XLOOKUP(D1289,#REF!,#REF!),""))</f>
        <v/>
      </c>
      <c r="K1289" s="7" t="str">
        <f ca="1">IFERROR(XLOOKUP(D1289,'Spec_Single_H&amp;S'!B:B,'Spec_Single_H&amp;S'!F:F),
IFERROR(XLOOKUP(D1289,#REF!,#REF!),""))</f>
        <v/>
      </c>
      <c r="L1289" s="7" t="str">
        <f t="shared" ca="1" si="42"/>
        <v/>
      </c>
    </row>
    <row r="1290" spans="8:12" x14ac:dyDescent="0.3">
      <c r="H1290" s="7" t="str">
        <f>IF(B1290&lt;&gt;"Silicone","",IFERROR(XLOOKUP(D1290,#REF!,#REF!),""))</f>
        <v/>
      </c>
      <c r="J1290" s="7" t="str">
        <f ca="1">IFERROR(XLOOKUP(D1290,'Spec_Single_H&amp;S'!B:B,'Spec_Single_H&amp;S'!E:E),
IFERROR(XLOOKUP(D1290,#REF!,#REF!),""))</f>
        <v/>
      </c>
      <c r="K1290" s="7" t="str">
        <f ca="1">IFERROR(XLOOKUP(D1290,'Spec_Single_H&amp;S'!B:B,'Spec_Single_H&amp;S'!F:F),
IFERROR(XLOOKUP(D1290,#REF!,#REF!),""))</f>
        <v/>
      </c>
      <c r="L1290" s="7" t="str">
        <f t="shared" ca="1" si="42"/>
        <v/>
      </c>
    </row>
    <row r="1291" spans="8:12" x14ac:dyDescent="0.3">
      <c r="H1291" s="7" t="str">
        <f>IF(B1291&lt;&gt;"Silicone","",IFERROR(XLOOKUP(D1291,#REF!,#REF!),""))</f>
        <v/>
      </c>
      <c r="J1291" s="7" t="str">
        <f ca="1">IFERROR(XLOOKUP(D1291,'Spec_Single_H&amp;S'!B:B,'Spec_Single_H&amp;S'!E:E),
IFERROR(XLOOKUP(D1291,#REF!,#REF!),""))</f>
        <v/>
      </c>
      <c r="K1291" s="7" t="str">
        <f ca="1">IFERROR(XLOOKUP(D1291,'Spec_Single_H&amp;S'!B:B,'Spec_Single_H&amp;S'!F:F),
IFERROR(XLOOKUP(D1291,#REF!,#REF!),""))</f>
        <v/>
      </c>
      <c r="L1291" s="7" t="str">
        <f t="shared" ca="1" si="42"/>
        <v/>
      </c>
    </row>
    <row r="1292" spans="8:12" x14ac:dyDescent="0.3">
      <c r="H1292" s="7" t="str">
        <f>IF(B1292&lt;&gt;"Silicone","",IFERROR(XLOOKUP(D1292,#REF!,#REF!),""))</f>
        <v/>
      </c>
      <c r="J1292" s="7" t="str">
        <f ca="1">IFERROR(XLOOKUP(D1292,'Spec_Single_H&amp;S'!B:B,'Spec_Single_H&amp;S'!E:E),
IFERROR(XLOOKUP(D1292,#REF!,#REF!),""))</f>
        <v/>
      </c>
      <c r="K1292" s="7" t="str">
        <f ca="1">IFERROR(XLOOKUP(D1292,'Spec_Single_H&amp;S'!B:B,'Spec_Single_H&amp;S'!F:F),
IFERROR(XLOOKUP(D1292,#REF!,#REF!),""))</f>
        <v/>
      </c>
      <c r="L1292" s="7" t="str">
        <f t="shared" ca="1" si="42"/>
        <v/>
      </c>
    </row>
    <row r="1293" spans="8:12" x14ac:dyDescent="0.3">
      <c r="H1293" s="7" t="str">
        <f>IF(B1293&lt;&gt;"Silicone","",IFERROR(XLOOKUP(D1293,#REF!,#REF!),""))</f>
        <v/>
      </c>
      <c r="J1293" s="7" t="str">
        <f ca="1">IFERROR(XLOOKUP(D1293,'Spec_Single_H&amp;S'!B:B,'Spec_Single_H&amp;S'!E:E),
IFERROR(XLOOKUP(D1293,#REF!,#REF!),""))</f>
        <v/>
      </c>
      <c r="K1293" s="7" t="str">
        <f ca="1">IFERROR(XLOOKUP(D1293,'Spec_Single_H&amp;S'!B:B,'Spec_Single_H&amp;S'!F:F),
IFERROR(XLOOKUP(D1293,#REF!,#REF!),""))</f>
        <v/>
      </c>
      <c r="L1293" s="7" t="str">
        <f t="shared" ca="1" si="42"/>
        <v/>
      </c>
    </row>
    <row r="1294" spans="8:12" x14ac:dyDescent="0.3">
      <c r="H1294" s="7" t="str">
        <f>IF(B1294&lt;&gt;"Silicone","",IFERROR(XLOOKUP(D1294,#REF!,#REF!),""))</f>
        <v/>
      </c>
      <c r="J1294" s="7" t="str">
        <f ca="1">IFERROR(XLOOKUP(D1294,'Spec_Single_H&amp;S'!B:B,'Spec_Single_H&amp;S'!E:E),
IFERROR(XLOOKUP(D1294,#REF!,#REF!),""))</f>
        <v/>
      </c>
      <c r="K1294" s="7" t="str">
        <f ca="1">IFERROR(XLOOKUP(D1294,'Spec_Single_H&amp;S'!B:B,'Spec_Single_H&amp;S'!F:F),
IFERROR(XLOOKUP(D1294,#REF!,#REF!),""))</f>
        <v/>
      </c>
      <c r="L1294" s="7" t="str">
        <f t="shared" ca="1" si="42"/>
        <v/>
      </c>
    </row>
    <row r="1295" spans="8:12" x14ac:dyDescent="0.3">
      <c r="H1295" s="7" t="str">
        <f>IF(B1295&lt;&gt;"Silicone","",IFERROR(XLOOKUP(D1295,#REF!,#REF!),""))</f>
        <v/>
      </c>
      <c r="J1295" s="7" t="str">
        <f ca="1">IFERROR(XLOOKUP(D1295,'Spec_Single_H&amp;S'!B:B,'Spec_Single_H&amp;S'!E:E),
IFERROR(XLOOKUP(D1295,#REF!,#REF!),""))</f>
        <v/>
      </c>
      <c r="K1295" s="7" t="str">
        <f ca="1">IFERROR(XLOOKUP(D1295,'Spec_Single_H&amp;S'!B:B,'Spec_Single_H&amp;S'!F:F),
IFERROR(XLOOKUP(D1295,#REF!,#REF!),""))</f>
        <v/>
      </c>
      <c r="L1295" s="7" t="str">
        <f t="shared" ca="1" si="42"/>
        <v/>
      </c>
    </row>
    <row r="1296" spans="8:12" x14ac:dyDescent="0.3">
      <c r="H1296" s="7" t="str">
        <f>IF(B1296&lt;&gt;"Silicone","",IFERROR(XLOOKUP(D1296,#REF!,#REF!),""))</f>
        <v/>
      </c>
      <c r="J1296" s="7" t="str">
        <f ca="1">IFERROR(XLOOKUP(D1296,'Spec_Single_H&amp;S'!B:B,'Spec_Single_H&amp;S'!E:E),
IFERROR(XLOOKUP(D1296,#REF!,#REF!),""))</f>
        <v/>
      </c>
      <c r="K1296" s="7" t="str">
        <f ca="1">IFERROR(XLOOKUP(D1296,'Spec_Single_H&amp;S'!B:B,'Spec_Single_H&amp;S'!F:F),
IFERROR(XLOOKUP(D1296,#REF!,#REF!),""))</f>
        <v/>
      </c>
      <c r="L1296" s="7" t="str">
        <f t="shared" ca="1" si="42"/>
        <v/>
      </c>
    </row>
    <row r="1297" spans="8:12" x14ac:dyDescent="0.3">
      <c r="H1297" s="7" t="str">
        <f>IF(B1297&lt;&gt;"Silicone","",IFERROR(XLOOKUP(D1297,#REF!,#REF!),""))</f>
        <v/>
      </c>
      <c r="J1297" s="7" t="str">
        <f ca="1">IFERROR(XLOOKUP(D1297,'Spec_Single_H&amp;S'!B:B,'Spec_Single_H&amp;S'!E:E),
IFERROR(XLOOKUP(D1297,#REF!,#REF!),""))</f>
        <v/>
      </c>
      <c r="K1297" s="7" t="str">
        <f ca="1">IFERROR(XLOOKUP(D1297,'Spec_Single_H&amp;S'!B:B,'Spec_Single_H&amp;S'!F:F),
IFERROR(XLOOKUP(D1297,#REF!,#REF!),""))</f>
        <v/>
      </c>
      <c r="L1297" s="7" t="str">
        <f t="shared" ca="1" si="42"/>
        <v/>
      </c>
    </row>
    <row r="1298" spans="8:12" x14ac:dyDescent="0.3">
      <c r="H1298" s="7" t="str">
        <f>IF(B1298&lt;&gt;"Silicone","",IFERROR(XLOOKUP(D1298,#REF!,#REF!),""))</f>
        <v/>
      </c>
      <c r="J1298" s="7" t="str">
        <f ca="1">IFERROR(XLOOKUP(D1298,'Spec_Single_H&amp;S'!B:B,'Spec_Single_H&amp;S'!E:E),
IFERROR(XLOOKUP(D1298,#REF!,#REF!),""))</f>
        <v/>
      </c>
      <c r="K1298" s="7" t="str">
        <f ca="1">IFERROR(XLOOKUP(D1298,'Spec_Single_H&amp;S'!B:B,'Spec_Single_H&amp;S'!F:F),
IFERROR(XLOOKUP(D1298,#REF!,#REF!),""))</f>
        <v/>
      </c>
      <c r="L1298" s="7" t="str">
        <f t="shared" ca="1" si="42"/>
        <v/>
      </c>
    </row>
    <row r="1299" spans="8:12" x14ac:dyDescent="0.3">
      <c r="H1299" s="7" t="str">
        <f>IF(B1299&lt;&gt;"Silicone","",IFERROR(XLOOKUP(D1299,#REF!,#REF!),""))</f>
        <v/>
      </c>
      <c r="J1299" s="7" t="str">
        <f ca="1">IFERROR(XLOOKUP(D1299,'Spec_Single_H&amp;S'!B:B,'Spec_Single_H&amp;S'!E:E),
IFERROR(XLOOKUP(D1299,#REF!,#REF!),""))</f>
        <v/>
      </c>
      <c r="K1299" s="7" t="str">
        <f ca="1">IFERROR(XLOOKUP(D1299,'Spec_Single_H&amp;S'!B:B,'Spec_Single_H&amp;S'!F:F),
IFERROR(XLOOKUP(D1299,#REF!,#REF!),""))</f>
        <v/>
      </c>
      <c r="L1299" s="7" t="str">
        <f t="shared" ca="1" si="42"/>
        <v/>
      </c>
    </row>
    <row r="1300" spans="8:12" x14ac:dyDescent="0.3">
      <c r="H1300" s="7" t="str">
        <f>IF(B1300&lt;&gt;"Silicone","",IFERROR(XLOOKUP(D1300,#REF!,#REF!),""))</f>
        <v/>
      </c>
      <c r="J1300" s="7" t="str">
        <f ca="1">IFERROR(XLOOKUP(D1300,'Spec_Single_H&amp;S'!B:B,'Spec_Single_H&amp;S'!E:E),
IFERROR(XLOOKUP(D1300,#REF!,#REF!),""))</f>
        <v/>
      </c>
      <c r="K1300" s="7" t="str">
        <f ca="1">IFERROR(XLOOKUP(D1300,'Spec_Single_H&amp;S'!B:B,'Spec_Single_H&amp;S'!F:F),
IFERROR(XLOOKUP(D1300,#REF!,#REF!),""))</f>
        <v/>
      </c>
      <c r="L1300" s="7" t="str">
        <f t="shared" ca="1" si="42"/>
        <v/>
      </c>
    </row>
    <row r="1301" spans="8:12" x14ac:dyDescent="0.3">
      <c r="H1301" s="7" t="str">
        <f>IF(B1301&lt;&gt;"Silicone","",IFERROR(XLOOKUP(D1301,#REF!,#REF!),""))</f>
        <v/>
      </c>
      <c r="J1301" s="7" t="str">
        <f ca="1">IFERROR(XLOOKUP(D1301,'Spec_Single_H&amp;S'!B:B,'Spec_Single_H&amp;S'!E:E),
IFERROR(XLOOKUP(D1301,#REF!,#REF!),""))</f>
        <v/>
      </c>
      <c r="K1301" s="7" t="str">
        <f ca="1">IFERROR(XLOOKUP(D1301,'Spec_Single_H&amp;S'!B:B,'Spec_Single_H&amp;S'!F:F),
IFERROR(XLOOKUP(D1301,#REF!,#REF!),""))</f>
        <v/>
      </c>
      <c r="L1301" s="7" t="str">
        <f t="shared" ca="1" si="42"/>
        <v/>
      </c>
    </row>
    <row r="1302" spans="8:12" x14ac:dyDescent="0.3">
      <c r="H1302" s="7" t="str">
        <f>IF(B1302&lt;&gt;"Silicone","",IFERROR(XLOOKUP(D1302,#REF!,#REF!),""))</f>
        <v/>
      </c>
      <c r="J1302" s="7" t="str">
        <f ca="1">IFERROR(XLOOKUP(D1302,'Spec_Single_H&amp;S'!B:B,'Spec_Single_H&amp;S'!E:E),
IFERROR(XLOOKUP(D1302,#REF!,#REF!),""))</f>
        <v/>
      </c>
      <c r="K1302" s="7" t="str">
        <f ca="1">IFERROR(XLOOKUP(D1302,'Spec_Single_H&amp;S'!B:B,'Spec_Single_H&amp;S'!F:F),
IFERROR(XLOOKUP(D1302,#REF!,#REF!),""))</f>
        <v/>
      </c>
      <c r="L1302" s="7" t="str">
        <f t="shared" ca="1" si="42"/>
        <v/>
      </c>
    </row>
    <row r="1303" spans="8:12" x14ac:dyDescent="0.3">
      <c r="H1303" s="7" t="str">
        <f>IF(B1303&lt;&gt;"Silicone","",IFERROR(XLOOKUP(D1303,#REF!,#REF!),""))</f>
        <v/>
      </c>
      <c r="J1303" s="7" t="str">
        <f ca="1">IFERROR(XLOOKUP(D1303,'Spec_Single_H&amp;S'!B:B,'Spec_Single_H&amp;S'!E:E),
IFERROR(XLOOKUP(D1303,#REF!,#REF!),""))</f>
        <v/>
      </c>
      <c r="K1303" s="7" t="str">
        <f ca="1">IFERROR(XLOOKUP(D1303,'Spec_Single_H&amp;S'!B:B,'Spec_Single_H&amp;S'!F:F),
IFERROR(XLOOKUP(D1303,#REF!,#REF!),""))</f>
        <v/>
      </c>
      <c r="L1303" s="7" t="str">
        <f t="shared" ca="1" si="42"/>
        <v/>
      </c>
    </row>
    <row r="1304" spans="8:12" x14ac:dyDescent="0.3">
      <c r="H1304" s="7" t="str">
        <f>IF(B1304&lt;&gt;"Silicone","",IFERROR(XLOOKUP(D1304,#REF!,#REF!),""))</f>
        <v/>
      </c>
      <c r="J1304" s="7" t="str">
        <f ca="1">IFERROR(XLOOKUP(D1304,'Spec_Single_H&amp;S'!B:B,'Spec_Single_H&amp;S'!E:E),
IFERROR(XLOOKUP(D1304,#REF!,#REF!),""))</f>
        <v/>
      </c>
      <c r="K1304" s="7" t="str">
        <f ca="1">IFERROR(XLOOKUP(D1304,'Spec_Single_H&amp;S'!B:B,'Spec_Single_H&amp;S'!F:F),
IFERROR(XLOOKUP(D1304,#REF!,#REF!),""))</f>
        <v/>
      </c>
      <c r="L1304" s="7" t="str">
        <f t="shared" ca="1" si="42"/>
        <v/>
      </c>
    </row>
    <row r="1305" spans="8:12" x14ac:dyDescent="0.3">
      <c r="H1305" s="7" t="str">
        <f>IF(B1305&lt;&gt;"Silicone","",IFERROR(XLOOKUP(D1305,#REF!,#REF!),""))</f>
        <v/>
      </c>
      <c r="J1305" s="7" t="str">
        <f ca="1">IFERROR(XLOOKUP(D1305,'Spec_Single_H&amp;S'!B:B,'Spec_Single_H&amp;S'!E:E),
IFERROR(XLOOKUP(D1305,#REF!,#REF!),""))</f>
        <v/>
      </c>
      <c r="K1305" s="7" t="str">
        <f ca="1">IFERROR(XLOOKUP(D1305,'Spec_Single_H&amp;S'!B:B,'Spec_Single_H&amp;S'!F:F),
IFERROR(XLOOKUP(D1305,#REF!,#REF!),""))</f>
        <v/>
      </c>
      <c r="L1305" s="7" t="str">
        <f t="shared" ca="1" si="42"/>
        <v/>
      </c>
    </row>
    <row r="1306" spans="8:12" x14ac:dyDescent="0.3">
      <c r="H1306" s="7" t="str">
        <f>IF(B1306&lt;&gt;"Silicone","",IFERROR(XLOOKUP(D1306,#REF!,#REF!),""))</f>
        <v/>
      </c>
      <c r="J1306" s="7" t="str">
        <f ca="1">IFERROR(XLOOKUP(D1306,'Spec_Single_H&amp;S'!B:B,'Spec_Single_H&amp;S'!E:E),
IFERROR(XLOOKUP(D1306,#REF!,#REF!),""))</f>
        <v/>
      </c>
      <c r="K1306" s="7" t="str">
        <f ca="1">IFERROR(XLOOKUP(D1306,'Spec_Single_H&amp;S'!B:B,'Spec_Single_H&amp;S'!F:F),
IFERROR(XLOOKUP(D1306,#REF!,#REF!),""))</f>
        <v/>
      </c>
      <c r="L1306" s="7" t="str">
        <f t="shared" ca="1" si="42"/>
        <v/>
      </c>
    </row>
    <row r="1307" spans="8:12" x14ac:dyDescent="0.3">
      <c r="H1307" s="7" t="str">
        <f>IF(B1307&lt;&gt;"Silicone","",IFERROR(XLOOKUP(D1307,#REF!,#REF!),""))</f>
        <v/>
      </c>
      <c r="J1307" s="7" t="str">
        <f ca="1">IFERROR(XLOOKUP(D1307,'Spec_Single_H&amp;S'!B:B,'Spec_Single_H&amp;S'!E:E),
IFERROR(XLOOKUP(D1307,#REF!,#REF!),""))</f>
        <v/>
      </c>
      <c r="K1307" s="7" t="str">
        <f ca="1">IFERROR(XLOOKUP(D1307,'Spec_Single_H&amp;S'!B:B,'Spec_Single_H&amp;S'!F:F),
IFERROR(XLOOKUP(D1307,#REF!,#REF!),""))</f>
        <v/>
      </c>
      <c r="L1307" s="7" t="str">
        <f t="shared" ca="1" si="42"/>
        <v/>
      </c>
    </row>
    <row r="1308" spans="8:12" x14ac:dyDescent="0.3">
      <c r="H1308" s="7" t="str">
        <f>IF(B1308&lt;&gt;"Silicone","",IFERROR(XLOOKUP(D1308,#REF!,#REF!),""))</f>
        <v/>
      </c>
      <c r="J1308" s="7" t="str">
        <f ca="1">IFERROR(XLOOKUP(D1308,'Spec_Single_H&amp;S'!B:B,'Spec_Single_H&amp;S'!E:E),
IFERROR(XLOOKUP(D1308,#REF!,#REF!),""))</f>
        <v/>
      </c>
      <c r="K1308" s="7" t="str">
        <f ca="1">IFERROR(XLOOKUP(D1308,'Spec_Single_H&amp;S'!B:B,'Spec_Single_H&amp;S'!F:F),
IFERROR(XLOOKUP(D1308,#REF!,#REF!),""))</f>
        <v/>
      </c>
      <c r="L1308" s="7" t="str">
        <f t="shared" ca="1" si="42"/>
        <v/>
      </c>
    </row>
    <row r="1309" spans="8:12" x14ac:dyDescent="0.3">
      <c r="H1309" s="7" t="str">
        <f>IF(B1309&lt;&gt;"Silicone","",IFERROR(XLOOKUP(D1309,#REF!,#REF!),""))</f>
        <v/>
      </c>
      <c r="J1309" s="7" t="str">
        <f ca="1">IFERROR(XLOOKUP(D1309,'Spec_Single_H&amp;S'!B:B,'Spec_Single_H&amp;S'!E:E),
IFERROR(XLOOKUP(D1309,#REF!,#REF!),""))</f>
        <v/>
      </c>
      <c r="K1309" s="7" t="str">
        <f ca="1">IFERROR(XLOOKUP(D1309,'Spec_Single_H&amp;S'!B:B,'Spec_Single_H&amp;S'!F:F),
IFERROR(XLOOKUP(D1309,#REF!,#REF!),""))</f>
        <v/>
      </c>
      <c r="L1309" s="7" t="str">
        <f t="shared" ca="1" si="42"/>
        <v/>
      </c>
    </row>
    <row r="1310" spans="8:12" x14ac:dyDescent="0.3">
      <c r="H1310" s="7" t="str">
        <f>IF(B1310&lt;&gt;"Silicone","",IFERROR(XLOOKUP(D1310,#REF!,#REF!),""))</f>
        <v/>
      </c>
      <c r="J1310" s="7" t="str">
        <f ca="1">IFERROR(XLOOKUP(D1310,'Spec_Single_H&amp;S'!B:B,'Spec_Single_H&amp;S'!E:E),
IFERROR(XLOOKUP(D1310,#REF!,#REF!),""))</f>
        <v/>
      </c>
      <c r="K1310" s="7" t="str">
        <f ca="1">IFERROR(XLOOKUP(D1310,'Spec_Single_H&amp;S'!B:B,'Spec_Single_H&amp;S'!F:F),
IFERROR(XLOOKUP(D1310,#REF!,#REF!),""))</f>
        <v/>
      </c>
      <c r="L1310" s="7" t="str">
        <f t="shared" ca="1" si="42"/>
        <v/>
      </c>
    </row>
    <row r="1311" spans="8:12" x14ac:dyDescent="0.3">
      <c r="H1311" s="7" t="str">
        <f>IF(B1311&lt;&gt;"Silicone","",IFERROR(XLOOKUP(D1311,#REF!,#REF!),""))</f>
        <v/>
      </c>
      <c r="J1311" s="7" t="str">
        <f ca="1">IFERROR(XLOOKUP(D1311,'Spec_Single_H&amp;S'!B:B,'Spec_Single_H&amp;S'!E:E),
IFERROR(XLOOKUP(D1311,#REF!,#REF!),""))</f>
        <v/>
      </c>
      <c r="K1311" s="7" t="str">
        <f ca="1">IFERROR(XLOOKUP(D1311,'Spec_Single_H&amp;S'!B:B,'Spec_Single_H&amp;S'!F:F),
IFERROR(XLOOKUP(D1311,#REF!,#REF!),""))</f>
        <v/>
      </c>
      <c r="L1311" s="7" t="str">
        <f t="shared" ca="1" si="42"/>
        <v/>
      </c>
    </row>
    <row r="1312" spans="8:12" x14ac:dyDescent="0.3">
      <c r="H1312" s="7" t="str">
        <f>IF(B1312&lt;&gt;"Silicone","",IFERROR(XLOOKUP(D1312,#REF!,#REF!),""))</f>
        <v/>
      </c>
      <c r="J1312" s="7" t="str">
        <f ca="1">IFERROR(XLOOKUP(D1312,'Spec_Single_H&amp;S'!B:B,'Spec_Single_H&amp;S'!E:E),
IFERROR(XLOOKUP(D1312,#REF!,#REF!),""))</f>
        <v/>
      </c>
      <c r="K1312" s="7" t="str">
        <f ca="1">IFERROR(XLOOKUP(D1312,'Spec_Single_H&amp;S'!B:B,'Spec_Single_H&amp;S'!F:F),
IFERROR(XLOOKUP(D1312,#REF!,#REF!),""))</f>
        <v/>
      </c>
      <c r="L1312" s="7" t="str">
        <f t="shared" ca="1" si="42"/>
        <v/>
      </c>
    </row>
    <row r="1313" spans="8:12" x14ac:dyDescent="0.3">
      <c r="H1313" s="7" t="str">
        <f>IF(B1313&lt;&gt;"Silicone","",IFERROR(XLOOKUP(D1313,#REF!,#REF!),""))</f>
        <v/>
      </c>
      <c r="J1313" s="7" t="str">
        <f ca="1">IFERROR(XLOOKUP(D1313,'Spec_Single_H&amp;S'!B:B,'Spec_Single_H&amp;S'!E:E),
IFERROR(XLOOKUP(D1313,#REF!,#REF!),""))</f>
        <v/>
      </c>
      <c r="K1313" s="7" t="str">
        <f ca="1">IFERROR(XLOOKUP(D1313,'Spec_Single_H&amp;S'!B:B,'Spec_Single_H&amp;S'!F:F),
IFERROR(XLOOKUP(D1313,#REF!,#REF!),""))</f>
        <v/>
      </c>
      <c r="L1313" s="7" t="str">
        <f t="shared" ca="1" si="42"/>
        <v/>
      </c>
    </row>
    <row r="1314" spans="8:12" x14ac:dyDescent="0.3">
      <c r="H1314" s="7" t="str">
        <f>IF(B1314&lt;&gt;"Silicone","",IFERROR(XLOOKUP(D1314,#REF!,#REF!),""))</f>
        <v/>
      </c>
      <c r="J1314" s="7" t="str">
        <f ca="1">IFERROR(XLOOKUP(D1314,'Spec_Single_H&amp;S'!B:B,'Spec_Single_H&amp;S'!E:E),
IFERROR(XLOOKUP(D1314,#REF!,#REF!),""))</f>
        <v/>
      </c>
      <c r="K1314" s="7" t="str">
        <f ca="1">IFERROR(XLOOKUP(D1314,'Spec_Single_H&amp;S'!B:B,'Spec_Single_H&amp;S'!F:F),
IFERROR(XLOOKUP(D1314,#REF!,#REF!),""))</f>
        <v/>
      </c>
      <c r="L1314" s="7" t="str">
        <f t="shared" ca="1" si="42"/>
        <v/>
      </c>
    </row>
    <row r="1315" spans="8:12" x14ac:dyDescent="0.3">
      <c r="H1315" s="7" t="str">
        <f>IF(B1315&lt;&gt;"Silicone","",IFERROR(XLOOKUP(D1315,#REF!,#REF!),""))</f>
        <v/>
      </c>
      <c r="J1315" s="7" t="str">
        <f ca="1">IFERROR(XLOOKUP(D1315,'Spec_Single_H&amp;S'!B:B,'Spec_Single_H&amp;S'!E:E),
IFERROR(XLOOKUP(D1315,#REF!,#REF!),""))</f>
        <v/>
      </c>
      <c r="K1315" s="7" t="str">
        <f ca="1">IFERROR(XLOOKUP(D1315,'Spec_Single_H&amp;S'!B:B,'Spec_Single_H&amp;S'!F:F),
IFERROR(XLOOKUP(D1315,#REF!,#REF!),""))</f>
        <v/>
      </c>
      <c r="L1315" s="7" t="str">
        <f t="shared" ca="1" si="42"/>
        <v/>
      </c>
    </row>
    <row r="1316" spans="8:12" x14ac:dyDescent="0.3">
      <c r="H1316" s="7" t="str">
        <f>IF(B1316&lt;&gt;"Silicone","",IFERROR(XLOOKUP(D1316,#REF!,#REF!),""))</f>
        <v/>
      </c>
      <c r="J1316" s="7" t="str">
        <f ca="1">IFERROR(XLOOKUP(D1316,'Spec_Single_H&amp;S'!B:B,'Spec_Single_H&amp;S'!E:E),
IFERROR(XLOOKUP(D1316,#REF!,#REF!),""))</f>
        <v/>
      </c>
      <c r="K1316" s="7" t="str">
        <f ca="1">IFERROR(XLOOKUP(D1316,'Spec_Single_H&amp;S'!B:B,'Spec_Single_H&amp;S'!F:F),
IFERROR(XLOOKUP(D1316,#REF!,#REF!),""))</f>
        <v/>
      </c>
      <c r="L1316" s="7" t="str">
        <f t="shared" ca="1" si="42"/>
        <v/>
      </c>
    </row>
    <row r="1317" spans="8:12" x14ac:dyDescent="0.3">
      <c r="H1317" s="7" t="str">
        <f>IF(B1317&lt;&gt;"Silicone","",IFERROR(XLOOKUP(D1317,#REF!,#REF!),""))</f>
        <v/>
      </c>
      <c r="J1317" s="7" t="str">
        <f ca="1">IFERROR(XLOOKUP(D1317,'Spec_Single_H&amp;S'!B:B,'Spec_Single_H&amp;S'!E:E),
IFERROR(XLOOKUP(D1317,#REF!,#REF!),""))</f>
        <v/>
      </c>
      <c r="K1317" s="7" t="str">
        <f ca="1">IFERROR(XLOOKUP(D1317,'Spec_Single_H&amp;S'!B:B,'Spec_Single_H&amp;S'!F:F),
IFERROR(XLOOKUP(D1317,#REF!,#REF!),""))</f>
        <v/>
      </c>
      <c r="L1317" s="7" t="str">
        <f t="shared" ca="1" si="42"/>
        <v/>
      </c>
    </row>
    <row r="1318" spans="8:12" x14ac:dyDescent="0.3">
      <c r="H1318" s="7" t="str">
        <f>IF(B1318&lt;&gt;"Silicone","",IFERROR(XLOOKUP(D1318,#REF!,#REF!),""))</f>
        <v/>
      </c>
      <c r="J1318" s="7" t="str">
        <f ca="1">IFERROR(XLOOKUP(D1318,'Spec_Single_H&amp;S'!B:B,'Spec_Single_H&amp;S'!E:E),
IFERROR(XLOOKUP(D1318,#REF!,#REF!),""))</f>
        <v/>
      </c>
      <c r="K1318" s="7" t="str">
        <f ca="1">IFERROR(XLOOKUP(D1318,'Spec_Single_H&amp;S'!B:B,'Spec_Single_H&amp;S'!F:F),
IFERROR(XLOOKUP(D1318,#REF!,#REF!),""))</f>
        <v/>
      </c>
      <c r="L1318" s="7" t="str">
        <f t="shared" ca="1" si="42"/>
        <v/>
      </c>
    </row>
    <row r="1319" spans="8:12" x14ac:dyDescent="0.3">
      <c r="H1319" s="7" t="str">
        <f>IF(B1319&lt;&gt;"Silicone","",IFERROR(XLOOKUP(D1319,#REF!,#REF!),""))</f>
        <v/>
      </c>
      <c r="J1319" s="7" t="str">
        <f ca="1">IFERROR(XLOOKUP(D1319,'Spec_Single_H&amp;S'!B:B,'Spec_Single_H&amp;S'!E:E),
IFERROR(XLOOKUP(D1319,#REF!,#REF!),""))</f>
        <v/>
      </c>
      <c r="K1319" s="7" t="str">
        <f ca="1">IFERROR(XLOOKUP(D1319,'Spec_Single_H&amp;S'!B:B,'Spec_Single_H&amp;S'!F:F),
IFERROR(XLOOKUP(D1319,#REF!,#REF!),""))</f>
        <v/>
      </c>
      <c r="L1319" s="7" t="str">
        <f t="shared" ca="1" si="42"/>
        <v/>
      </c>
    </row>
    <row r="1320" spans="8:12" x14ac:dyDescent="0.3">
      <c r="H1320" s="7" t="str">
        <f>IF(B1320&lt;&gt;"Silicone","",IFERROR(XLOOKUP(D1320,#REF!,#REF!),""))</f>
        <v/>
      </c>
      <c r="J1320" s="7" t="str">
        <f ca="1">IFERROR(XLOOKUP(D1320,'Spec_Single_H&amp;S'!B:B,'Spec_Single_H&amp;S'!E:E),
IFERROR(XLOOKUP(D1320,#REF!,#REF!),""))</f>
        <v/>
      </c>
      <c r="K1320" s="7" t="str">
        <f ca="1">IFERROR(XLOOKUP(D1320,'Spec_Single_H&amp;S'!B:B,'Spec_Single_H&amp;S'!F:F),
IFERROR(XLOOKUP(D1320,#REF!,#REF!),""))</f>
        <v/>
      </c>
      <c r="L1320" s="7" t="str">
        <f t="shared" ca="1" si="42"/>
        <v/>
      </c>
    </row>
    <row r="1321" spans="8:12" x14ac:dyDescent="0.3">
      <c r="H1321" s="7" t="str">
        <f>IF(B1321&lt;&gt;"Silicone","",IFERROR(XLOOKUP(D1321,#REF!,#REF!),""))</f>
        <v/>
      </c>
      <c r="J1321" s="7" t="str">
        <f ca="1">IFERROR(XLOOKUP(D1321,'Spec_Single_H&amp;S'!B:B,'Spec_Single_H&amp;S'!E:E),
IFERROR(XLOOKUP(D1321,#REF!,#REF!),""))</f>
        <v/>
      </c>
      <c r="K1321" s="7" t="str">
        <f ca="1">IFERROR(XLOOKUP(D1321,'Spec_Single_H&amp;S'!B:B,'Spec_Single_H&amp;S'!F:F),
IFERROR(XLOOKUP(D1321,#REF!,#REF!),""))</f>
        <v/>
      </c>
      <c r="L1321" s="7" t="str">
        <f t="shared" ca="1" si="42"/>
        <v/>
      </c>
    </row>
    <row r="1322" spans="8:12" x14ac:dyDescent="0.3">
      <c r="H1322" s="7" t="str">
        <f>IF(B1322&lt;&gt;"Silicone","",IFERROR(XLOOKUP(D1322,#REF!,#REF!),""))</f>
        <v/>
      </c>
      <c r="J1322" s="7" t="str">
        <f ca="1">IFERROR(XLOOKUP(D1322,'Spec_Single_H&amp;S'!B:B,'Spec_Single_H&amp;S'!E:E),
IFERROR(XLOOKUP(D1322,#REF!,#REF!),""))</f>
        <v/>
      </c>
      <c r="K1322" s="7" t="str">
        <f ca="1">IFERROR(XLOOKUP(D1322,'Spec_Single_H&amp;S'!B:B,'Spec_Single_H&amp;S'!F:F),
IFERROR(XLOOKUP(D1322,#REF!,#REF!),""))</f>
        <v/>
      </c>
      <c r="L1322" s="7" t="str">
        <f t="shared" ca="1" si="42"/>
        <v/>
      </c>
    </row>
    <row r="1323" spans="8:12" x14ac:dyDescent="0.3">
      <c r="H1323" s="7" t="str">
        <f>IF(B1323&lt;&gt;"Silicone","",IFERROR(XLOOKUP(D1323,#REF!,#REF!),""))</f>
        <v/>
      </c>
      <c r="J1323" s="7" t="str">
        <f ca="1">IFERROR(XLOOKUP(D1323,'Spec_Single_H&amp;S'!B:B,'Spec_Single_H&amp;S'!E:E),
IFERROR(XLOOKUP(D1323,#REF!,#REF!),""))</f>
        <v/>
      </c>
      <c r="K1323" s="7" t="str">
        <f ca="1">IFERROR(XLOOKUP(D1323,'Spec_Single_H&amp;S'!B:B,'Spec_Single_H&amp;S'!F:F),
IFERROR(XLOOKUP(D1323,#REF!,#REF!),""))</f>
        <v/>
      </c>
      <c r="L1323" s="7" t="str">
        <f t="shared" ca="1" si="42"/>
        <v/>
      </c>
    </row>
    <row r="1324" spans="8:12" x14ac:dyDescent="0.3">
      <c r="H1324" s="7" t="str">
        <f>IF(B1324&lt;&gt;"Silicone","",IFERROR(XLOOKUP(D1324,#REF!,#REF!),""))</f>
        <v/>
      </c>
      <c r="J1324" s="7" t="str">
        <f ca="1">IFERROR(XLOOKUP(D1324,'Spec_Single_H&amp;S'!B:B,'Spec_Single_H&amp;S'!E:E),
IFERROR(XLOOKUP(D1324,#REF!,#REF!),""))</f>
        <v/>
      </c>
      <c r="K1324" s="7" t="str">
        <f ca="1">IFERROR(XLOOKUP(D1324,'Spec_Single_H&amp;S'!B:B,'Spec_Single_H&amp;S'!F:F),
IFERROR(XLOOKUP(D1324,#REF!,#REF!),""))</f>
        <v/>
      </c>
      <c r="L1324" s="7" t="str">
        <f t="shared" ca="1" si="42"/>
        <v/>
      </c>
    </row>
    <row r="1325" spans="8:12" x14ac:dyDescent="0.3">
      <c r="H1325" s="7" t="str">
        <f>IF(B1325&lt;&gt;"Silicone","",IFERROR(XLOOKUP(D1325,#REF!,#REF!),""))</f>
        <v/>
      </c>
      <c r="J1325" s="7" t="str">
        <f ca="1">IFERROR(XLOOKUP(D1325,'Spec_Single_H&amp;S'!B:B,'Spec_Single_H&amp;S'!E:E),
IFERROR(XLOOKUP(D1325,#REF!,#REF!),""))</f>
        <v/>
      </c>
      <c r="K1325" s="7" t="str">
        <f ca="1">IFERROR(XLOOKUP(D1325,'Spec_Single_H&amp;S'!B:B,'Spec_Single_H&amp;S'!F:F),
IFERROR(XLOOKUP(D1325,#REF!,#REF!),""))</f>
        <v/>
      </c>
      <c r="L1325" s="7" t="str">
        <f t="shared" ca="1" si="42"/>
        <v/>
      </c>
    </row>
    <row r="1326" spans="8:12" x14ac:dyDescent="0.3">
      <c r="H1326" s="7" t="str">
        <f>IF(B1326&lt;&gt;"Silicone","",IFERROR(XLOOKUP(D1326,#REF!,#REF!),""))</f>
        <v/>
      </c>
      <c r="J1326" s="7" t="str">
        <f ca="1">IFERROR(XLOOKUP(D1326,'Spec_Single_H&amp;S'!B:B,'Spec_Single_H&amp;S'!E:E),
IFERROR(XLOOKUP(D1326,#REF!,#REF!),""))</f>
        <v/>
      </c>
      <c r="K1326" s="7" t="str">
        <f ca="1">IFERROR(XLOOKUP(D1326,'Spec_Single_H&amp;S'!B:B,'Spec_Single_H&amp;S'!F:F),
IFERROR(XLOOKUP(D1326,#REF!,#REF!),""))</f>
        <v/>
      </c>
      <c r="L1326" s="7" t="str">
        <f t="shared" ca="1" si="42"/>
        <v/>
      </c>
    </row>
    <row r="1327" spans="8:12" x14ac:dyDescent="0.3">
      <c r="H1327" s="7" t="str">
        <f>IF(B1327&lt;&gt;"Silicone","",IFERROR(XLOOKUP(D1327,#REF!,#REF!),""))</f>
        <v/>
      </c>
      <c r="J1327" s="7" t="str">
        <f ca="1">IFERROR(XLOOKUP(D1327,'Spec_Single_H&amp;S'!B:B,'Spec_Single_H&amp;S'!E:E),
IFERROR(XLOOKUP(D1327,#REF!,#REF!),""))</f>
        <v/>
      </c>
      <c r="K1327" s="7" t="str">
        <f ca="1">IFERROR(XLOOKUP(D1327,'Spec_Single_H&amp;S'!B:B,'Spec_Single_H&amp;S'!F:F),
IFERROR(XLOOKUP(D1327,#REF!,#REF!),""))</f>
        <v/>
      </c>
      <c r="L1327" s="7" t="str">
        <f t="shared" ca="1" si="42"/>
        <v/>
      </c>
    </row>
    <row r="1328" spans="8:12" x14ac:dyDescent="0.3">
      <c r="H1328" s="7" t="str">
        <f>IF(B1328&lt;&gt;"Silicone","",IFERROR(XLOOKUP(D1328,#REF!,#REF!),""))</f>
        <v/>
      </c>
      <c r="J1328" s="7" t="str">
        <f ca="1">IFERROR(XLOOKUP(D1328,'Spec_Single_H&amp;S'!B:B,'Spec_Single_H&amp;S'!E:E),
IFERROR(XLOOKUP(D1328,#REF!,#REF!),""))</f>
        <v/>
      </c>
      <c r="K1328" s="7" t="str">
        <f ca="1">IFERROR(XLOOKUP(D1328,'Spec_Single_H&amp;S'!B:B,'Spec_Single_H&amp;S'!F:F),
IFERROR(XLOOKUP(D1328,#REF!,#REF!),""))</f>
        <v/>
      </c>
      <c r="L1328" s="7" t="str">
        <f t="shared" ca="1" si="42"/>
        <v/>
      </c>
    </row>
    <row r="1329" spans="8:12" x14ac:dyDescent="0.3">
      <c r="H1329" s="7" t="str">
        <f>IF(B1329&lt;&gt;"Silicone","",IFERROR(XLOOKUP(D1329,#REF!,#REF!),""))</f>
        <v/>
      </c>
      <c r="J1329" s="7" t="str">
        <f ca="1">IFERROR(XLOOKUP(D1329,'Spec_Single_H&amp;S'!B:B,'Spec_Single_H&amp;S'!E:E),
IFERROR(XLOOKUP(D1329,#REF!,#REF!),""))</f>
        <v/>
      </c>
      <c r="K1329" s="7" t="str">
        <f ca="1">IFERROR(XLOOKUP(D1329,'Spec_Single_H&amp;S'!B:B,'Spec_Single_H&amp;S'!F:F),
IFERROR(XLOOKUP(D1329,#REF!,#REF!),""))</f>
        <v/>
      </c>
      <c r="L1329" s="7" t="str">
        <f t="shared" ca="1" si="42"/>
        <v/>
      </c>
    </row>
    <row r="1330" spans="8:12" x14ac:dyDescent="0.3">
      <c r="H1330" s="7" t="str">
        <f>IF(B1330&lt;&gt;"Silicone","",IFERROR(XLOOKUP(D1330,#REF!,#REF!),""))</f>
        <v/>
      </c>
      <c r="J1330" s="7" t="str">
        <f ca="1">IFERROR(XLOOKUP(D1330,'Spec_Single_H&amp;S'!B:B,'Spec_Single_H&amp;S'!E:E),
IFERROR(XLOOKUP(D1330,#REF!,#REF!),""))</f>
        <v/>
      </c>
      <c r="K1330" s="7" t="str">
        <f ca="1">IFERROR(XLOOKUP(D1330,'Spec_Single_H&amp;S'!B:B,'Spec_Single_H&amp;S'!F:F),
IFERROR(XLOOKUP(D1330,#REF!,#REF!),""))</f>
        <v/>
      </c>
      <c r="L1330" s="7" t="str">
        <f t="shared" ca="1" si="42"/>
        <v/>
      </c>
    </row>
    <row r="1331" spans="8:12" x14ac:dyDescent="0.3">
      <c r="H1331" s="7" t="str">
        <f>IF(B1331&lt;&gt;"Silicone","",IFERROR(XLOOKUP(D1331,#REF!,#REF!),""))</f>
        <v/>
      </c>
      <c r="J1331" s="7" t="str">
        <f ca="1">IFERROR(XLOOKUP(D1331,'Spec_Single_H&amp;S'!B:B,'Spec_Single_H&amp;S'!E:E),
IFERROR(XLOOKUP(D1331,#REF!,#REF!),""))</f>
        <v/>
      </c>
      <c r="K1331" s="7" t="str">
        <f ca="1">IFERROR(XLOOKUP(D1331,'Spec_Single_H&amp;S'!B:B,'Spec_Single_H&amp;S'!F:F),
IFERROR(XLOOKUP(D1331,#REF!,#REF!),""))</f>
        <v/>
      </c>
      <c r="L1331" s="7" t="str">
        <f t="shared" ca="1" si="42"/>
        <v/>
      </c>
    </row>
    <row r="1332" spans="8:12" x14ac:dyDescent="0.3">
      <c r="H1332" s="7" t="str">
        <f>IF(B1332&lt;&gt;"Silicone","",IFERROR(XLOOKUP(D1332,#REF!,#REF!),""))</f>
        <v/>
      </c>
      <c r="J1332" s="7" t="str">
        <f ca="1">IFERROR(XLOOKUP(D1332,'Spec_Single_H&amp;S'!B:B,'Spec_Single_H&amp;S'!E:E),
IFERROR(XLOOKUP(D1332,#REF!,#REF!),""))</f>
        <v/>
      </c>
      <c r="K1332" s="7" t="str">
        <f ca="1">IFERROR(XLOOKUP(D1332,'Spec_Single_H&amp;S'!B:B,'Spec_Single_H&amp;S'!F:F),
IFERROR(XLOOKUP(D1332,#REF!,#REF!),""))</f>
        <v/>
      </c>
      <c r="L1332" s="7" t="str">
        <f t="shared" ca="1" si="42"/>
        <v/>
      </c>
    </row>
    <row r="1333" spans="8:12" x14ac:dyDescent="0.3">
      <c r="H1333" s="7" t="str">
        <f>IF(B1333&lt;&gt;"Silicone","",IFERROR(XLOOKUP(D1333,#REF!,#REF!),""))</f>
        <v/>
      </c>
      <c r="J1333" s="7" t="str">
        <f ca="1">IFERROR(XLOOKUP(D1333,'Spec_Single_H&amp;S'!B:B,'Spec_Single_H&amp;S'!E:E),
IFERROR(XLOOKUP(D1333,#REF!,#REF!),""))</f>
        <v/>
      </c>
      <c r="K1333" s="7" t="str">
        <f ca="1">IFERROR(XLOOKUP(D1333,'Spec_Single_H&amp;S'!B:B,'Spec_Single_H&amp;S'!F:F),
IFERROR(XLOOKUP(D1333,#REF!,#REF!),""))</f>
        <v/>
      </c>
      <c r="L1333" s="7" t="str">
        <f t="shared" ca="1" si="42"/>
        <v/>
      </c>
    </row>
    <row r="1334" spans="8:12" x14ac:dyDescent="0.3">
      <c r="H1334" s="7" t="str">
        <f>IF(B1334&lt;&gt;"Silicone","",IFERROR(XLOOKUP(D1334,#REF!,#REF!),""))</f>
        <v/>
      </c>
      <c r="J1334" s="7" t="str">
        <f ca="1">IFERROR(XLOOKUP(D1334,'Spec_Single_H&amp;S'!B:B,'Spec_Single_H&amp;S'!E:E),
IFERROR(XLOOKUP(D1334,#REF!,#REF!),""))</f>
        <v/>
      </c>
      <c r="K1334" s="7" t="str">
        <f ca="1">IFERROR(XLOOKUP(D1334,'Spec_Single_H&amp;S'!B:B,'Spec_Single_H&amp;S'!F:F),
IFERROR(XLOOKUP(D1334,#REF!,#REF!),""))</f>
        <v/>
      </c>
      <c r="L1334" s="7" t="str">
        <f t="shared" ca="1" si="42"/>
        <v/>
      </c>
    </row>
    <row r="1335" spans="8:12" x14ac:dyDescent="0.3">
      <c r="H1335" s="7" t="str">
        <f>IF(B1335&lt;&gt;"Silicone","",IFERROR(XLOOKUP(D1335,#REF!,#REF!),""))</f>
        <v/>
      </c>
      <c r="J1335" s="7" t="str">
        <f ca="1">IFERROR(XLOOKUP(D1335,'Spec_Single_H&amp;S'!B:B,'Spec_Single_H&amp;S'!E:E),
IFERROR(XLOOKUP(D1335,#REF!,#REF!),""))</f>
        <v/>
      </c>
      <c r="K1335" s="7" t="str">
        <f ca="1">IFERROR(XLOOKUP(D1335,'Spec_Single_H&amp;S'!B:B,'Spec_Single_H&amp;S'!F:F),
IFERROR(XLOOKUP(D1335,#REF!,#REF!),""))</f>
        <v/>
      </c>
      <c r="L1335" s="7" t="str">
        <f t="shared" ca="1" si="42"/>
        <v/>
      </c>
    </row>
    <row r="1336" spans="8:12" x14ac:dyDescent="0.3">
      <c r="H1336" s="7" t="str">
        <f>IF(B1336&lt;&gt;"Silicone","",IFERROR(XLOOKUP(D1336,#REF!,#REF!),""))</f>
        <v/>
      </c>
      <c r="J1336" s="7" t="str">
        <f ca="1">IFERROR(XLOOKUP(D1336,'Spec_Single_H&amp;S'!B:B,'Spec_Single_H&amp;S'!E:E),
IFERROR(XLOOKUP(D1336,#REF!,#REF!),""))</f>
        <v/>
      </c>
      <c r="K1336" s="7" t="str">
        <f ca="1">IFERROR(XLOOKUP(D1336,'Spec_Single_H&amp;S'!B:B,'Spec_Single_H&amp;S'!F:F),
IFERROR(XLOOKUP(D1336,#REF!,#REF!),""))</f>
        <v/>
      </c>
      <c r="L1336" s="7" t="str">
        <f t="shared" ca="1" si="42"/>
        <v/>
      </c>
    </row>
    <row r="1337" spans="8:12" x14ac:dyDescent="0.3">
      <c r="H1337" s="7" t="str">
        <f>IF(B1337&lt;&gt;"Silicone","",IFERROR(XLOOKUP(D1337,#REF!,#REF!),""))</f>
        <v/>
      </c>
      <c r="J1337" s="7" t="str">
        <f ca="1">IFERROR(XLOOKUP(D1337,'Spec_Single_H&amp;S'!B:B,'Spec_Single_H&amp;S'!E:E),
IFERROR(XLOOKUP(D1337,#REF!,#REF!),""))</f>
        <v/>
      </c>
      <c r="K1337" s="7" t="str">
        <f ca="1">IFERROR(XLOOKUP(D1337,'Spec_Single_H&amp;S'!B:B,'Spec_Single_H&amp;S'!F:F),
IFERROR(XLOOKUP(D1337,#REF!,#REF!),""))</f>
        <v/>
      </c>
      <c r="L1337" s="7" t="str">
        <f t="shared" ca="1" si="42"/>
        <v/>
      </c>
    </row>
    <row r="1338" spans="8:12" x14ac:dyDescent="0.3">
      <c r="H1338" s="7" t="str">
        <f>IF(B1338&lt;&gt;"Silicone","",IFERROR(XLOOKUP(D1338,#REF!,#REF!),""))</f>
        <v/>
      </c>
      <c r="J1338" s="7" t="str">
        <f ca="1">IFERROR(XLOOKUP(D1338,'Spec_Single_H&amp;S'!B:B,'Spec_Single_H&amp;S'!E:E),
IFERROR(XLOOKUP(D1338,#REF!,#REF!),""))</f>
        <v/>
      </c>
      <c r="K1338" s="7" t="str">
        <f ca="1">IFERROR(XLOOKUP(D1338,'Spec_Single_H&amp;S'!B:B,'Spec_Single_H&amp;S'!F:F),
IFERROR(XLOOKUP(D1338,#REF!,#REF!),""))</f>
        <v/>
      </c>
      <c r="L1338" s="7" t="str">
        <f t="shared" ca="1" si="42"/>
        <v/>
      </c>
    </row>
    <row r="1339" spans="8:12" x14ac:dyDescent="0.3">
      <c r="H1339" s="7" t="str">
        <f>IF(B1339&lt;&gt;"Silicone","",IFERROR(XLOOKUP(D1339,#REF!,#REF!),""))</f>
        <v/>
      </c>
      <c r="J1339" s="7" t="str">
        <f ca="1">IFERROR(XLOOKUP(D1339,'Spec_Single_H&amp;S'!B:B,'Spec_Single_H&amp;S'!E:E),
IFERROR(XLOOKUP(D1339,#REF!,#REF!),""))</f>
        <v/>
      </c>
      <c r="K1339" s="7" t="str">
        <f ca="1">IFERROR(XLOOKUP(D1339,'Spec_Single_H&amp;S'!B:B,'Spec_Single_H&amp;S'!F:F),
IFERROR(XLOOKUP(D1339,#REF!,#REF!),""))</f>
        <v/>
      </c>
      <c r="L1339" s="7" t="str">
        <f t="shared" ca="1" si="42"/>
        <v/>
      </c>
    </row>
    <row r="1340" spans="8:12" x14ac:dyDescent="0.3">
      <c r="H1340" s="7" t="str">
        <f>IF(B1340&lt;&gt;"Silicone","",IFERROR(XLOOKUP(D1340,#REF!,#REF!),""))</f>
        <v/>
      </c>
      <c r="J1340" s="7" t="str">
        <f ca="1">IFERROR(XLOOKUP(D1340,'Spec_Single_H&amp;S'!B:B,'Spec_Single_H&amp;S'!E:E),
IFERROR(XLOOKUP(D1340,#REF!,#REF!),""))</f>
        <v/>
      </c>
      <c r="K1340" s="7" t="str">
        <f ca="1">IFERROR(XLOOKUP(D1340,'Spec_Single_H&amp;S'!B:B,'Spec_Single_H&amp;S'!F:F),
IFERROR(XLOOKUP(D1340,#REF!,#REF!),""))</f>
        <v/>
      </c>
      <c r="L1340" s="7" t="str">
        <f t="shared" ca="1" si="42"/>
        <v/>
      </c>
    </row>
    <row r="1341" spans="8:12" x14ac:dyDescent="0.3">
      <c r="H1341" s="7" t="str">
        <f>IF(B1341&lt;&gt;"Silicone","",IFERROR(XLOOKUP(D1341,#REF!,#REF!),""))</f>
        <v/>
      </c>
      <c r="J1341" s="7" t="str">
        <f ca="1">IFERROR(XLOOKUP(D1341,'Spec_Single_H&amp;S'!B:B,'Spec_Single_H&amp;S'!E:E),
IFERROR(XLOOKUP(D1341,#REF!,#REF!),""))</f>
        <v/>
      </c>
      <c r="K1341" s="7" t="str">
        <f ca="1">IFERROR(XLOOKUP(D1341,'Spec_Single_H&amp;S'!B:B,'Spec_Single_H&amp;S'!F:F),
IFERROR(XLOOKUP(D1341,#REF!,#REF!),""))</f>
        <v/>
      </c>
      <c r="L1341" s="7" t="str">
        <f t="shared" ca="1" si="42"/>
        <v/>
      </c>
    </row>
    <row r="1342" spans="8:12" x14ac:dyDescent="0.3">
      <c r="H1342" s="7" t="str">
        <f>IF(B1342&lt;&gt;"Silicone","",IFERROR(XLOOKUP(D1342,#REF!,#REF!),""))</f>
        <v/>
      </c>
      <c r="J1342" s="7" t="str">
        <f ca="1">IFERROR(XLOOKUP(D1342,'Spec_Single_H&amp;S'!B:B,'Spec_Single_H&amp;S'!E:E),
IFERROR(XLOOKUP(D1342,#REF!,#REF!),""))</f>
        <v/>
      </c>
      <c r="K1342" s="7" t="str">
        <f ca="1">IFERROR(XLOOKUP(D1342,'Spec_Single_H&amp;S'!B:B,'Spec_Single_H&amp;S'!F:F),
IFERROR(XLOOKUP(D1342,#REF!,#REF!),""))</f>
        <v/>
      </c>
      <c r="L1342" s="7" t="str">
        <f t="shared" ca="1" si="42"/>
        <v/>
      </c>
    </row>
    <row r="1343" spans="8:12" x14ac:dyDescent="0.3">
      <c r="H1343" s="7" t="str">
        <f>IF(B1343&lt;&gt;"Silicone","",IFERROR(XLOOKUP(D1343,#REF!,#REF!),""))</f>
        <v/>
      </c>
      <c r="J1343" s="7" t="str">
        <f ca="1">IFERROR(XLOOKUP(D1343,'Spec_Single_H&amp;S'!B:B,'Spec_Single_H&amp;S'!E:E),
IFERROR(XLOOKUP(D1343,#REF!,#REF!),""))</f>
        <v/>
      </c>
      <c r="K1343" s="7" t="str">
        <f ca="1">IFERROR(XLOOKUP(D1343,'Spec_Single_H&amp;S'!B:B,'Spec_Single_H&amp;S'!F:F),
IFERROR(XLOOKUP(D1343,#REF!,#REF!),""))</f>
        <v/>
      </c>
      <c r="L1343" s="7" t="str">
        <f t="shared" ca="1" si="42"/>
        <v/>
      </c>
    </row>
    <row r="1344" spans="8:12" x14ac:dyDescent="0.3">
      <c r="H1344" s="7" t="str">
        <f>IF(B1344&lt;&gt;"Silicone","",IFERROR(XLOOKUP(D1344,#REF!,#REF!),""))</f>
        <v/>
      </c>
      <c r="J1344" s="7" t="str">
        <f ca="1">IFERROR(XLOOKUP(D1344,'Spec_Single_H&amp;S'!B:B,'Spec_Single_H&amp;S'!E:E),
IFERROR(XLOOKUP(D1344,#REF!,#REF!),""))</f>
        <v/>
      </c>
      <c r="K1344" s="7" t="str">
        <f ca="1">IFERROR(XLOOKUP(D1344,'Spec_Single_H&amp;S'!B:B,'Spec_Single_H&amp;S'!F:F),
IFERROR(XLOOKUP(D1344,#REF!,#REF!),""))</f>
        <v/>
      </c>
      <c r="L1344" s="7" t="str">
        <f t="shared" ca="1" si="42"/>
        <v/>
      </c>
    </row>
    <row r="1345" spans="8:12" x14ac:dyDescent="0.3">
      <c r="H1345" s="7" t="str">
        <f>IF(B1345&lt;&gt;"Silicone","",IFERROR(XLOOKUP(D1345,#REF!,#REF!),""))</f>
        <v/>
      </c>
      <c r="J1345" s="7" t="str">
        <f ca="1">IFERROR(XLOOKUP(D1345,'Spec_Single_H&amp;S'!B:B,'Spec_Single_H&amp;S'!E:E),
IFERROR(XLOOKUP(D1345,#REF!,#REF!),""))</f>
        <v/>
      </c>
      <c r="K1345" s="7" t="str">
        <f ca="1">IFERROR(XLOOKUP(D1345,'Spec_Single_H&amp;S'!B:B,'Spec_Single_H&amp;S'!F:F),
IFERROR(XLOOKUP(D1345,#REF!,#REF!),""))</f>
        <v/>
      </c>
      <c r="L1345" s="7" t="str">
        <f t="shared" ca="1" si="42"/>
        <v/>
      </c>
    </row>
    <row r="1346" spans="8:12" x14ac:dyDescent="0.3">
      <c r="H1346" s="7" t="str">
        <f>IF(B1346&lt;&gt;"Silicone","",IFERROR(XLOOKUP(D1346,#REF!,#REF!),""))</f>
        <v/>
      </c>
      <c r="J1346" s="7" t="str">
        <f ca="1">IFERROR(XLOOKUP(D1346,'Spec_Single_H&amp;S'!B:B,'Spec_Single_H&amp;S'!E:E),
IFERROR(XLOOKUP(D1346,#REF!,#REF!),""))</f>
        <v/>
      </c>
      <c r="K1346" s="7" t="str">
        <f ca="1">IFERROR(XLOOKUP(D1346,'Spec_Single_H&amp;S'!B:B,'Spec_Single_H&amp;S'!F:F),
IFERROR(XLOOKUP(D1346,#REF!,#REF!),""))</f>
        <v/>
      </c>
      <c r="L1346" s="7" t="str">
        <f t="shared" ca="1" si="42"/>
        <v/>
      </c>
    </row>
    <row r="1347" spans="8:12" x14ac:dyDescent="0.3">
      <c r="H1347" s="7" t="str">
        <f>IF(B1347&lt;&gt;"Silicone","",IFERROR(XLOOKUP(D1347,#REF!,#REF!),""))</f>
        <v/>
      </c>
      <c r="J1347" s="7" t="str">
        <f ca="1">IFERROR(XLOOKUP(D1347,'Spec_Single_H&amp;S'!B:B,'Spec_Single_H&amp;S'!E:E),
IFERROR(XLOOKUP(D1347,#REF!,#REF!),""))</f>
        <v/>
      </c>
      <c r="K1347" s="7" t="str">
        <f ca="1">IFERROR(XLOOKUP(D1347,'Spec_Single_H&amp;S'!B:B,'Spec_Single_H&amp;S'!F:F),
IFERROR(XLOOKUP(D1347,#REF!,#REF!),""))</f>
        <v/>
      </c>
      <c r="L1347" s="7" t="str">
        <f t="shared" ca="1" si="42"/>
        <v/>
      </c>
    </row>
    <row r="1348" spans="8:12" x14ac:dyDescent="0.3">
      <c r="H1348" s="7" t="str">
        <f>IF(B1348&lt;&gt;"Silicone","",IFERROR(XLOOKUP(D1348,#REF!,#REF!),""))</f>
        <v/>
      </c>
      <c r="J1348" s="7" t="str">
        <f ca="1">IFERROR(XLOOKUP(D1348,'Spec_Single_H&amp;S'!B:B,'Spec_Single_H&amp;S'!E:E),
IFERROR(XLOOKUP(D1348,#REF!,#REF!),""))</f>
        <v/>
      </c>
      <c r="K1348" s="7" t="str">
        <f ca="1">IFERROR(XLOOKUP(D1348,'Spec_Single_H&amp;S'!B:B,'Spec_Single_H&amp;S'!F:F),
IFERROR(XLOOKUP(D1348,#REF!,#REF!),""))</f>
        <v/>
      </c>
      <c r="L1348" s="7" t="str">
        <f t="shared" ca="1" si="42"/>
        <v/>
      </c>
    </row>
    <row r="1349" spans="8:12" x14ac:dyDescent="0.3">
      <c r="H1349" s="7" t="str">
        <f>IF(B1349&lt;&gt;"Silicone","",IFERROR(XLOOKUP(D1349,#REF!,#REF!),""))</f>
        <v/>
      </c>
      <c r="J1349" s="7" t="str">
        <f ca="1">IFERROR(XLOOKUP(D1349,'Spec_Single_H&amp;S'!B:B,'Spec_Single_H&amp;S'!E:E),
IFERROR(XLOOKUP(D1349,#REF!,#REF!),""))</f>
        <v/>
      </c>
      <c r="K1349" s="7" t="str">
        <f ca="1">IFERROR(XLOOKUP(D1349,'Spec_Single_H&amp;S'!B:B,'Spec_Single_H&amp;S'!F:F),
IFERROR(XLOOKUP(D1349,#REF!,#REF!),""))</f>
        <v/>
      </c>
      <c r="L1349" s="7" t="str">
        <f t="shared" ca="1" si="42"/>
        <v/>
      </c>
    </row>
    <row r="1350" spans="8:12" x14ac:dyDescent="0.3">
      <c r="H1350" s="7" t="str">
        <f>IF(B1350&lt;&gt;"Silicone","",IFERROR(XLOOKUP(D1350,#REF!,#REF!),""))</f>
        <v/>
      </c>
      <c r="J1350" s="7" t="str">
        <f ca="1">IFERROR(XLOOKUP(D1350,'Spec_Single_H&amp;S'!B:B,'Spec_Single_H&amp;S'!E:E),
IFERROR(XLOOKUP(D1350,#REF!,#REF!),""))</f>
        <v/>
      </c>
      <c r="K1350" s="7" t="str">
        <f ca="1">IFERROR(XLOOKUP(D1350,'Spec_Single_H&amp;S'!B:B,'Spec_Single_H&amp;S'!F:F),
IFERROR(XLOOKUP(D1350,#REF!,#REF!),""))</f>
        <v/>
      </c>
      <c r="L1350" s="7" t="str">
        <f t="shared" ca="1" si="42"/>
        <v/>
      </c>
    </row>
    <row r="1351" spans="8:12" x14ac:dyDescent="0.3">
      <c r="H1351" s="7" t="str">
        <f>IF(B1351&lt;&gt;"Silicone","",IFERROR(XLOOKUP(D1351,#REF!,#REF!),""))</f>
        <v/>
      </c>
      <c r="J1351" s="7" t="str">
        <f ca="1">IFERROR(XLOOKUP(D1351,'Spec_Single_H&amp;S'!B:B,'Spec_Single_H&amp;S'!E:E),
IFERROR(XLOOKUP(D1351,#REF!,#REF!),""))</f>
        <v/>
      </c>
      <c r="K1351" s="7" t="str">
        <f ca="1">IFERROR(XLOOKUP(D1351,'Spec_Single_H&amp;S'!B:B,'Spec_Single_H&amp;S'!F:F),
IFERROR(XLOOKUP(D1351,#REF!,#REF!),""))</f>
        <v/>
      </c>
      <c r="L1351" s="7" t="str">
        <f t="shared" ca="1" si="42"/>
        <v/>
      </c>
    </row>
    <row r="1352" spans="8:12" x14ac:dyDescent="0.3">
      <c r="H1352" s="7" t="str">
        <f>IF(B1352&lt;&gt;"Silicone","",IFERROR(XLOOKUP(D1352,#REF!,#REF!),""))</f>
        <v/>
      </c>
      <c r="J1352" s="7" t="str">
        <f ca="1">IFERROR(XLOOKUP(D1352,'Spec_Single_H&amp;S'!B:B,'Spec_Single_H&amp;S'!E:E),
IFERROR(XLOOKUP(D1352,#REF!,#REF!),""))</f>
        <v/>
      </c>
      <c r="K1352" s="7" t="str">
        <f ca="1">IFERROR(XLOOKUP(D1352,'Spec_Single_H&amp;S'!B:B,'Spec_Single_H&amp;S'!F:F),
IFERROR(XLOOKUP(D1352,#REF!,#REF!),""))</f>
        <v/>
      </c>
      <c r="L1352" s="7" t="str">
        <f t="shared" ref="L1352:L1415" ca="1" si="43">IF(AND(NOT(ISBLANK(I1352)),I1352&gt;=J1352,I1352&lt;=K1352),"적합",IF(ISBLANK(I1352),"", "부적합"))</f>
        <v/>
      </c>
    </row>
    <row r="1353" spans="8:12" x14ac:dyDescent="0.3">
      <c r="H1353" s="7" t="str">
        <f>IF(B1353&lt;&gt;"Silicone","",IFERROR(XLOOKUP(D1353,#REF!,#REF!),""))</f>
        <v/>
      </c>
      <c r="J1353" s="7" t="str">
        <f ca="1">IFERROR(XLOOKUP(D1353,'Spec_Single_H&amp;S'!B:B,'Spec_Single_H&amp;S'!E:E),
IFERROR(XLOOKUP(D1353,#REF!,#REF!),""))</f>
        <v/>
      </c>
      <c r="K1353" s="7" t="str">
        <f ca="1">IFERROR(XLOOKUP(D1353,'Spec_Single_H&amp;S'!B:B,'Spec_Single_H&amp;S'!F:F),
IFERROR(XLOOKUP(D1353,#REF!,#REF!),""))</f>
        <v/>
      </c>
      <c r="L1353" s="7" t="str">
        <f t="shared" ca="1" si="43"/>
        <v/>
      </c>
    </row>
    <row r="1354" spans="8:12" x14ac:dyDescent="0.3">
      <c r="H1354" s="7" t="str">
        <f>IF(B1354&lt;&gt;"Silicone","",IFERROR(XLOOKUP(D1354,#REF!,#REF!),""))</f>
        <v/>
      </c>
      <c r="J1354" s="7" t="str">
        <f ca="1">IFERROR(XLOOKUP(D1354,'Spec_Single_H&amp;S'!B:B,'Spec_Single_H&amp;S'!E:E),
IFERROR(XLOOKUP(D1354,#REF!,#REF!),""))</f>
        <v/>
      </c>
      <c r="K1354" s="7" t="str">
        <f ca="1">IFERROR(XLOOKUP(D1354,'Spec_Single_H&amp;S'!B:B,'Spec_Single_H&amp;S'!F:F),
IFERROR(XLOOKUP(D1354,#REF!,#REF!),""))</f>
        <v/>
      </c>
      <c r="L1354" s="7" t="str">
        <f t="shared" ca="1" si="43"/>
        <v/>
      </c>
    </row>
    <row r="1355" spans="8:12" x14ac:dyDescent="0.3">
      <c r="H1355" s="7" t="str">
        <f>IF(B1355&lt;&gt;"Silicone","",IFERROR(XLOOKUP(D1355,#REF!,#REF!),""))</f>
        <v/>
      </c>
      <c r="J1355" s="7" t="str">
        <f ca="1">IFERROR(XLOOKUP(D1355,'Spec_Single_H&amp;S'!B:B,'Spec_Single_H&amp;S'!E:E),
IFERROR(XLOOKUP(D1355,#REF!,#REF!),""))</f>
        <v/>
      </c>
      <c r="K1355" s="7" t="str">
        <f ca="1">IFERROR(XLOOKUP(D1355,'Spec_Single_H&amp;S'!B:B,'Spec_Single_H&amp;S'!F:F),
IFERROR(XLOOKUP(D1355,#REF!,#REF!),""))</f>
        <v/>
      </c>
      <c r="L1355" s="7" t="str">
        <f t="shared" ca="1" si="43"/>
        <v/>
      </c>
    </row>
    <row r="1356" spans="8:12" x14ac:dyDescent="0.3">
      <c r="H1356" s="7" t="str">
        <f>IF(B1356&lt;&gt;"Silicone","",IFERROR(XLOOKUP(D1356,#REF!,#REF!),""))</f>
        <v/>
      </c>
      <c r="J1356" s="7" t="str">
        <f ca="1">IFERROR(XLOOKUP(D1356,'Spec_Single_H&amp;S'!B:B,'Spec_Single_H&amp;S'!E:E),
IFERROR(XLOOKUP(D1356,#REF!,#REF!),""))</f>
        <v/>
      </c>
      <c r="K1356" s="7" t="str">
        <f ca="1">IFERROR(XLOOKUP(D1356,'Spec_Single_H&amp;S'!B:B,'Spec_Single_H&amp;S'!F:F),
IFERROR(XLOOKUP(D1356,#REF!,#REF!),""))</f>
        <v/>
      </c>
      <c r="L1356" s="7" t="str">
        <f t="shared" ca="1" si="43"/>
        <v/>
      </c>
    </row>
    <row r="1357" spans="8:12" x14ac:dyDescent="0.3">
      <c r="H1357" s="7" t="str">
        <f>IF(B1357&lt;&gt;"Silicone","",IFERROR(XLOOKUP(D1357,#REF!,#REF!),""))</f>
        <v/>
      </c>
      <c r="J1357" s="7" t="str">
        <f ca="1">IFERROR(XLOOKUP(D1357,'Spec_Single_H&amp;S'!B:B,'Spec_Single_H&amp;S'!E:E),
IFERROR(XLOOKUP(D1357,#REF!,#REF!),""))</f>
        <v/>
      </c>
      <c r="K1357" s="7" t="str">
        <f ca="1">IFERROR(XLOOKUP(D1357,'Spec_Single_H&amp;S'!B:B,'Spec_Single_H&amp;S'!F:F),
IFERROR(XLOOKUP(D1357,#REF!,#REF!),""))</f>
        <v/>
      </c>
      <c r="L1357" s="7" t="str">
        <f t="shared" ca="1" si="43"/>
        <v/>
      </c>
    </row>
    <row r="1358" spans="8:12" x14ac:dyDescent="0.3">
      <c r="H1358" s="7" t="str">
        <f>IF(B1358&lt;&gt;"Silicone","",IFERROR(XLOOKUP(D1358,#REF!,#REF!),""))</f>
        <v/>
      </c>
      <c r="J1358" s="7" t="str">
        <f ca="1">IFERROR(XLOOKUP(D1358,'Spec_Single_H&amp;S'!B:B,'Spec_Single_H&amp;S'!E:E),
IFERROR(XLOOKUP(D1358,#REF!,#REF!),""))</f>
        <v/>
      </c>
      <c r="K1358" s="7" t="str">
        <f ca="1">IFERROR(XLOOKUP(D1358,'Spec_Single_H&amp;S'!B:B,'Spec_Single_H&amp;S'!F:F),
IFERROR(XLOOKUP(D1358,#REF!,#REF!),""))</f>
        <v/>
      </c>
      <c r="L1358" s="7" t="str">
        <f t="shared" ca="1" si="43"/>
        <v/>
      </c>
    </row>
    <row r="1359" spans="8:12" x14ac:dyDescent="0.3">
      <c r="H1359" s="7" t="str">
        <f>IF(B1359&lt;&gt;"Silicone","",IFERROR(XLOOKUP(D1359,#REF!,#REF!),""))</f>
        <v/>
      </c>
      <c r="J1359" s="7" t="str">
        <f ca="1">IFERROR(XLOOKUP(D1359,'Spec_Single_H&amp;S'!B:B,'Spec_Single_H&amp;S'!E:E),
IFERROR(XLOOKUP(D1359,#REF!,#REF!),""))</f>
        <v/>
      </c>
      <c r="K1359" s="7" t="str">
        <f ca="1">IFERROR(XLOOKUP(D1359,'Spec_Single_H&amp;S'!B:B,'Spec_Single_H&amp;S'!F:F),
IFERROR(XLOOKUP(D1359,#REF!,#REF!),""))</f>
        <v/>
      </c>
      <c r="L1359" s="7" t="str">
        <f t="shared" ca="1" si="43"/>
        <v/>
      </c>
    </row>
    <row r="1360" spans="8:12" x14ac:dyDescent="0.3">
      <c r="H1360" s="7" t="str">
        <f>IF(B1360&lt;&gt;"Silicone","",IFERROR(XLOOKUP(D1360,#REF!,#REF!),""))</f>
        <v/>
      </c>
      <c r="J1360" s="7" t="str">
        <f ca="1">IFERROR(XLOOKUP(D1360,'Spec_Single_H&amp;S'!B:B,'Spec_Single_H&amp;S'!E:E),
IFERROR(XLOOKUP(D1360,#REF!,#REF!),""))</f>
        <v/>
      </c>
      <c r="K1360" s="7" t="str">
        <f ca="1">IFERROR(XLOOKUP(D1360,'Spec_Single_H&amp;S'!B:B,'Spec_Single_H&amp;S'!F:F),
IFERROR(XLOOKUP(D1360,#REF!,#REF!),""))</f>
        <v/>
      </c>
      <c r="L1360" s="7" t="str">
        <f t="shared" ca="1" si="43"/>
        <v/>
      </c>
    </row>
    <row r="1361" spans="8:12" x14ac:dyDescent="0.3">
      <c r="H1361" s="7" t="str">
        <f>IF(B1361&lt;&gt;"Silicone","",IFERROR(XLOOKUP(D1361,#REF!,#REF!),""))</f>
        <v/>
      </c>
      <c r="J1361" s="7" t="str">
        <f ca="1">IFERROR(XLOOKUP(D1361,'Spec_Single_H&amp;S'!B:B,'Spec_Single_H&amp;S'!E:E),
IFERROR(XLOOKUP(D1361,#REF!,#REF!),""))</f>
        <v/>
      </c>
      <c r="K1361" s="7" t="str">
        <f ca="1">IFERROR(XLOOKUP(D1361,'Spec_Single_H&amp;S'!B:B,'Spec_Single_H&amp;S'!F:F),
IFERROR(XLOOKUP(D1361,#REF!,#REF!),""))</f>
        <v/>
      </c>
      <c r="L1361" s="7" t="str">
        <f t="shared" ca="1" si="43"/>
        <v/>
      </c>
    </row>
    <row r="1362" spans="8:12" x14ac:dyDescent="0.3">
      <c r="H1362" s="7" t="str">
        <f>IF(B1362&lt;&gt;"Silicone","",IFERROR(XLOOKUP(D1362,#REF!,#REF!),""))</f>
        <v/>
      </c>
      <c r="J1362" s="7" t="str">
        <f ca="1">IFERROR(XLOOKUP(D1362,'Spec_Single_H&amp;S'!B:B,'Spec_Single_H&amp;S'!E:E),
IFERROR(XLOOKUP(D1362,#REF!,#REF!),""))</f>
        <v/>
      </c>
      <c r="K1362" s="7" t="str">
        <f ca="1">IFERROR(XLOOKUP(D1362,'Spec_Single_H&amp;S'!B:B,'Spec_Single_H&amp;S'!F:F),
IFERROR(XLOOKUP(D1362,#REF!,#REF!),""))</f>
        <v/>
      </c>
      <c r="L1362" s="7" t="str">
        <f t="shared" ca="1" si="43"/>
        <v/>
      </c>
    </row>
    <row r="1363" spans="8:12" x14ac:dyDescent="0.3">
      <c r="H1363" s="7" t="str">
        <f>IF(B1363&lt;&gt;"Silicone","",IFERROR(XLOOKUP(D1363,#REF!,#REF!),""))</f>
        <v/>
      </c>
      <c r="J1363" s="7" t="str">
        <f ca="1">IFERROR(XLOOKUP(D1363,'Spec_Single_H&amp;S'!B:B,'Spec_Single_H&amp;S'!E:E),
IFERROR(XLOOKUP(D1363,#REF!,#REF!),""))</f>
        <v/>
      </c>
      <c r="K1363" s="7" t="str">
        <f ca="1">IFERROR(XLOOKUP(D1363,'Spec_Single_H&amp;S'!B:B,'Spec_Single_H&amp;S'!F:F),
IFERROR(XLOOKUP(D1363,#REF!,#REF!),""))</f>
        <v/>
      </c>
      <c r="L1363" s="7" t="str">
        <f t="shared" ca="1" si="43"/>
        <v/>
      </c>
    </row>
    <row r="1364" spans="8:12" x14ac:dyDescent="0.3">
      <c r="H1364" s="7" t="str">
        <f>IF(B1364&lt;&gt;"Silicone","",IFERROR(XLOOKUP(D1364,#REF!,#REF!),""))</f>
        <v/>
      </c>
      <c r="J1364" s="7" t="str">
        <f ca="1">IFERROR(XLOOKUP(D1364,'Spec_Single_H&amp;S'!B:B,'Spec_Single_H&amp;S'!E:E),
IFERROR(XLOOKUP(D1364,#REF!,#REF!),""))</f>
        <v/>
      </c>
      <c r="K1364" s="7" t="str">
        <f ca="1">IFERROR(XLOOKUP(D1364,'Spec_Single_H&amp;S'!B:B,'Spec_Single_H&amp;S'!F:F),
IFERROR(XLOOKUP(D1364,#REF!,#REF!),""))</f>
        <v/>
      </c>
      <c r="L1364" s="7" t="str">
        <f t="shared" ca="1" si="43"/>
        <v/>
      </c>
    </row>
    <row r="1365" spans="8:12" x14ac:dyDescent="0.3">
      <c r="H1365" s="7" t="str">
        <f>IF(B1365&lt;&gt;"Silicone","",IFERROR(XLOOKUP(D1365,#REF!,#REF!),""))</f>
        <v/>
      </c>
      <c r="J1365" s="7" t="str">
        <f ca="1">IFERROR(XLOOKUP(D1365,'Spec_Single_H&amp;S'!B:B,'Spec_Single_H&amp;S'!E:E),
IFERROR(XLOOKUP(D1365,#REF!,#REF!),""))</f>
        <v/>
      </c>
      <c r="K1365" s="7" t="str">
        <f ca="1">IFERROR(XLOOKUP(D1365,'Spec_Single_H&amp;S'!B:B,'Spec_Single_H&amp;S'!F:F),
IFERROR(XLOOKUP(D1365,#REF!,#REF!),""))</f>
        <v/>
      </c>
      <c r="L1365" s="7" t="str">
        <f t="shared" ca="1" si="43"/>
        <v/>
      </c>
    </row>
    <row r="1366" spans="8:12" x14ac:dyDescent="0.3">
      <c r="H1366" s="7" t="str">
        <f>IF(B1366&lt;&gt;"Silicone","",IFERROR(XLOOKUP(D1366,#REF!,#REF!),""))</f>
        <v/>
      </c>
      <c r="J1366" s="7" t="str">
        <f ca="1">IFERROR(XLOOKUP(D1366,'Spec_Single_H&amp;S'!B:B,'Spec_Single_H&amp;S'!E:E),
IFERROR(XLOOKUP(D1366,#REF!,#REF!),""))</f>
        <v/>
      </c>
      <c r="K1366" s="7" t="str">
        <f ca="1">IFERROR(XLOOKUP(D1366,'Spec_Single_H&amp;S'!B:B,'Spec_Single_H&amp;S'!F:F),
IFERROR(XLOOKUP(D1366,#REF!,#REF!),""))</f>
        <v/>
      </c>
      <c r="L1366" s="7" t="str">
        <f t="shared" ca="1" si="43"/>
        <v/>
      </c>
    </row>
    <row r="1367" spans="8:12" x14ac:dyDescent="0.3">
      <c r="H1367" s="7" t="str">
        <f>IF(B1367&lt;&gt;"Silicone","",IFERROR(XLOOKUP(D1367,#REF!,#REF!),""))</f>
        <v/>
      </c>
      <c r="J1367" s="7" t="str">
        <f ca="1">IFERROR(XLOOKUP(D1367,'Spec_Single_H&amp;S'!B:B,'Spec_Single_H&amp;S'!E:E),
IFERROR(XLOOKUP(D1367,#REF!,#REF!),""))</f>
        <v/>
      </c>
      <c r="K1367" s="7" t="str">
        <f ca="1">IFERROR(XLOOKUP(D1367,'Spec_Single_H&amp;S'!B:B,'Spec_Single_H&amp;S'!F:F),
IFERROR(XLOOKUP(D1367,#REF!,#REF!),""))</f>
        <v/>
      </c>
      <c r="L1367" s="7" t="str">
        <f t="shared" ca="1" si="43"/>
        <v/>
      </c>
    </row>
    <row r="1368" spans="8:12" x14ac:dyDescent="0.3">
      <c r="H1368" s="7" t="str">
        <f>IF(B1368&lt;&gt;"Silicone","",IFERROR(XLOOKUP(D1368,#REF!,#REF!),""))</f>
        <v/>
      </c>
      <c r="J1368" s="7" t="str">
        <f ca="1">IFERROR(XLOOKUP(D1368,'Spec_Single_H&amp;S'!B:B,'Spec_Single_H&amp;S'!E:E),
IFERROR(XLOOKUP(D1368,#REF!,#REF!),""))</f>
        <v/>
      </c>
      <c r="K1368" s="7" t="str">
        <f ca="1">IFERROR(XLOOKUP(D1368,'Spec_Single_H&amp;S'!B:B,'Spec_Single_H&amp;S'!F:F),
IFERROR(XLOOKUP(D1368,#REF!,#REF!),""))</f>
        <v/>
      </c>
      <c r="L1368" s="7" t="str">
        <f t="shared" ca="1" si="43"/>
        <v/>
      </c>
    </row>
    <row r="1369" spans="8:12" x14ac:dyDescent="0.3">
      <c r="H1369" s="7" t="str">
        <f>IF(B1369&lt;&gt;"Silicone","",IFERROR(XLOOKUP(D1369,#REF!,#REF!),""))</f>
        <v/>
      </c>
      <c r="J1369" s="7" t="str">
        <f ca="1">IFERROR(XLOOKUP(D1369,'Spec_Single_H&amp;S'!B:B,'Spec_Single_H&amp;S'!E:E),
IFERROR(XLOOKUP(D1369,#REF!,#REF!),""))</f>
        <v/>
      </c>
      <c r="K1369" s="7" t="str">
        <f ca="1">IFERROR(XLOOKUP(D1369,'Spec_Single_H&amp;S'!B:B,'Spec_Single_H&amp;S'!F:F),
IFERROR(XLOOKUP(D1369,#REF!,#REF!),""))</f>
        <v/>
      </c>
      <c r="L1369" s="7" t="str">
        <f t="shared" ca="1" si="43"/>
        <v/>
      </c>
    </row>
    <row r="1370" spans="8:12" x14ac:dyDescent="0.3">
      <c r="H1370" s="7" t="str">
        <f>IF(B1370&lt;&gt;"Silicone","",IFERROR(XLOOKUP(D1370,#REF!,#REF!),""))</f>
        <v/>
      </c>
      <c r="J1370" s="7" t="str">
        <f ca="1">IFERROR(XLOOKUP(D1370,'Spec_Single_H&amp;S'!B:B,'Spec_Single_H&amp;S'!E:E),
IFERROR(XLOOKUP(D1370,#REF!,#REF!),""))</f>
        <v/>
      </c>
      <c r="K1370" s="7" t="str">
        <f ca="1">IFERROR(XLOOKUP(D1370,'Spec_Single_H&amp;S'!B:B,'Spec_Single_H&amp;S'!F:F),
IFERROR(XLOOKUP(D1370,#REF!,#REF!),""))</f>
        <v/>
      </c>
      <c r="L1370" s="7" t="str">
        <f t="shared" ca="1" si="43"/>
        <v/>
      </c>
    </row>
    <row r="1371" spans="8:12" x14ac:dyDescent="0.3">
      <c r="H1371" s="7" t="str">
        <f>IF(B1371&lt;&gt;"Silicone","",IFERROR(XLOOKUP(D1371,#REF!,#REF!),""))</f>
        <v/>
      </c>
      <c r="J1371" s="7" t="str">
        <f ca="1">IFERROR(XLOOKUP(D1371,'Spec_Single_H&amp;S'!B:B,'Spec_Single_H&amp;S'!E:E),
IFERROR(XLOOKUP(D1371,#REF!,#REF!),""))</f>
        <v/>
      </c>
      <c r="K1371" s="7" t="str">
        <f ca="1">IFERROR(XLOOKUP(D1371,'Spec_Single_H&amp;S'!B:B,'Spec_Single_H&amp;S'!F:F),
IFERROR(XLOOKUP(D1371,#REF!,#REF!),""))</f>
        <v/>
      </c>
      <c r="L1371" s="7" t="str">
        <f t="shared" ca="1" si="43"/>
        <v/>
      </c>
    </row>
    <row r="1372" spans="8:12" x14ac:dyDescent="0.3">
      <c r="H1372" s="7" t="str">
        <f>IF(B1372&lt;&gt;"Silicone","",IFERROR(XLOOKUP(D1372,#REF!,#REF!),""))</f>
        <v/>
      </c>
      <c r="J1372" s="7" t="str">
        <f ca="1">IFERROR(XLOOKUP(D1372,'Spec_Single_H&amp;S'!B:B,'Spec_Single_H&amp;S'!E:E),
IFERROR(XLOOKUP(D1372,#REF!,#REF!),""))</f>
        <v/>
      </c>
      <c r="K1372" s="7" t="str">
        <f ca="1">IFERROR(XLOOKUP(D1372,'Spec_Single_H&amp;S'!B:B,'Spec_Single_H&amp;S'!F:F),
IFERROR(XLOOKUP(D1372,#REF!,#REF!),""))</f>
        <v/>
      </c>
      <c r="L1372" s="7" t="str">
        <f t="shared" ca="1" si="43"/>
        <v/>
      </c>
    </row>
    <row r="1373" spans="8:12" x14ac:dyDescent="0.3">
      <c r="H1373" s="7" t="str">
        <f>IF(B1373&lt;&gt;"Silicone","",IFERROR(XLOOKUP(D1373,#REF!,#REF!),""))</f>
        <v/>
      </c>
      <c r="J1373" s="7" t="str">
        <f ca="1">IFERROR(XLOOKUP(D1373,'Spec_Single_H&amp;S'!B:B,'Spec_Single_H&amp;S'!E:E),
IFERROR(XLOOKUP(D1373,#REF!,#REF!),""))</f>
        <v/>
      </c>
      <c r="K1373" s="7" t="str">
        <f ca="1">IFERROR(XLOOKUP(D1373,'Spec_Single_H&amp;S'!B:B,'Spec_Single_H&amp;S'!F:F),
IFERROR(XLOOKUP(D1373,#REF!,#REF!),""))</f>
        <v/>
      </c>
      <c r="L1373" s="7" t="str">
        <f t="shared" ca="1" si="43"/>
        <v/>
      </c>
    </row>
    <row r="1374" spans="8:12" x14ac:dyDescent="0.3">
      <c r="H1374" s="7" t="str">
        <f>IF(B1374&lt;&gt;"Silicone","",IFERROR(XLOOKUP(D1374,#REF!,#REF!),""))</f>
        <v/>
      </c>
      <c r="J1374" s="7" t="str">
        <f ca="1">IFERROR(XLOOKUP(D1374,'Spec_Single_H&amp;S'!B:B,'Spec_Single_H&amp;S'!E:E),
IFERROR(XLOOKUP(D1374,#REF!,#REF!),""))</f>
        <v/>
      </c>
      <c r="K1374" s="7" t="str">
        <f ca="1">IFERROR(XLOOKUP(D1374,'Spec_Single_H&amp;S'!B:B,'Spec_Single_H&amp;S'!F:F),
IFERROR(XLOOKUP(D1374,#REF!,#REF!),""))</f>
        <v/>
      </c>
      <c r="L1374" s="7" t="str">
        <f t="shared" ca="1" si="43"/>
        <v/>
      </c>
    </row>
    <row r="1375" spans="8:12" x14ac:dyDescent="0.3">
      <c r="H1375" s="7" t="str">
        <f>IF(B1375&lt;&gt;"Silicone","",IFERROR(XLOOKUP(D1375,#REF!,#REF!),""))</f>
        <v/>
      </c>
      <c r="J1375" s="7" t="str">
        <f ca="1">IFERROR(XLOOKUP(D1375,'Spec_Single_H&amp;S'!B:B,'Spec_Single_H&amp;S'!E:E),
IFERROR(XLOOKUP(D1375,#REF!,#REF!),""))</f>
        <v/>
      </c>
      <c r="K1375" s="7" t="str">
        <f ca="1">IFERROR(XLOOKUP(D1375,'Spec_Single_H&amp;S'!B:B,'Spec_Single_H&amp;S'!F:F),
IFERROR(XLOOKUP(D1375,#REF!,#REF!),""))</f>
        <v/>
      </c>
      <c r="L1375" s="7" t="str">
        <f t="shared" ca="1" si="43"/>
        <v/>
      </c>
    </row>
    <row r="1376" spans="8:12" x14ac:dyDescent="0.3">
      <c r="H1376" s="7" t="str">
        <f>IF(B1376&lt;&gt;"Silicone","",IFERROR(XLOOKUP(D1376,#REF!,#REF!),""))</f>
        <v/>
      </c>
      <c r="J1376" s="7" t="str">
        <f ca="1">IFERROR(XLOOKUP(D1376,'Spec_Single_H&amp;S'!B:B,'Spec_Single_H&amp;S'!E:E),
IFERROR(XLOOKUP(D1376,#REF!,#REF!),""))</f>
        <v/>
      </c>
      <c r="K1376" s="7" t="str">
        <f ca="1">IFERROR(XLOOKUP(D1376,'Spec_Single_H&amp;S'!B:B,'Spec_Single_H&amp;S'!F:F),
IFERROR(XLOOKUP(D1376,#REF!,#REF!),""))</f>
        <v/>
      </c>
      <c r="L1376" s="7" t="str">
        <f t="shared" ca="1" si="43"/>
        <v/>
      </c>
    </row>
    <row r="1377" spans="8:12" x14ac:dyDescent="0.3">
      <c r="H1377" s="7" t="str">
        <f>IF(B1377&lt;&gt;"Silicone","",IFERROR(XLOOKUP(D1377,#REF!,#REF!),""))</f>
        <v/>
      </c>
      <c r="J1377" s="7" t="str">
        <f ca="1">IFERROR(XLOOKUP(D1377,'Spec_Single_H&amp;S'!B:B,'Spec_Single_H&amp;S'!E:E),
IFERROR(XLOOKUP(D1377,#REF!,#REF!),""))</f>
        <v/>
      </c>
      <c r="K1377" s="7" t="str">
        <f ca="1">IFERROR(XLOOKUP(D1377,'Spec_Single_H&amp;S'!B:B,'Spec_Single_H&amp;S'!F:F),
IFERROR(XLOOKUP(D1377,#REF!,#REF!),""))</f>
        <v/>
      </c>
      <c r="L1377" s="7" t="str">
        <f t="shared" ca="1" si="43"/>
        <v/>
      </c>
    </row>
    <row r="1378" spans="8:12" x14ac:dyDescent="0.3">
      <c r="H1378" s="7" t="str">
        <f>IF(B1378&lt;&gt;"Silicone","",IFERROR(XLOOKUP(D1378,#REF!,#REF!),""))</f>
        <v/>
      </c>
      <c r="J1378" s="7" t="str">
        <f ca="1">IFERROR(XLOOKUP(D1378,'Spec_Single_H&amp;S'!B:B,'Spec_Single_H&amp;S'!E:E),
IFERROR(XLOOKUP(D1378,#REF!,#REF!),""))</f>
        <v/>
      </c>
      <c r="K1378" s="7" t="str">
        <f ca="1">IFERROR(XLOOKUP(D1378,'Spec_Single_H&amp;S'!B:B,'Spec_Single_H&amp;S'!F:F),
IFERROR(XLOOKUP(D1378,#REF!,#REF!),""))</f>
        <v/>
      </c>
      <c r="L1378" s="7" t="str">
        <f t="shared" ca="1" si="43"/>
        <v/>
      </c>
    </row>
    <row r="1379" spans="8:12" x14ac:dyDescent="0.3">
      <c r="H1379" s="7" t="str">
        <f>IF(B1379&lt;&gt;"Silicone","",IFERROR(XLOOKUP(D1379,#REF!,#REF!),""))</f>
        <v/>
      </c>
      <c r="J1379" s="7" t="str">
        <f ca="1">IFERROR(XLOOKUP(D1379,'Spec_Single_H&amp;S'!B:B,'Spec_Single_H&amp;S'!E:E),
IFERROR(XLOOKUP(D1379,#REF!,#REF!),""))</f>
        <v/>
      </c>
      <c r="K1379" s="7" t="str">
        <f ca="1">IFERROR(XLOOKUP(D1379,'Spec_Single_H&amp;S'!B:B,'Spec_Single_H&amp;S'!F:F),
IFERROR(XLOOKUP(D1379,#REF!,#REF!),""))</f>
        <v/>
      </c>
      <c r="L1379" s="7" t="str">
        <f t="shared" ca="1" si="43"/>
        <v/>
      </c>
    </row>
    <row r="1380" spans="8:12" x14ac:dyDescent="0.3">
      <c r="H1380" s="7" t="str">
        <f>IF(B1380&lt;&gt;"Silicone","",IFERROR(XLOOKUP(D1380,#REF!,#REF!),""))</f>
        <v/>
      </c>
      <c r="J1380" s="7" t="str">
        <f ca="1">IFERROR(XLOOKUP(D1380,'Spec_Single_H&amp;S'!B:B,'Spec_Single_H&amp;S'!E:E),
IFERROR(XLOOKUP(D1380,#REF!,#REF!),""))</f>
        <v/>
      </c>
      <c r="K1380" s="7" t="str">
        <f ca="1">IFERROR(XLOOKUP(D1380,'Spec_Single_H&amp;S'!B:B,'Spec_Single_H&amp;S'!F:F),
IFERROR(XLOOKUP(D1380,#REF!,#REF!),""))</f>
        <v/>
      </c>
      <c r="L1380" s="7" t="str">
        <f t="shared" ca="1" si="43"/>
        <v/>
      </c>
    </row>
    <row r="1381" spans="8:12" x14ac:dyDescent="0.3">
      <c r="H1381" s="7" t="str">
        <f>IF(B1381&lt;&gt;"Silicone","",IFERROR(XLOOKUP(D1381,#REF!,#REF!),""))</f>
        <v/>
      </c>
      <c r="J1381" s="7" t="str">
        <f ca="1">IFERROR(XLOOKUP(D1381,'Spec_Single_H&amp;S'!B:B,'Spec_Single_H&amp;S'!E:E),
IFERROR(XLOOKUP(D1381,#REF!,#REF!),""))</f>
        <v/>
      </c>
      <c r="K1381" s="7" t="str">
        <f ca="1">IFERROR(XLOOKUP(D1381,'Spec_Single_H&amp;S'!B:B,'Spec_Single_H&amp;S'!F:F),
IFERROR(XLOOKUP(D1381,#REF!,#REF!),""))</f>
        <v/>
      </c>
      <c r="L1381" s="7" t="str">
        <f t="shared" ca="1" si="43"/>
        <v/>
      </c>
    </row>
    <row r="1382" spans="8:12" x14ac:dyDescent="0.3">
      <c r="H1382" s="7" t="str">
        <f>IF(B1382&lt;&gt;"Silicone","",IFERROR(XLOOKUP(D1382,#REF!,#REF!),""))</f>
        <v/>
      </c>
      <c r="J1382" s="7" t="str">
        <f ca="1">IFERROR(XLOOKUP(D1382,'Spec_Single_H&amp;S'!B:B,'Spec_Single_H&amp;S'!E:E),
IFERROR(XLOOKUP(D1382,#REF!,#REF!),""))</f>
        <v/>
      </c>
      <c r="K1382" s="7" t="str">
        <f ca="1">IFERROR(XLOOKUP(D1382,'Spec_Single_H&amp;S'!B:B,'Spec_Single_H&amp;S'!F:F),
IFERROR(XLOOKUP(D1382,#REF!,#REF!),""))</f>
        <v/>
      </c>
      <c r="L1382" s="7" t="str">
        <f t="shared" ca="1" si="43"/>
        <v/>
      </c>
    </row>
    <row r="1383" spans="8:12" x14ac:dyDescent="0.3">
      <c r="H1383" s="7" t="str">
        <f>IF(B1383&lt;&gt;"Silicone","",IFERROR(XLOOKUP(D1383,#REF!,#REF!),""))</f>
        <v/>
      </c>
      <c r="J1383" s="7" t="str">
        <f ca="1">IFERROR(XLOOKUP(D1383,'Spec_Single_H&amp;S'!B:B,'Spec_Single_H&amp;S'!E:E),
IFERROR(XLOOKUP(D1383,#REF!,#REF!),""))</f>
        <v/>
      </c>
      <c r="K1383" s="7" t="str">
        <f ca="1">IFERROR(XLOOKUP(D1383,'Spec_Single_H&amp;S'!B:B,'Spec_Single_H&amp;S'!F:F),
IFERROR(XLOOKUP(D1383,#REF!,#REF!),""))</f>
        <v/>
      </c>
      <c r="L1383" s="7" t="str">
        <f t="shared" ca="1" si="43"/>
        <v/>
      </c>
    </row>
    <row r="1384" spans="8:12" x14ac:dyDescent="0.3">
      <c r="H1384" s="7" t="str">
        <f>IF(B1384&lt;&gt;"Silicone","",IFERROR(XLOOKUP(D1384,#REF!,#REF!),""))</f>
        <v/>
      </c>
      <c r="J1384" s="7" t="str">
        <f ca="1">IFERROR(XLOOKUP(D1384,'Spec_Single_H&amp;S'!B:B,'Spec_Single_H&amp;S'!E:E),
IFERROR(XLOOKUP(D1384,#REF!,#REF!),""))</f>
        <v/>
      </c>
      <c r="K1384" s="7" t="str">
        <f ca="1">IFERROR(XLOOKUP(D1384,'Spec_Single_H&amp;S'!B:B,'Spec_Single_H&amp;S'!F:F),
IFERROR(XLOOKUP(D1384,#REF!,#REF!),""))</f>
        <v/>
      </c>
      <c r="L1384" s="7" t="str">
        <f t="shared" ca="1" si="43"/>
        <v/>
      </c>
    </row>
    <row r="1385" spans="8:12" x14ac:dyDescent="0.3">
      <c r="H1385" s="7" t="str">
        <f>IF(B1385&lt;&gt;"Silicone","",IFERROR(XLOOKUP(D1385,#REF!,#REF!),""))</f>
        <v/>
      </c>
      <c r="J1385" s="7" t="str">
        <f ca="1">IFERROR(XLOOKUP(D1385,'Spec_Single_H&amp;S'!B:B,'Spec_Single_H&amp;S'!E:E),
IFERROR(XLOOKUP(D1385,#REF!,#REF!),""))</f>
        <v/>
      </c>
      <c r="K1385" s="7" t="str">
        <f ca="1">IFERROR(XLOOKUP(D1385,'Spec_Single_H&amp;S'!B:B,'Spec_Single_H&amp;S'!F:F),
IFERROR(XLOOKUP(D1385,#REF!,#REF!),""))</f>
        <v/>
      </c>
      <c r="L1385" s="7" t="str">
        <f t="shared" ca="1" si="43"/>
        <v/>
      </c>
    </row>
    <row r="1386" spans="8:12" x14ac:dyDescent="0.3">
      <c r="H1386" s="7" t="str">
        <f>IF(B1386&lt;&gt;"Silicone","",IFERROR(XLOOKUP(D1386,#REF!,#REF!),""))</f>
        <v/>
      </c>
      <c r="J1386" s="7" t="str">
        <f ca="1">IFERROR(XLOOKUP(D1386,'Spec_Single_H&amp;S'!B:B,'Spec_Single_H&amp;S'!E:E),
IFERROR(XLOOKUP(D1386,#REF!,#REF!),""))</f>
        <v/>
      </c>
      <c r="K1386" s="7" t="str">
        <f ca="1">IFERROR(XLOOKUP(D1386,'Spec_Single_H&amp;S'!B:B,'Spec_Single_H&amp;S'!F:F),
IFERROR(XLOOKUP(D1386,#REF!,#REF!),""))</f>
        <v/>
      </c>
      <c r="L1386" s="7" t="str">
        <f t="shared" ca="1" si="43"/>
        <v/>
      </c>
    </row>
    <row r="1387" spans="8:12" x14ac:dyDescent="0.3">
      <c r="H1387" s="7" t="str">
        <f>IF(B1387&lt;&gt;"Silicone","",IFERROR(XLOOKUP(D1387,#REF!,#REF!),""))</f>
        <v/>
      </c>
      <c r="J1387" s="7" t="str">
        <f ca="1">IFERROR(XLOOKUP(D1387,'Spec_Single_H&amp;S'!B:B,'Spec_Single_H&amp;S'!E:E),
IFERROR(XLOOKUP(D1387,#REF!,#REF!),""))</f>
        <v/>
      </c>
      <c r="K1387" s="7" t="str">
        <f ca="1">IFERROR(XLOOKUP(D1387,'Spec_Single_H&amp;S'!B:B,'Spec_Single_H&amp;S'!F:F),
IFERROR(XLOOKUP(D1387,#REF!,#REF!),""))</f>
        <v/>
      </c>
      <c r="L1387" s="7" t="str">
        <f t="shared" ca="1" si="43"/>
        <v/>
      </c>
    </row>
    <row r="1388" spans="8:12" x14ac:dyDescent="0.3">
      <c r="H1388" s="7" t="str">
        <f>IF(B1388&lt;&gt;"Silicone","",IFERROR(XLOOKUP(D1388,#REF!,#REF!),""))</f>
        <v/>
      </c>
      <c r="J1388" s="7" t="str">
        <f ca="1">IFERROR(XLOOKUP(D1388,'Spec_Single_H&amp;S'!B:B,'Spec_Single_H&amp;S'!E:E),
IFERROR(XLOOKUP(D1388,#REF!,#REF!),""))</f>
        <v/>
      </c>
      <c r="K1388" s="7" t="str">
        <f ca="1">IFERROR(XLOOKUP(D1388,'Spec_Single_H&amp;S'!B:B,'Spec_Single_H&amp;S'!F:F),
IFERROR(XLOOKUP(D1388,#REF!,#REF!),""))</f>
        <v/>
      </c>
      <c r="L1388" s="7" t="str">
        <f t="shared" ca="1" si="43"/>
        <v/>
      </c>
    </row>
    <row r="1389" spans="8:12" x14ac:dyDescent="0.3">
      <c r="H1389" s="7" t="str">
        <f>IF(B1389&lt;&gt;"Silicone","",IFERROR(XLOOKUP(D1389,#REF!,#REF!),""))</f>
        <v/>
      </c>
      <c r="J1389" s="7" t="str">
        <f ca="1">IFERROR(XLOOKUP(D1389,'Spec_Single_H&amp;S'!B:B,'Spec_Single_H&amp;S'!E:E),
IFERROR(XLOOKUP(D1389,#REF!,#REF!),""))</f>
        <v/>
      </c>
      <c r="K1389" s="7" t="str">
        <f ca="1">IFERROR(XLOOKUP(D1389,'Spec_Single_H&amp;S'!B:B,'Spec_Single_H&amp;S'!F:F),
IFERROR(XLOOKUP(D1389,#REF!,#REF!),""))</f>
        <v/>
      </c>
      <c r="L1389" s="7" t="str">
        <f t="shared" ca="1" si="43"/>
        <v/>
      </c>
    </row>
    <row r="1390" spans="8:12" x14ac:dyDescent="0.3">
      <c r="H1390" s="7" t="str">
        <f>IF(B1390&lt;&gt;"Silicone","",IFERROR(XLOOKUP(D1390,#REF!,#REF!),""))</f>
        <v/>
      </c>
      <c r="J1390" s="7" t="str">
        <f ca="1">IFERROR(XLOOKUP(D1390,'Spec_Single_H&amp;S'!B:B,'Spec_Single_H&amp;S'!E:E),
IFERROR(XLOOKUP(D1390,#REF!,#REF!),""))</f>
        <v/>
      </c>
      <c r="K1390" s="7" t="str">
        <f ca="1">IFERROR(XLOOKUP(D1390,'Spec_Single_H&amp;S'!B:B,'Spec_Single_H&amp;S'!F:F),
IFERROR(XLOOKUP(D1390,#REF!,#REF!),""))</f>
        <v/>
      </c>
      <c r="L1390" s="7" t="str">
        <f t="shared" ca="1" si="43"/>
        <v/>
      </c>
    </row>
    <row r="1391" spans="8:12" x14ac:dyDescent="0.3">
      <c r="H1391" s="7" t="str">
        <f>IF(B1391&lt;&gt;"Silicone","",IFERROR(XLOOKUP(D1391,#REF!,#REF!),""))</f>
        <v/>
      </c>
      <c r="J1391" s="7" t="str">
        <f ca="1">IFERROR(XLOOKUP(D1391,'Spec_Single_H&amp;S'!B:B,'Spec_Single_H&amp;S'!E:E),
IFERROR(XLOOKUP(D1391,#REF!,#REF!),""))</f>
        <v/>
      </c>
      <c r="K1391" s="7" t="str">
        <f ca="1">IFERROR(XLOOKUP(D1391,'Spec_Single_H&amp;S'!B:B,'Spec_Single_H&amp;S'!F:F),
IFERROR(XLOOKUP(D1391,#REF!,#REF!),""))</f>
        <v/>
      </c>
      <c r="L1391" s="7" t="str">
        <f t="shared" ca="1" si="43"/>
        <v/>
      </c>
    </row>
    <row r="1392" spans="8:12" x14ac:dyDescent="0.3">
      <c r="H1392" s="7" t="str">
        <f>IF(B1392&lt;&gt;"Silicone","",IFERROR(XLOOKUP(D1392,#REF!,#REF!),""))</f>
        <v/>
      </c>
      <c r="J1392" s="7" t="str">
        <f ca="1">IFERROR(XLOOKUP(D1392,'Spec_Single_H&amp;S'!B:B,'Spec_Single_H&amp;S'!E:E),
IFERROR(XLOOKUP(D1392,#REF!,#REF!),""))</f>
        <v/>
      </c>
      <c r="K1392" s="7" t="str">
        <f ca="1">IFERROR(XLOOKUP(D1392,'Spec_Single_H&amp;S'!B:B,'Spec_Single_H&amp;S'!F:F),
IFERROR(XLOOKUP(D1392,#REF!,#REF!),""))</f>
        <v/>
      </c>
      <c r="L1392" s="7" t="str">
        <f t="shared" ca="1" si="43"/>
        <v/>
      </c>
    </row>
    <row r="1393" spans="8:12" x14ac:dyDescent="0.3">
      <c r="H1393" s="7" t="str">
        <f>IF(B1393&lt;&gt;"Silicone","",IFERROR(XLOOKUP(D1393,#REF!,#REF!),""))</f>
        <v/>
      </c>
      <c r="J1393" s="7" t="str">
        <f ca="1">IFERROR(XLOOKUP(D1393,'Spec_Single_H&amp;S'!B:B,'Spec_Single_H&amp;S'!E:E),
IFERROR(XLOOKUP(D1393,#REF!,#REF!),""))</f>
        <v/>
      </c>
      <c r="K1393" s="7" t="str">
        <f ca="1">IFERROR(XLOOKUP(D1393,'Spec_Single_H&amp;S'!B:B,'Spec_Single_H&amp;S'!F:F),
IFERROR(XLOOKUP(D1393,#REF!,#REF!),""))</f>
        <v/>
      </c>
      <c r="L1393" s="7" t="str">
        <f t="shared" ca="1" si="43"/>
        <v/>
      </c>
    </row>
    <row r="1394" spans="8:12" x14ac:dyDescent="0.3">
      <c r="H1394" s="7" t="str">
        <f>IF(B1394&lt;&gt;"Silicone","",IFERROR(XLOOKUP(D1394,#REF!,#REF!),""))</f>
        <v/>
      </c>
      <c r="J1394" s="7" t="str">
        <f ca="1">IFERROR(XLOOKUP(D1394,'Spec_Single_H&amp;S'!B:B,'Spec_Single_H&amp;S'!E:E),
IFERROR(XLOOKUP(D1394,#REF!,#REF!),""))</f>
        <v/>
      </c>
      <c r="K1394" s="7" t="str">
        <f ca="1">IFERROR(XLOOKUP(D1394,'Spec_Single_H&amp;S'!B:B,'Spec_Single_H&amp;S'!F:F),
IFERROR(XLOOKUP(D1394,#REF!,#REF!),""))</f>
        <v/>
      </c>
      <c r="L1394" s="7" t="str">
        <f t="shared" ca="1" si="43"/>
        <v/>
      </c>
    </row>
    <row r="1395" spans="8:12" x14ac:dyDescent="0.3">
      <c r="H1395" s="7" t="str">
        <f>IF(B1395&lt;&gt;"Silicone","",IFERROR(XLOOKUP(D1395,#REF!,#REF!),""))</f>
        <v/>
      </c>
      <c r="J1395" s="7" t="str">
        <f ca="1">IFERROR(XLOOKUP(D1395,'Spec_Single_H&amp;S'!B:B,'Spec_Single_H&amp;S'!E:E),
IFERROR(XLOOKUP(D1395,#REF!,#REF!),""))</f>
        <v/>
      </c>
      <c r="K1395" s="7" t="str">
        <f ca="1">IFERROR(XLOOKUP(D1395,'Spec_Single_H&amp;S'!B:B,'Spec_Single_H&amp;S'!F:F),
IFERROR(XLOOKUP(D1395,#REF!,#REF!),""))</f>
        <v/>
      </c>
      <c r="L1395" s="7" t="str">
        <f t="shared" ca="1" si="43"/>
        <v/>
      </c>
    </row>
    <row r="1396" spans="8:12" x14ac:dyDescent="0.3">
      <c r="H1396" s="7" t="str">
        <f>IF(B1396&lt;&gt;"Silicone","",IFERROR(XLOOKUP(D1396,#REF!,#REF!),""))</f>
        <v/>
      </c>
      <c r="J1396" s="7" t="str">
        <f ca="1">IFERROR(XLOOKUP(D1396,'Spec_Single_H&amp;S'!B:B,'Spec_Single_H&amp;S'!E:E),
IFERROR(XLOOKUP(D1396,#REF!,#REF!),""))</f>
        <v/>
      </c>
      <c r="K1396" s="7" t="str">
        <f ca="1">IFERROR(XLOOKUP(D1396,'Spec_Single_H&amp;S'!B:B,'Spec_Single_H&amp;S'!F:F),
IFERROR(XLOOKUP(D1396,#REF!,#REF!),""))</f>
        <v/>
      </c>
      <c r="L1396" s="7" t="str">
        <f t="shared" ca="1" si="43"/>
        <v/>
      </c>
    </row>
    <row r="1397" spans="8:12" x14ac:dyDescent="0.3">
      <c r="H1397" s="7" t="str">
        <f>IF(B1397&lt;&gt;"Silicone","",IFERROR(XLOOKUP(D1397,#REF!,#REF!),""))</f>
        <v/>
      </c>
      <c r="J1397" s="7" t="str">
        <f ca="1">IFERROR(XLOOKUP(D1397,'Spec_Single_H&amp;S'!B:B,'Spec_Single_H&amp;S'!E:E),
IFERROR(XLOOKUP(D1397,#REF!,#REF!),""))</f>
        <v/>
      </c>
      <c r="K1397" s="7" t="str">
        <f ca="1">IFERROR(XLOOKUP(D1397,'Spec_Single_H&amp;S'!B:B,'Spec_Single_H&amp;S'!F:F),
IFERROR(XLOOKUP(D1397,#REF!,#REF!),""))</f>
        <v/>
      </c>
      <c r="L1397" s="7" t="str">
        <f t="shared" ca="1" si="43"/>
        <v/>
      </c>
    </row>
    <row r="1398" spans="8:12" x14ac:dyDescent="0.3">
      <c r="H1398" s="7" t="str">
        <f>IF(B1398&lt;&gt;"Silicone","",IFERROR(XLOOKUP(D1398,#REF!,#REF!),""))</f>
        <v/>
      </c>
      <c r="J1398" s="7" t="str">
        <f ca="1">IFERROR(XLOOKUP(D1398,'Spec_Single_H&amp;S'!B:B,'Spec_Single_H&amp;S'!E:E),
IFERROR(XLOOKUP(D1398,#REF!,#REF!),""))</f>
        <v/>
      </c>
      <c r="K1398" s="7" t="str">
        <f ca="1">IFERROR(XLOOKUP(D1398,'Spec_Single_H&amp;S'!B:B,'Spec_Single_H&amp;S'!F:F),
IFERROR(XLOOKUP(D1398,#REF!,#REF!),""))</f>
        <v/>
      </c>
      <c r="L1398" s="7" t="str">
        <f t="shared" ca="1" si="43"/>
        <v/>
      </c>
    </row>
    <row r="1399" spans="8:12" x14ac:dyDescent="0.3">
      <c r="H1399" s="7" t="str">
        <f>IF(B1399&lt;&gt;"Silicone","",IFERROR(XLOOKUP(D1399,#REF!,#REF!),""))</f>
        <v/>
      </c>
      <c r="J1399" s="7" t="str">
        <f ca="1">IFERROR(XLOOKUP(D1399,'Spec_Single_H&amp;S'!B:B,'Spec_Single_H&amp;S'!E:E),
IFERROR(XLOOKUP(D1399,#REF!,#REF!),""))</f>
        <v/>
      </c>
      <c r="K1399" s="7" t="str">
        <f ca="1">IFERROR(XLOOKUP(D1399,'Spec_Single_H&amp;S'!B:B,'Spec_Single_H&amp;S'!F:F),
IFERROR(XLOOKUP(D1399,#REF!,#REF!),""))</f>
        <v/>
      </c>
      <c r="L1399" s="7" t="str">
        <f t="shared" ca="1" si="43"/>
        <v/>
      </c>
    </row>
    <row r="1400" spans="8:12" x14ac:dyDescent="0.3">
      <c r="H1400" s="7" t="str">
        <f>IF(B1400&lt;&gt;"Silicone","",IFERROR(XLOOKUP(D1400,#REF!,#REF!),""))</f>
        <v/>
      </c>
      <c r="J1400" s="7" t="str">
        <f ca="1">IFERROR(XLOOKUP(D1400,'Spec_Single_H&amp;S'!B:B,'Spec_Single_H&amp;S'!E:E),
IFERROR(XLOOKUP(D1400,#REF!,#REF!),""))</f>
        <v/>
      </c>
      <c r="K1400" s="7" t="str">
        <f ca="1">IFERROR(XLOOKUP(D1400,'Spec_Single_H&amp;S'!B:B,'Spec_Single_H&amp;S'!F:F),
IFERROR(XLOOKUP(D1400,#REF!,#REF!),""))</f>
        <v/>
      </c>
      <c r="L1400" s="7" t="str">
        <f t="shared" ca="1" si="43"/>
        <v/>
      </c>
    </row>
    <row r="1401" spans="8:12" x14ac:dyDescent="0.3">
      <c r="H1401" s="7" t="str">
        <f>IF(B1401&lt;&gt;"Silicone","",IFERROR(XLOOKUP(D1401,#REF!,#REF!),""))</f>
        <v/>
      </c>
      <c r="J1401" s="7" t="str">
        <f ca="1">IFERROR(XLOOKUP(D1401,'Spec_Single_H&amp;S'!B:B,'Spec_Single_H&amp;S'!E:E),
IFERROR(XLOOKUP(D1401,#REF!,#REF!),""))</f>
        <v/>
      </c>
      <c r="K1401" s="7" t="str">
        <f ca="1">IFERROR(XLOOKUP(D1401,'Spec_Single_H&amp;S'!B:B,'Spec_Single_H&amp;S'!F:F),
IFERROR(XLOOKUP(D1401,#REF!,#REF!),""))</f>
        <v/>
      </c>
      <c r="L1401" s="7" t="str">
        <f t="shared" ca="1" si="43"/>
        <v/>
      </c>
    </row>
    <row r="1402" spans="8:12" x14ac:dyDescent="0.3">
      <c r="H1402" s="7" t="str">
        <f>IF(B1402&lt;&gt;"Silicone","",IFERROR(XLOOKUP(D1402,#REF!,#REF!),""))</f>
        <v/>
      </c>
      <c r="J1402" s="7" t="str">
        <f ca="1">IFERROR(XLOOKUP(D1402,'Spec_Single_H&amp;S'!B:B,'Spec_Single_H&amp;S'!E:E),
IFERROR(XLOOKUP(D1402,#REF!,#REF!),""))</f>
        <v/>
      </c>
      <c r="K1402" s="7" t="str">
        <f ca="1">IFERROR(XLOOKUP(D1402,'Spec_Single_H&amp;S'!B:B,'Spec_Single_H&amp;S'!F:F),
IFERROR(XLOOKUP(D1402,#REF!,#REF!),""))</f>
        <v/>
      </c>
      <c r="L1402" s="7" t="str">
        <f t="shared" ca="1" si="43"/>
        <v/>
      </c>
    </row>
    <row r="1403" spans="8:12" x14ac:dyDescent="0.3">
      <c r="H1403" s="7" t="str">
        <f>IF(B1403&lt;&gt;"Silicone","",IFERROR(XLOOKUP(D1403,#REF!,#REF!),""))</f>
        <v/>
      </c>
      <c r="J1403" s="7" t="str">
        <f ca="1">IFERROR(XLOOKUP(D1403,'Spec_Single_H&amp;S'!B:B,'Spec_Single_H&amp;S'!E:E),
IFERROR(XLOOKUP(D1403,#REF!,#REF!),""))</f>
        <v/>
      </c>
      <c r="K1403" s="7" t="str">
        <f ca="1">IFERROR(XLOOKUP(D1403,'Spec_Single_H&amp;S'!B:B,'Spec_Single_H&amp;S'!F:F),
IFERROR(XLOOKUP(D1403,#REF!,#REF!),""))</f>
        <v/>
      </c>
      <c r="L1403" s="7" t="str">
        <f t="shared" ca="1" si="43"/>
        <v/>
      </c>
    </row>
    <row r="1404" spans="8:12" x14ac:dyDescent="0.3">
      <c r="H1404" s="7" t="str">
        <f>IF(B1404&lt;&gt;"Silicone","",IFERROR(XLOOKUP(D1404,#REF!,#REF!),""))</f>
        <v/>
      </c>
      <c r="J1404" s="7" t="str">
        <f ca="1">IFERROR(XLOOKUP(D1404,'Spec_Single_H&amp;S'!B:B,'Spec_Single_H&amp;S'!E:E),
IFERROR(XLOOKUP(D1404,#REF!,#REF!),""))</f>
        <v/>
      </c>
      <c r="K1404" s="7" t="str">
        <f ca="1">IFERROR(XLOOKUP(D1404,'Spec_Single_H&amp;S'!B:B,'Spec_Single_H&amp;S'!F:F),
IFERROR(XLOOKUP(D1404,#REF!,#REF!),""))</f>
        <v/>
      </c>
      <c r="L1404" s="7" t="str">
        <f t="shared" ca="1" si="43"/>
        <v/>
      </c>
    </row>
    <row r="1405" spans="8:12" x14ac:dyDescent="0.3">
      <c r="H1405" s="7" t="str">
        <f>IF(B1405&lt;&gt;"Silicone","",IFERROR(XLOOKUP(D1405,#REF!,#REF!),""))</f>
        <v/>
      </c>
      <c r="J1405" s="7" t="str">
        <f ca="1">IFERROR(XLOOKUP(D1405,'Spec_Single_H&amp;S'!B:B,'Spec_Single_H&amp;S'!E:E),
IFERROR(XLOOKUP(D1405,#REF!,#REF!),""))</f>
        <v/>
      </c>
      <c r="K1405" s="7" t="str">
        <f ca="1">IFERROR(XLOOKUP(D1405,'Spec_Single_H&amp;S'!B:B,'Spec_Single_H&amp;S'!F:F),
IFERROR(XLOOKUP(D1405,#REF!,#REF!),""))</f>
        <v/>
      </c>
      <c r="L1405" s="7" t="str">
        <f t="shared" ca="1" si="43"/>
        <v/>
      </c>
    </row>
    <row r="1406" spans="8:12" x14ac:dyDescent="0.3">
      <c r="H1406" s="7" t="str">
        <f>IF(B1406&lt;&gt;"Silicone","",IFERROR(XLOOKUP(D1406,#REF!,#REF!),""))</f>
        <v/>
      </c>
      <c r="J1406" s="7" t="str">
        <f ca="1">IFERROR(XLOOKUP(D1406,'Spec_Single_H&amp;S'!B:B,'Spec_Single_H&amp;S'!E:E),
IFERROR(XLOOKUP(D1406,#REF!,#REF!),""))</f>
        <v/>
      </c>
      <c r="K1406" s="7" t="str">
        <f ca="1">IFERROR(XLOOKUP(D1406,'Spec_Single_H&amp;S'!B:B,'Spec_Single_H&amp;S'!F:F),
IFERROR(XLOOKUP(D1406,#REF!,#REF!),""))</f>
        <v/>
      </c>
      <c r="L1406" s="7" t="str">
        <f t="shared" ca="1" si="43"/>
        <v/>
      </c>
    </row>
    <row r="1407" spans="8:12" x14ac:dyDescent="0.3">
      <c r="H1407" s="7" t="str">
        <f>IF(B1407&lt;&gt;"Silicone","",IFERROR(XLOOKUP(D1407,#REF!,#REF!),""))</f>
        <v/>
      </c>
      <c r="J1407" s="7" t="str">
        <f ca="1">IFERROR(XLOOKUP(D1407,'Spec_Single_H&amp;S'!B:B,'Spec_Single_H&amp;S'!E:E),
IFERROR(XLOOKUP(D1407,#REF!,#REF!),""))</f>
        <v/>
      </c>
      <c r="K1407" s="7" t="str">
        <f ca="1">IFERROR(XLOOKUP(D1407,'Spec_Single_H&amp;S'!B:B,'Spec_Single_H&amp;S'!F:F),
IFERROR(XLOOKUP(D1407,#REF!,#REF!),""))</f>
        <v/>
      </c>
      <c r="L1407" s="7" t="str">
        <f t="shared" ca="1" si="43"/>
        <v/>
      </c>
    </row>
    <row r="1408" spans="8:12" x14ac:dyDescent="0.3">
      <c r="H1408" s="7" t="str">
        <f>IF(B1408&lt;&gt;"Silicone","",IFERROR(XLOOKUP(D1408,#REF!,#REF!),""))</f>
        <v/>
      </c>
      <c r="J1408" s="7" t="str">
        <f ca="1">IFERROR(XLOOKUP(D1408,'Spec_Single_H&amp;S'!B:B,'Spec_Single_H&amp;S'!E:E),
IFERROR(XLOOKUP(D1408,#REF!,#REF!),""))</f>
        <v/>
      </c>
      <c r="K1408" s="7" t="str">
        <f ca="1">IFERROR(XLOOKUP(D1408,'Spec_Single_H&amp;S'!B:B,'Spec_Single_H&amp;S'!F:F),
IFERROR(XLOOKUP(D1408,#REF!,#REF!),""))</f>
        <v/>
      </c>
      <c r="L1408" s="7" t="str">
        <f t="shared" ca="1" si="43"/>
        <v/>
      </c>
    </row>
    <row r="1409" spans="8:12" x14ac:dyDescent="0.3">
      <c r="H1409" s="7" t="str">
        <f>IF(B1409&lt;&gt;"Silicone","",IFERROR(XLOOKUP(D1409,#REF!,#REF!),""))</f>
        <v/>
      </c>
      <c r="J1409" s="7" t="str">
        <f ca="1">IFERROR(XLOOKUP(D1409,'Spec_Single_H&amp;S'!B:B,'Spec_Single_H&amp;S'!E:E),
IFERROR(XLOOKUP(D1409,#REF!,#REF!),""))</f>
        <v/>
      </c>
      <c r="K1409" s="7" t="str">
        <f ca="1">IFERROR(XLOOKUP(D1409,'Spec_Single_H&amp;S'!B:B,'Spec_Single_H&amp;S'!F:F),
IFERROR(XLOOKUP(D1409,#REF!,#REF!),""))</f>
        <v/>
      </c>
      <c r="L1409" s="7" t="str">
        <f t="shared" ca="1" si="43"/>
        <v/>
      </c>
    </row>
    <row r="1410" spans="8:12" x14ac:dyDescent="0.3">
      <c r="H1410" s="7" t="str">
        <f>IF(B1410&lt;&gt;"Silicone","",IFERROR(XLOOKUP(D1410,#REF!,#REF!),""))</f>
        <v/>
      </c>
      <c r="J1410" s="7" t="str">
        <f ca="1">IFERROR(XLOOKUP(D1410,'Spec_Single_H&amp;S'!B:B,'Spec_Single_H&amp;S'!E:E),
IFERROR(XLOOKUP(D1410,#REF!,#REF!),""))</f>
        <v/>
      </c>
      <c r="K1410" s="7" t="str">
        <f ca="1">IFERROR(XLOOKUP(D1410,'Spec_Single_H&amp;S'!B:B,'Spec_Single_H&amp;S'!F:F),
IFERROR(XLOOKUP(D1410,#REF!,#REF!),""))</f>
        <v/>
      </c>
      <c r="L1410" s="7" t="str">
        <f t="shared" ca="1" si="43"/>
        <v/>
      </c>
    </row>
    <row r="1411" spans="8:12" x14ac:dyDescent="0.3">
      <c r="H1411" s="7" t="str">
        <f>IF(B1411&lt;&gt;"Silicone","",IFERROR(XLOOKUP(D1411,#REF!,#REF!),""))</f>
        <v/>
      </c>
      <c r="J1411" s="7" t="str">
        <f ca="1">IFERROR(XLOOKUP(D1411,'Spec_Single_H&amp;S'!B:B,'Spec_Single_H&amp;S'!E:E),
IFERROR(XLOOKUP(D1411,#REF!,#REF!),""))</f>
        <v/>
      </c>
      <c r="K1411" s="7" t="str">
        <f ca="1">IFERROR(XLOOKUP(D1411,'Spec_Single_H&amp;S'!B:B,'Spec_Single_H&amp;S'!F:F),
IFERROR(XLOOKUP(D1411,#REF!,#REF!),""))</f>
        <v/>
      </c>
      <c r="L1411" s="7" t="str">
        <f t="shared" ca="1" si="43"/>
        <v/>
      </c>
    </row>
    <row r="1412" spans="8:12" x14ac:dyDescent="0.3">
      <c r="H1412" s="7" t="str">
        <f>IF(B1412&lt;&gt;"Silicone","",IFERROR(XLOOKUP(D1412,#REF!,#REF!),""))</f>
        <v/>
      </c>
      <c r="J1412" s="7" t="str">
        <f ca="1">IFERROR(XLOOKUP(D1412,'Spec_Single_H&amp;S'!B:B,'Spec_Single_H&amp;S'!E:E),
IFERROR(XLOOKUP(D1412,#REF!,#REF!),""))</f>
        <v/>
      </c>
      <c r="K1412" s="7" t="str">
        <f ca="1">IFERROR(XLOOKUP(D1412,'Spec_Single_H&amp;S'!B:B,'Spec_Single_H&amp;S'!F:F),
IFERROR(XLOOKUP(D1412,#REF!,#REF!),""))</f>
        <v/>
      </c>
      <c r="L1412" s="7" t="str">
        <f t="shared" ca="1" si="43"/>
        <v/>
      </c>
    </row>
    <row r="1413" spans="8:12" x14ac:dyDescent="0.3">
      <c r="H1413" s="7" t="str">
        <f>IF(B1413&lt;&gt;"Silicone","",IFERROR(XLOOKUP(D1413,#REF!,#REF!),""))</f>
        <v/>
      </c>
      <c r="J1413" s="7" t="str">
        <f ca="1">IFERROR(XLOOKUP(D1413,'Spec_Single_H&amp;S'!B:B,'Spec_Single_H&amp;S'!E:E),
IFERROR(XLOOKUP(D1413,#REF!,#REF!),""))</f>
        <v/>
      </c>
      <c r="K1413" s="7" t="str">
        <f ca="1">IFERROR(XLOOKUP(D1413,'Spec_Single_H&amp;S'!B:B,'Spec_Single_H&amp;S'!F:F),
IFERROR(XLOOKUP(D1413,#REF!,#REF!),""))</f>
        <v/>
      </c>
      <c r="L1413" s="7" t="str">
        <f t="shared" ca="1" si="43"/>
        <v/>
      </c>
    </row>
    <row r="1414" spans="8:12" x14ac:dyDescent="0.3">
      <c r="H1414" s="7" t="str">
        <f>IF(B1414&lt;&gt;"Silicone","",IFERROR(XLOOKUP(D1414,#REF!,#REF!),""))</f>
        <v/>
      </c>
      <c r="J1414" s="7" t="str">
        <f ca="1">IFERROR(XLOOKUP(D1414,'Spec_Single_H&amp;S'!B:B,'Spec_Single_H&amp;S'!E:E),
IFERROR(XLOOKUP(D1414,#REF!,#REF!),""))</f>
        <v/>
      </c>
      <c r="K1414" s="7" t="str">
        <f ca="1">IFERROR(XLOOKUP(D1414,'Spec_Single_H&amp;S'!B:B,'Spec_Single_H&amp;S'!F:F),
IFERROR(XLOOKUP(D1414,#REF!,#REF!),""))</f>
        <v/>
      </c>
      <c r="L1414" s="7" t="str">
        <f t="shared" ca="1" si="43"/>
        <v/>
      </c>
    </row>
    <row r="1415" spans="8:12" x14ac:dyDescent="0.3">
      <c r="H1415" s="7" t="str">
        <f>IF(B1415&lt;&gt;"Silicone","",IFERROR(XLOOKUP(D1415,#REF!,#REF!),""))</f>
        <v/>
      </c>
      <c r="J1415" s="7" t="str">
        <f ca="1">IFERROR(XLOOKUP(D1415,'Spec_Single_H&amp;S'!B:B,'Spec_Single_H&amp;S'!E:E),
IFERROR(XLOOKUP(D1415,#REF!,#REF!),""))</f>
        <v/>
      </c>
      <c r="K1415" s="7" t="str">
        <f ca="1">IFERROR(XLOOKUP(D1415,'Spec_Single_H&amp;S'!B:B,'Spec_Single_H&amp;S'!F:F),
IFERROR(XLOOKUP(D1415,#REF!,#REF!),""))</f>
        <v/>
      </c>
      <c r="L1415" s="7" t="str">
        <f t="shared" ca="1" si="43"/>
        <v/>
      </c>
    </row>
    <row r="1416" spans="8:12" x14ac:dyDescent="0.3">
      <c r="H1416" s="7" t="str">
        <f>IF(B1416&lt;&gt;"Silicone","",IFERROR(XLOOKUP(D1416,#REF!,#REF!),""))</f>
        <v/>
      </c>
      <c r="J1416" s="7" t="str">
        <f ca="1">IFERROR(XLOOKUP(D1416,'Spec_Single_H&amp;S'!B:B,'Spec_Single_H&amp;S'!E:E),
IFERROR(XLOOKUP(D1416,#REF!,#REF!),""))</f>
        <v/>
      </c>
      <c r="K1416" s="7" t="str">
        <f ca="1">IFERROR(XLOOKUP(D1416,'Spec_Single_H&amp;S'!B:B,'Spec_Single_H&amp;S'!F:F),
IFERROR(XLOOKUP(D1416,#REF!,#REF!),""))</f>
        <v/>
      </c>
      <c r="L1416" s="7" t="str">
        <f t="shared" ref="L1416:L1479" ca="1" si="44">IF(AND(NOT(ISBLANK(I1416)),I1416&gt;=J1416,I1416&lt;=K1416),"적합",IF(ISBLANK(I1416),"", "부적합"))</f>
        <v/>
      </c>
    </row>
    <row r="1417" spans="8:12" x14ac:dyDescent="0.3">
      <c r="H1417" s="7" t="str">
        <f>IF(B1417&lt;&gt;"Silicone","",IFERROR(XLOOKUP(D1417,#REF!,#REF!),""))</f>
        <v/>
      </c>
      <c r="J1417" s="7" t="str">
        <f ca="1">IFERROR(XLOOKUP(D1417,'Spec_Single_H&amp;S'!B:B,'Spec_Single_H&amp;S'!E:E),
IFERROR(XLOOKUP(D1417,#REF!,#REF!),""))</f>
        <v/>
      </c>
      <c r="K1417" s="7" t="str">
        <f ca="1">IFERROR(XLOOKUP(D1417,'Spec_Single_H&amp;S'!B:B,'Spec_Single_H&amp;S'!F:F),
IFERROR(XLOOKUP(D1417,#REF!,#REF!),""))</f>
        <v/>
      </c>
      <c r="L1417" s="7" t="str">
        <f t="shared" ca="1" si="44"/>
        <v/>
      </c>
    </row>
    <row r="1418" spans="8:12" x14ac:dyDescent="0.3">
      <c r="H1418" s="7" t="str">
        <f>IF(B1418&lt;&gt;"Silicone","",IFERROR(XLOOKUP(D1418,#REF!,#REF!),""))</f>
        <v/>
      </c>
      <c r="J1418" s="7" t="str">
        <f ca="1">IFERROR(XLOOKUP(D1418,'Spec_Single_H&amp;S'!B:B,'Spec_Single_H&amp;S'!E:E),
IFERROR(XLOOKUP(D1418,#REF!,#REF!),""))</f>
        <v/>
      </c>
      <c r="K1418" s="7" t="str">
        <f ca="1">IFERROR(XLOOKUP(D1418,'Spec_Single_H&amp;S'!B:B,'Spec_Single_H&amp;S'!F:F),
IFERROR(XLOOKUP(D1418,#REF!,#REF!),""))</f>
        <v/>
      </c>
      <c r="L1418" s="7" t="str">
        <f t="shared" ca="1" si="44"/>
        <v/>
      </c>
    </row>
    <row r="1419" spans="8:12" x14ac:dyDescent="0.3">
      <c r="H1419" s="7" t="str">
        <f>IF(B1419&lt;&gt;"Silicone","",IFERROR(XLOOKUP(D1419,#REF!,#REF!),""))</f>
        <v/>
      </c>
      <c r="J1419" s="7" t="str">
        <f ca="1">IFERROR(XLOOKUP(D1419,'Spec_Single_H&amp;S'!B:B,'Spec_Single_H&amp;S'!E:E),
IFERROR(XLOOKUP(D1419,#REF!,#REF!),""))</f>
        <v/>
      </c>
      <c r="K1419" s="7" t="str">
        <f ca="1">IFERROR(XLOOKUP(D1419,'Spec_Single_H&amp;S'!B:B,'Spec_Single_H&amp;S'!F:F),
IFERROR(XLOOKUP(D1419,#REF!,#REF!),""))</f>
        <v/>
      </c>
      <c r="L1419" s="7" t="str">
        <f t="shared" ca="1" si="44"/>
        <v/>
      </c>
    </row>
    <row r="1420" spans="8:12" x14ac:dyDescent="0.3">
      <c r="H1420" s="7" t="str">
        <f>IF(B1420&lt;&gt;"Silicone","",IFERROR(XLOOKUP(D1420,#REF!,#REF!),""))</f>
        <v/>
      </c>
      <c r="J1420" s="7" t="str">
        <f ca="1">IFERROR(XLOOKUP(D1420,'Spec_Single_H&amp;S'!B:B,'Spec_Single_H&amp;S'!E:E),
IFERROR(XLOOKUP(D1420,#REF!,#REF!),""))</f>
        <v/>
      </c>
      <c r="K1420" s="7" t="str">
        <f ca="1">IFERROR(XLOOKUP(D1420,'Spec_Single_H&amp;S'!B:B,'Spec_Single_H&amp;S'!F:F),
IFERROR(XLOOKUP(D1420,#REF!,#REF!),""))</f>
        <v/>
      </c>
      <c r="L1420" s="7" t="str">
        <f t="shared" ca="1" si="44"/>
        <v/>
      </c>
    </row>
    <row r="1421" spans="8:12" x14ac:dyDescent="0.3">
      <c r="H1421" s="7" t="str">
        <f>IF(B1421&lt;&gt;"Silicone","",IFERROR(XLOOKUP(D1421,#REF!,#REF!),""))</f>
        <v/>
      </c>
      <c r="J1421" s="7" t="str">
        <f ca="1">IFERROR(XLOOKUP(D1421,'Spec_Single_H&amp;S'!B:B,'Spec_Single_H&amp;S'!E:E),
IFERROR(XLOOKUP(D1421,#REF!,#REF!),""))</f>
        <v/>
      </c>
      <c r="K1421" s="7" t="str">
        <f ca="1">IFERROR(XLOOKUP(D1421,'Spec_Single_H&amp;S'!B:B,'Spec_Single_H&amp;S'!F:F),
IFERROR(XLOOKUP(D1421,#REF!,#REF!),""))</f>
        <v/>
      </c>
      <c r="L1421" s="7" t="str">
        <f t="shared" ca="1" si="44"/>
        <v/>
      </c>
    </row>
    <row r="1422" spans="8:12" x14ac:dyDescent="0.3">
      <c r="H1422" s="7" t="str">
        <f>IF(B1422&lt;&gt;"Silicone","",IFERROR(XLOOKUP(D1422,#REF!,#REF!),""))</f>
        <v/>
      </c>
      <c r="J1422" s="7" t="str">
        <f ca="1">IFERROR(XLOOKUP(D1422,'Spec_Single_H&amp;S'!B:B,'Spec_Single_H&amp;S'!E:E),
IFERROR(XLOOKUP(D1422,#REF!,#REF!),""))</f>
        <v/>
      </c>
      <c r="K1422" s="7" t="str">
        <f ca="1">IFERROR(XLOOKUP(D1422,'Spec_Single_H&amp;S'!B:B,'Spec_Single_H&amp;S'!F:F),
IFERROR(XLOOKUP(D1422,#REF!,#REF!),""))</f>
        <v/>
      </c>
      <c r="L1422" s="7" t="str">
        <f t="shared" ca="1" si="44"/>
        <v/>
      </c>
    </row>
    <row r="1423" spans="8:12" x14ac:dyDescent="0.3">
      <c r="H1423" s="7" t="str">
        <f>IF(B1423&lt;&gt;"Silicone","",IFERROR(XLOOKUP(D1423,#REF!,#REF!),""))</f>
        <v/>
      </c>
      <c r="J1423" s="7" t="str">
        <f ca="1">IFERROR(XLOOKUP(D1423,'Spec_Single_H&amp;S'!B:B,'Spec_Single_H&amp;S'!E:E),
IFERROR(XLOOKUP(D1423,#REF!,#REF!),""))</f>
        <v/>
      </c>
      <c r="K1423" s="7" t="str">
        <f ca="1">IFERROR(XLOOKUP(D1423,'Spec_Single_H&amp;S'!B:B,'Spec_Single_H&amp;S'!F:F),
IFERROR(XLOOKUP(D1423,#REF!,#REF!),""))</f>
        <v/>
      </c>
      <c r="L1423" s="7" t="str">
        <f t="shared" ca="1" si="44"/>
        <v/>
      </c>
    </row>
    <row r="1424" spans="8:12" x14ac:dyDescent="0.3">
      <c r="H1424" s="7" t="str">
        <f>IF(B1424&lt;&gt;"Silicone","",IFERROR(XLOOKUP(D1424,#REF!,#REF!),""))</f>
        <v/>
      </c>
      <c r="J1424" s="7" t="str">
        <f ca="1">IFERROR(XLOOKUP(D1424,'Spec_Single_H&amp;S'!B:B,'Spec_Single_H&amp;S'!E:E),
IFERROR(XLOOKUP(D1424,#REF!,#REF!),""))</f>
        <v/>
      </c>
      <c r="K1424" s="7" t="str">
        <f ca="1">IFERROR(XLOOKUP(D1424,'Spec_Single_H&amp;S'!B:B,'Spec_Single_H&amp;S'!F:F),
IFERROR(XLOOKUP(D1424,#REF!,#REF!),""))</f>
        <v/>
      </c>
      <c r="L1424" s="7" t="str">
        <f t="shared" ca="1" si="44"/>
        <v/>
      </c>
    </row>
    <row r="1425" spans="8:12" x14ac:dyDescent="0.3">
      <c r="H1425" s="7" t="str">
        <f>IF(B1425&lt;&gt;"Silicone","",IFERROR(XLOOKUP(D1425,#REF!,#REF!),""))</f>
        <v/>
      </c>
      <c r="J1425" s="7" t="str">
        <f ca="1">IFERROR(XLOOKUP(D1425,'Spec_Single_H&amp;S'!B:B,'Spec_Single_H&amp;S'!E:E),
IFERROR(XLOOKUP(D1425,#REF!,#REF!),""))</f>
        <v/>
      </c>
      <c r="K1425" s="7" t="str">
        <f ca="1">IFERROR(XLOOKUP(D1425,'Spec_Single_H&amp;S'!B:B,'Spec_Single_H&amp;S'!F:F),
IFERROR(XLOOKUP(D1425,#REF!,#REF!),""))</f>
        <v/>
      </c>
      <c r="L1425" s="7" t="str">
        <f t="shared" ca="1" si="44"/>
        <v/>
      </c>
    </row>
    <row r="1426" spans="8:12" x14ac:dyDescent="0.3">
      <c r="H1426" s="7" t="str">
        <f>IF(B1426&lt;&gt;"Silicone","",IFERROR(XLOOKUP(D1426,#REF!,#REF!),""))</f>
        <v/>
      </c>
      <c r="J1426" s="7" t="str">
        <f ca="1">IFERROR(XLOOKUP(D1426,'Spec_Single_H&amp;S'!B:B,'Spec_Single_H&amp;S'!E:E),
IFERROR(XLOOKUP(D1426,#REF!,#REF!),""))</f>
        <v/>
      </c>
      <c r="K1426" s="7" t="str">
        <f ca="1">IFERROR(XLOOKUP(D1426,'Spec_Single_H&amp;S'!B:B,'Spec_Single_H&amp;S'!F:F),
IFERROR(XLOOKUP(D1426,#REF!,#REF!),""))</f>
        <v/>
      </c>
      <c r="L1426" s="7" t="str">
        <f t="shared" ca="1" si="44"/>
        <v/>
      </c>
    </row>
    <row r="1427" spans="8:12" x14ac:dyDescent="0.3">
      <c r="H1427" s="7" t="str">
        <f>IF(B1427&lt;&gt;"Silicone","",IFERROR(XLOOKUP(D1427,#REF!,#REF!),""))</f>
        <v/>
      </c>
      <c r="J1427" s="7" t="str">
        <f ca="1">IFERROR(XLOOKUP(D1427,'Spec_Single_H&amp;S'!B:B,'Spec_Single_H&amp;S'!E:E),
IFERROR(XLOOKUP(D1427,#REF!,#REF!),""))</f>
        <v/>
      </c>
      <c r="K1427" s="7" t="str">
        <f ca="1">IFERROR(XLOOKUP(D1427,'Spec_Single_H&amp;S'!B:B,'Spec_Single_H&amp;S'!F:F),
IFERROR(XLOOKUP(D1427,#REF!,#REF!),""))</f>
        <v/>
      </c>
      <c r="L1427" s="7" t="str">
        <f t="shared" ca="1" si="44"/>
        <v/>
      </c>
    </row>
    <row r="1428" spans="8:12" x14ac:dyDescent="0.3">
      <c r="H1428" s="7" t="str">
        <f>IF(B1428&lt;&gt;"Silicone","",IFERROR(XLOOKUP(D1428,#REF!,#REF!),""))</f>
        <v/>
      </c>
      <c r="J1428" s="7" t="str">
        <f ca="1">IFERROR(XLOOKUP(D1428,'Spec_Single_H&amp;S'!B:B,'Spec_Single_H&amp;S'!E:E),
IFERROR(XLOOKUP(D1428,#REF!,#REF!),""))</f>
        <v/>
      </c>
      <c r="K1428" s="7" t="str">
        <f ca="1">IFERROR(XLOOKUP(D1428,'Spec_Single_H&amp;S'!B:B,'Spec_Single_H&amp;S'!F:F),
IFERROR(XLOOKUP(D1428,#REF!,#REF!),""))</f>
        <v/>
      </c>
      <c r="L1428" s="7" t="str">
        <f t="shared" ca="1" si="44"/>
        <v/>
      </c>
    </row>
    <row r="1429" spans="8:12" x14ac:dyDescent="0.3">
      <c r="H1429" s="7" t="str">
        <f>IF(B1429&lt;&gt;"Silicone","",IFERROR(XLOOKUP(D1429,#REF!,#REF!),""))</f>
        <v/>
      </c>
      <c r="J1429" s="7" t="str">
        <f ca="1">IFERROR(XLOOKUP(D1429,'Spec_Single_H&amp;S'!B:B,'Spec_Single_H&amp;S'!E:E),
IFERROR(XLOOKUP(D1429,#REF!,#REF!),""))</f>
        <v/>
      </c>
      <c r="K1429" s="7" t="str">
        <f ca="1">IFERROR(XLOOKUP(D1429,'Spec_Single_H&amp;S'!B:B,'Spec_Single_H&amp;S'!F:F),
IFERROR(XLOOKUP(D1429,#REF!,#REF!),""))</f>
        <v/>
      </c>
      <c r="L1429" s="7" t="str">
        <f t="shared" ca="1" si="44"/>
        <v/>
      </c>
    </row>
    <row r="1430" spans="8:12" x14ac:dyDescent="0.3">
      <c r="H1430" s="7" t="str">
        <f>IF(B1430&lt;&gt;"Silicone","",IFERROR(XLOOKUP(D1430,#REF!,#REF!),""))</f>
        <v/>
      </c>
      <c r="J1430" s="7" t="str">
        <f ca="1">IFERROR(XLOOKUP(D1430,'Spec_Single_H&amp;S'!B:B,'Spec_Single_H&amp;S'!E:E),
IFERROR(XLOOKUP(D1430,#REF!,#REF!),""))</f>
        <v/>
      </c>
      <c r="K1430" s="7" t="str">
        <f ca="1">IFERROR(XLOOKUP(D1430,'Spec_Single_H&amp;S'!B:B,'Spec_Single_H&amp;S'!F:F),
IFERROR(XLOOKUP(D1430,#REF!,#REF!),""))</f>
        <v/>
      </c>
      <c r="L1430" s="7" t="str">
        <f t="shared" ca="1" si="44"/>
        <v/>
      </c>
    </row>
    <row r="1431" spans="8:12" x14ac:dyDescent="0.3">
      <c r="H1431" s="7" t="str">
        <f>IF(B1431&lt;&gt;"Silicone","",IFERROR(XLOOKUP(D1431,#REF!,#REF!),""))</f>
        <v/>
      </c>
      <c r="J1431" s="7" t="str">
        <f ca="1">IFERROR(XLOOKUP(D1431,'Spec_Single_H&amp;S'!B:B,'Spec_Single_H&amp;S'!E:E),
IFERROR(XLOOKUP(D1431,#REF!,#REF!),""))</f>
        <v/>
      </c>
      <c r="K1431" s="7" t="str">
        <f ca="1">IFERROR(XLOOKUP(D1431,'Spec_Single_H&amp;S'!B:B,'Spec_Single_H&amp;S'!F:F),
IFERROR(XLOOKUP(D1431,#REF!,#REF!),""))</f>
        <v/>
      </c>
      <c r="L1431" s="7" t="str">
        <f t="shared" ca="1" si="44"/>
        <v/>
      </c>
    </row>
    <row r="1432" spans="8:12" x14ac:dyDescent="0.3">
      <c r="H1432" s="7" t="str">
        <f>IF(B1432&lt;&gt;"Silicone","",IFERROR(XLOOKUP(D1432,#REF!,#REF!),""))</f>
        <v/>
      </c>
      <c r="J1432" s="7" t="str">
        <f ca="1">IFERROR(XLOOKUP(D1432,'Spec_Single_H&amp;S'!B:B,'Spec_Single_H&amp;S'!E:E),
IFERROR(XLOOKUP(D1432,#REF!,#REF!),""))</f>
        <v/>
      </c>
      <c r="K1432" s="7" t="str">
        <f ca="1">IFERROR(XLOOKUP(D1432,'Spec_Single_H&amp;S'!B:B,'Spec_Single_H&amp;S'!F:F),
IFERROR(XLOOKUP(D1432,#REF!,#REF!),""))</f>
        <v/>
      </c>
      <c r="L1432" s="7" t="str">
        <f t="shared" ca="1" si="44"/>
        <v/>
      </c>
    </row>
    <row r="1433" spans="8:12" x14ac:dyDescent="0.3">
      <c r="H1433" s="7" t="str">
        <f>IF(B1433&lt;&gt;"Silicone","",IFERROR(XLOOKUP(D1433,#REF!,#REF!),""))</f>
        <v/>
      </c>
      <c r="J1433" s="7" t="str">
        <f ca="1">IFERROR(XLOOKUP(D1433,'Spec_Single_H&amp;S'!B:B,'Spec_Single_H&amp;S'!E:E),
IFERROR(XLOOKUP(D1433,#REF!,#REF!),""))</f>
        <v/>
      </c>
      <c r="K1433" s="7" t="str">
        <f ca="1">IFERROR(XLOOKUP(D1433,'Spec_Single_H&amp;S'!B:B,'Spec_Single_H&amp;S'!F:F),
IFERROR(XLOOKUP(D1433,#REF!,#REF!),""))</f>
        <v/>
      </c>
      <c r="L1433" s="7" t="str">
        <f t="shared" ca="1" si="44"/>
        <v/>
      </c>
    </row>
    <row r="1434" spans="8:12" x14ac:dyDescent="0.3">
      <c r="H1434" s="7" t="str">
        <f>IF(B1434&lt;&gt;"Silicone","",IFERROR(XLOOKUP(D1434,#REF!,#REF!),""))</f>
        <v/>
      </c>
      <c r="J1434" s="7" t="str">
        <f ca="1">IFERROR(XLOOKUP(D1434,'Spec_Single_H&amp;S'!B:B,'Spec_Single_H&amp;S'!E:E),
IFERROR(XLOOKUP(D1434,#REF!,#REF!),""))</f>
        <v/>
      </c>
      <c r="K1434" s="7" t="str">
        <f ca="1">IFERROR(XLOOKUP(D1434,'Spec_Single_H&amp;S'!B:B,'Spec_Single_H&amp;S'!F:F),
IFERROR(XLOOKUP(D1434,#REF!,#REF!),""))</f>
        <v/>
      </c>
      <c r="L1434" s="7" t="str">
        <f t="shared" ca="1" si="44"/>
        <v/>
      </c>
    </row>
    <row r="1435" spans="8:12" x14ac:dyDescent="0.3">
      <c r="H1435" s="7" t="str">
        <f>IF(B1435&lt;&gt;"Silicone","",IFERROR(XLOOKUP(D1435,#REF!,#REF!),""))</f>
        <v/>
      </c>
      <c r="J1435" s="7" t="str">
        <f ca="1">IFERROR(XLOOKUP(D1435,'Spec_Single_H&amp;S'!B:B,'Spec_Single_H&amp;S'!E:E),
IFERROR(XLOOKUP(D1435,#REF!,#REF!),""))</f>
        <v/>
      </c>
      <c r="K1435" s="7" t="str">
        <f ca="1">IFERROR(XLOOKUP(D1435,'Spec_Single_H&amp;S'!B:B,'Spec_Single_H&amp;S'!F:F),
IFERROR(XLOOKUP(D1435,#REF!,#REF!),""))</f>
        <v/>
      </c>
      <c r="L1435" s="7" t="str">
        <f t="shared" ca="1" si="44"/>
        <v/>
      </c>
    </row>
    <row r="1436" spans="8:12" x14ac:dyDescent="0.3">
      <c r="H1436" s="7" t="str">
        <f>IF(B1436&lt;&gt;"Silicone","",IFERROR(XLOOKUP(D1436,#REF!,#REF!),""))</f>
        <v/>
      </c>
      <c r="J1436" s="7" t="str">
        <f ca="1">IFERROR(XLOOKUP(D1436,'Spec_Single_H&amp;S'!B:B,'Spec_Single_H&amp;S'!E:E),
IFERROR(XLOOKUP(D1436,#REF!,#REF!),""))</f>
        <v/>
      </c>
      <c r="K1436" s="7" t="str">
        <f ca="1">IFERROR(XLOOKUP(D1436,'Spec_Single_H&amp;S'!B:B,'Spec_Single_H&amp;S'!F:F),
IFERROR(XLOOKUP(D1436,#REF!,#REF!),""))</f>
        <v/>
      </c>
      <c r="L1436" s="7" t="str">
        <f t="shared" ca="1" si="44"/>
        <v/>
      </c>
    </row>
    <row r="1437" spans="8:12" x14ac:dyDescent="0.3">
      <c r="H1437" s="7" t="str">
        <f>IF(B1437&lt;&gt;"Silicone","",IFERROR(XLOOKUP(D1437,#REF!,#REF!),""))</f>
        <v/>
      </c>
      <c r="J1437" s="7" t="str">
        <f ca="1">IFERROR(XLOOKUP(D1437,'Spec_Single_H&amp;S'!B:B,'Spec_Single_H&amp;S'!E:E),
IFERROR(XLOOKUP(D1437,#REF!,#REF!),""))</f>
        <v/>
      </c>
      <c r="K1437" s="7" t="str">
        <f ca="1">IFERROR(XLOOKUP(D1437,'Spec_Single_H&amp;S'!B:B,'Spec_Single_H&amp;S'!F:F),
IFERROR(XLOOKUP(D1437,#REF!,#REF!),""))</f>
        <v/>
      </c>
      <c r="L1437" s="7" t="str">
        <f t="shared" ca="1" si="44"/>
        <v/>
      </c>
    </row>
    <row r="1438" spans="8:12" x14ac:dyDescent="0.3">
      <c r="H1438" s="7" t="str">
        <f>IF(B1438&lt;&gt;"Silicone","",IFERROR(XLOOKUP(D1438,#REF!,#REF!),""))</f>
        <v/>
      </c>
      <c r="J1438" s="7" t="str">
        <f ca="1">IFERROR(XLOOKUP(D1438,'Spec_Single_H&amp;S'!B:B,'Spec_Single_H&amp;S'!E:E),
IFERROR(XLOOKUP(D1438,#REF!,#REF!),""))</f>
        <v/>
      </c>
      <c r="K1438" s="7" t="str">
        <f ca="1">IFERROR(XLOOKUP(D1438,'Spec_Single_H&amp;S'!B:B,'Spec_Single_H&amp;S'!F:F),
IFERROR(XLOOKUP(D1438,#REF!,#REF!),""))</f>
        <v/>
      </c>
      <c r="L1438" s="7" t="str">
        <f t="shared" ca="1" si="44"/>
        <v/>
      </c>
    </row>
    <row r="1439" spans="8:12" x14ac:dyDescent="0.3">
      <c r="H1439" s="7" t="str">
        <f>IF(B1439&lt;&gt;"Silicone","",IFERROR(XLOOKUP(D1439,#REF!,#REF!),""))</f>
        <v/>
      </c>
      <c r="J1439" s="7" t="str">
        <f ca="1">IFERROR(XLOOKUP(D1439,'Spec_Single_H&amp;S'!B:B,'Spec_Single_H&amp;S'!E:E),
IFERROR(XLOOKUP(D1439,#REF!,#REF!),""))</f>
        <v/>
      </c>
      <c r="K1439" s="7" t="str">
        <f ca="1">IFERROR(XLOOKUP(D1439,'Spec_Single_H&amp;S'!B:B,'Spec_Single_H&amp;S'!F:F),
IFERROR(XLOOKUP(D1439,#REF!,#REF!),""))</f>
        <v/>
      </c>
      <c r="L1439" s="7" t="str">
        <f t="shared" ca="1" si="44"/>
        <v/>
      </c>
    </row>
    <row r="1440" spans="8:12" x14ac:dyDescent="0.3">
      <c r="H1440" s="7" t="str">
        <f>IF(B1440&lt;&gt;"Silicone","",IFERROR(XLOOKUP(D1440,#REF!,#REF!),""))</f>
        <v/>
      </c>
      <c r="J1440" s="7" t="str">
        <f ca="1">IFERROR(XLOOKUP(D1440,'Spec_Single_H&amp;S'!B:B,'Spec_Single_H&amp;S'!E:E),
IFERROR(XLOOKUP(D1440,#REF!,#REF!),""))</f>
        <v/>
      </c>
      <c r="K1440" s="7" t="str">
        <f ca="1">IFERROR(XLOOKUP(D1440,'Spec_Single_H&amp;S'!B:B,'Spec_Single_H&amp;S'!F:F),
IFERROR(XLOOKUP(D1440,#REF!,#REF!),""))</f>
        <v/>
      </c>
      <c r="L1440" s="7" t="str">
        <f t="shared" ca="1" si="44"/>
        <v/>
      </c>
    </row>
    <row r="1441" spans="8:12" x14ac:dyDescent="0.3">
      <c r="H1441" s="7" t="str">
        <f>IF(B1441&lt;&gt;"Silicone","",IFERROR(XLOOKUP(D1441,#REF!,#REF!),""))</f>
        <v/>
      </c>
      <c r="J1441" s="7" t="str">
        <f ca="1">IFERROR(XLOOKUP(D1441,'Spec_Single_H&amp;S'!B:B,'Spec_Single_H&amp;S'!E:E),
IFERROR(XLOOKUP(D1441,#REF!,#REF!),""))</f>
        <v/>
      </c>
      <c r="K1441" s="7" t="str">
        <f ca="1">IFERROR(XLOOKUP(D1441,'Spec_Single_H&amp;S'!B:B,'Spec_Single_H&amp;S'!F:F),
IFERROR(XLOOKUP(D1441,#REF!,#REF!),""))</f>
        <v/>
      </c>
      <c r="L1441" s="7" t="str">
        <f t="shared" ca="1" si="44"/>
        <v/>
      </c>
    </row>
    <row r="1442" spans="8:12" x14ac:dyDescent="0.3">
      <c r="H1442" s="7" t="str">
        <f>IF(B1442&lt;&gt;"Silicone","",IFERROR(XLOOKUP(D1442,#REF!,#REF!),""))</f>
        <v/>
      </c>
      <c r="J1442" s="7" t="str">
        <f ca="1">IFERROR(XLOOKUP(D1442,'Spec_Single_H&amp;S'!B:B,'Spec_Single_H&amp;S'!E:E),
IFERROR(XLOOKUP(D1442,#REF!,#REF!),""))</f>
        <v/>
      </c>
      <c r="K1442" s="7" t="str">
        <f ca="1">IFERROR(XLOOKUP(D1442,'Spec_Single_H&amp;S'!B:B,'Spec_Single_H&amp;S'!F:F),
IFERROR(XLOOKUP(D1442,#REF!,#REF!),""))</f>
        <v/>
      </c>
      <c r="L1442" s="7" t="str">
        <f t="shared" ca="1" si="44"/>
        <v/>
      </c>
    </row>
    <row r="1443" spans="8:12" x14ac:dyDescent="0.3">
      <c r="H1443" s="7" t="str">
        <f>IF(B1443&lt;&gt;"Silicone","",IFERROR(XLOOKUP(D1443,#REF!,#REF!),""))</f>
        <v/>
      </c>
      <c r="J1443" s="7" t="str">
        <f ca="1">IFERROR(XLOOKUP(D1443,'Spec_Single_H&amp;S'!B:B,'Spec_Single_H&amp;S'!E:E),
IFERROR(XLOOKUP(D1443,#REF!,#REF!),""))</f>
        <v/>
      </c>
      <c r="K1443" s="7" t="str">
        <f ca="1">IFERROR(XLOOKUP(D1443,'Spec_Single_H&amp;S'!B:B,'Spec_Single_H&amp;S'!F:F),
IFERROR(XLOOKUP(D1443,#REF!,#REF!),""))</f>
        <v/>
      </c>
      <c r="L1443" s="7" t="str">
        <f t="shared" ca="1" si="44"/>
        <v/>
      </c>
    </row>
    <row r="1444" spans="8:12" x14ac:dyDescent="0.3">
      <c r="H1444" s="7" t="str">
        <f>IF(B1444&lt;&gt;"Silicone","",IFERROR(XLOOKUP(D1444,#REF!,#REF!),""))</f>
        <v/>
      </c>
      <c r="J1444" s="7" t="str">
        <f ca="1">IFERROR(XLOOKUP(D1444,'Spec_Single_H&amp;S'!B:B,'Spec_Single_H&amp;S'!E:E),
IFERROR(XLOOKUP(D1444,#REF!,#REF!),""))</f>
        <v/>
      </c>
      <c r="K1444" s="7" t="str">
        <f ca="1">IFERROR(XLOOKUP(D1444,'Spec_Single_H&amp;S'!B:B,'Spec_Single_H&amp;S'!F:F),
IFERROR(XLOOKUP(D1444,#REF!,#REF!),""))</f>
        <v/>
      </c>
      <c r="L1444" s="7" t="str">
        <f t="shared" ca="1" si="44"/>
        <v/>
      </c>
    </row>
    <row r="1445" spans="8:12" x14ac:dyDescent="0.3">
      <c r="H1445" s="7" t="str">
        <f>IF(B1445&lt;&gt;"Silicone","",IFERROR(XLOOKUP(D1445,#REF!,#REF!),""))</f>
        <v/>
      </c>
      <c r="J1445" s="7" t="str">
        <f ca="1">IFERROR(XLOOKUP(D1445,'Spec_Single_H&amp;S'!B:B,'Spec_Single_H&amp;S'!E:E),
IFERROR(XLOOKUP(D1445,#REF!,#REF!),""))</f>
        <v/>
      </c>
      <c r="K1445" s="7" t="str">
        <f ca="1">IFERROR(XLOOKUP(D1445,'Spec_Single_H&amp;S'!B:B,'Spec_Single_H&amp;S'!F:F),
IFERROR(XLOOKUP(D1445,#REF!,#REF!),""))</f>
        <v/>
      </c>
      <c r="L1445" s="7" t="str">
        <f t="shared" ca="1" si="44"/>
        <v/>
      </c>
    </row>
    <row r="1446" spans="8:12" x14ac:dyDescent="0.3">
      <c r="H1446" s="7" t="str">
        <f>IF(B1446&lt;&gt;"Silicone","",IFERROR(XLOOKUP(D1446,#REF!,#REF!),""))</f>
        <v/>
      </c>
      <c r="J1446" s="7" t="str">
        <f ca="1">IFERROR(XLOOKUP(D1446,'Spec_Single_H&amp;S'!B:B,'Spec_Single_H&amp;S'!E:E),
IFERROR(XLOOKUP(D1446,#REF!,#REF!),""))</f>
        <v/>
      </c>
      <c r="K1446" s="7" t="str">
        <f ca="1">IFERROR(XLOOKUP(D1446,'Spec_Single_H&amp;S'!B:B,'Spec_Single_H&amp;S'!F:F),
IFERROR(XLOOKUP(D1446,#REF!,#REF!),""))</f>
        <v/>
      </c>
      <c r="L1446" s="7" t="str">
        <f t="shared" ca="1" si="44"/>
        <v/>
      </c>
    </row>
    <row r="1447" spans="8:12" x14ac:dyDescent="0.3">
      <c r="H1447" s="7" t="str">
        <f>IF(B1447&lt;&gt;"Silicone","",IFERROR(XLOOKUP(D1447,#REF!,#REF!),""))</f>
        <v/>
      </c>
      <c r="J1447" s="7" t="str">
        <f ca="1">IFERROR(XLOOKUP(D1447,'Spec_Single_H&amp;S'!B:B,'Spec_Single_H&amp;S'!E:E),
IFERROR(XLOOKUP(D1447,#REF!,#REF!),""))</f>
        <v/>
      </c>
      <c r="K1447" s="7" t="str">
        <f ca="1">IFERROR(XLOOKUP(D1447,'Spec_Single_H&amp;S'!B:B,'Spec_Single_H&amp;S'!F:F),
IFERROR(XLOOKUP(D1447,#REF!,#REF!),""))</f>
        <v/>
      </c>
      <c r="L1447" s="7" t="str">
        <f t="shared" ca="1" si="44"/>
        <v/>
      </c>
    </row>
    <row r="1448" spans="8:12" x14ac:dyDescent="0.3">
      <c r="H1448" s="7" t="str">
        <f>IF(B1448&lt;&gt;"Silicone","",IFERROR(XLOOKUP(D1448,#REF!,#REF!),""))</f>
        <v/>
      </c>
      <c r="J1448" s="7" t="str">
        <f ca="1">IFERROR(XLOOKUP(D1448,'Spec_Single_H&amp;S'!B:B,'Spec_Single_H&amp;S'!E:E),
IFERROR(XLOOKUP(D1448,#REF!,#REF!),""))</f>
        <v/>
      </c>
      <c r="K1448" s="7" t="str">
        <f ca="1">IFERROR(XLOOKUP(D1448,'Spec_Single_H&amp;S'!B:B,'Spec_Single_H&amp;S'!F:F),
IFERROR(XLOOKUP(D1448,#REF!,#REF!),""))</f>
        <v/>
      </c>
      <c r="L1448" s="7" t="str">
        <f t="shared" ca="1" si="44"/>
        <v/>
      </c>
    </row>
    <row r="1449" spans="8:12" x14ac:dyDescent="0.3">
      <c r="H1449" s="7" t="str">
        <f>IF(B1449&lt;&gt;"Silicone","",IFERROR(XLOOKUP(D1449,#REF!,#REF!),""))</f>
        <v/>
      </c>
      <c r="J1449" s="7" t="str">
        <f ca="1">IFERROR(XLOOKUP(D1449,'Spec_Single_H&amp;S'!B:B,'Spec_Single_H&amp;S'!E:E),
IFERROR(XLOOKUP(D1449,#REF!,#REF!),""))</f>
        <v/>
      </c>
      <c r="K1449" s="7" t="str">
        <f ca="1">IFERROR(XLOOKUP(D1449,'Spec_Single_H&amp;S'!B:B,'Spec_Single_H&amp;S'!F:F),
IFERROR(XLOOKUP(D1449,#REF!,#REF!),""))</f>
        <v/>
      </c>
      <c r="L1449" s="7" t="str">
        <f t="shared" ca="1" si="44"/>
        <v/>
      </c>
    </row>
    <row r="1450" spans="8:12" x14ac:dyDescent="0.3">
      <c r="H1450" s="7" t="str">
        <f>IF(B1450&lt;&gt;"Silicone","",IFERROR(XLOOKUP(D1450,#REF!,#REF!),""))</f>
        <v/>
      </c>
      <c r="J1450" s="7" t="str">
        <f ca="1">IFERROR(XLOOKUP(D1450,'Spec_Single_H&amp;S'!B:B,'Spec_Single_H&amp;S'!E:E),
IFERROR(XLOOKUP(D1450,#REF!,#REF!),""))</f>
        <v/>
      </c>
      <c r="K1450" s="7" t="str">
        <f ca="1">IFERROR(XLOOKUP(D1450,'Spec_Single_H&amp;S'!B:B,'Spec_Single_H&amp;S'!F:F),
IFERROR(XLOOKUP(D1450,#REF!,#REF!),""))</f>
        <v/>
      </c>
      <c r="L1450" s="7" t="str">
        <f t="shared" ca="1" si="44"/>
        <v/>
      </c>
    </row>
    <row r="1451" spans="8:12" x14ac:dyDescent="0.3">
      <c r="H1451" s="7" t="str">
        <f>IF(B1451&lt;&gt;"Silicone","",IFERROR(XLOOKUP(D1451,#REF!,#REF!),""))</f>
        <v/>
      </c>
      <c r="J1451" s="7" t="str">
        <f ca="1">IFERROR(XLOOKUP(D1451,'Spec_Single_H&amp;S'!B:B,'Spec_Single_H&amp;S'!E:E),
IFERROR(XLOOKUP(D1451,#REF!,#REF!),""))</f>
        <v/>
      </c>
      <c r="K1451" s="7" t="str">
        <f ca="1">IFERROR(XLOOKUP(D1451,'Spec_Single_H&amp;S'!B:B,'Spec_Single_H&amp;S'!F:F),
IFERROR(XLOOKUP(D1451,#REF!,#REF!),""))</f>
        <v/>
      </c>
      <c r="L1451" s="7" t="str">
        <f t="shared" ca="1" si="44"/>
        <v/>
      </c>
    </row>
    <row r="1452" spans="8:12" x14ac:dyDescent="0.3">
      <c r="H1452" s="7" t="str">
        <f>IF(B1452&lt;&gt;"Silicone","",IFERROR(XLOOKUP(D1452,#REF!,#REF!),""))</f>
        <v/>
      </c>
      <c r="J1452" s="7" t="str">
        <f ca="1">IFERROR(XLOOKUP(D1452,'Spec_Single_H&amp;S'!B:B,'Spec_Single_H&amp;S'!E:E),
IFERROR(XLOOKUP(D1452,#REF!,#REF!),""))</f>
        <v/>
      </c>
      <c r="K1452" s="7" t="str">
        <f ca="1">IFERROR(XLOOKUP(D1452,'Spec_Single_H&amp;S'!B:B,'Spec_Single_H&amp;S'!F:F),
IFERROR(XLOOKUP(D1452,#REF!,#REF!),""))</f>
        <v/>
      </c>
      <c r="L1452" s="7" t="str">
        <f t="shared" ca="1" si="44"/>
        <v/>
      </c>
    </row>
    <row r="1453" spans="8:12" x14ac:dyDescent="0.3">
      <c r="H1453" s="7" t="str">
        <f>IF(B1453&lt;&gt;"Silicone","",IFERROR(XLOOKUP(D1453,#REF!,#REF!),""))</f>
        <v/>
      </c>
      <c r="J1453" s="7" t="str">
        <f ca="1">IFERROR(XLOOKUP(D1453,'Spec_Single_H&amp;S'!B:B,'Spec_Single_H&amp;S'!E:E),
IFERROR(XLOOKUP(D1453,#REF!,#REF!),""))</f>
        <v/>
      </c>
      <c r="K1453" s="7" t="str">
        <f ca="1">IFERROR(XLOOKUP(D1453,'Spec_Single_H&amp;S'!B:B,'Spec_Single_H&amp;S'!F:F),
IFERROR(XLOOKUP(D1453,#REF!,#REF!),""))</f>
        <v/>
      </c>
      <c r="L1453" s="7" t="str">
        <f t="shared" ca="1" si="44"/>
        <v/>
      </c>
    </row>
    <row r="1454" spans="8:12" x14ac:dyDescent="0.3">
      <c r="H1454" s="7" t="str">
        <f>IF(B1454&lt;&gt;"Silicone","",IFERROR(XLOOKUP(D1454,#REF!,#REF!),""))</f>
        <v/>
      </c>
      <c r="J1454" s="7" t="str">
        <f ca="1">IFERROR(XLOOKUP(D1454,'Spec_Single_H&amp;S'!B:B,'Spec_Single_H&amp;S'!E:E),
IFERROR(XLOOKUP(D1454,#REF!,#REF!),""))</f>
        <v/>
      </c>
      <c r="K1454" s="7" t="str">
        <f ca="1">IFERROR(XLOOKUP(D1454,'Spec_Single_H&amp;S'!B:B,'Spec_Single_H&amp;S'!F:F),
IFERROR(XLOOKUP(D1454,#REF!,#REF!),""))</f>
        <v/>
      </c>
      <c r="L1454" s="7" t="str">
        <f t="shared" ca="1" si="44"/>
        <v/>
      </c>
    </row>
    <row r="1455" spans="8:12" x14ac:dyDescent="0.3">
      <c r="H1455" s="7" t="str">
        <f>IF(B1455&lt;&gt;"Silicone","",IFERROR(XLOOKUP(D1455,#REF!,#REF!),""))</f>
        <v/>
      </c>
      <c r="J1455" s="7" t="str">
        <f ca="1">IFERROR(XLOOKUP(D1455,'Spec_Single_H&amp;S'!B:B,'Spec_Single_H&amp;S'!E:E),
IFERROR(XLOOKUP(D1455,#REF!,#REF!),""))</f>
        <v/>
      </c>
      <c r="K1455" s="7" t="str">
        <f ca="1">IFERROR(XLOOKUP(D1455,'Spec_Single_H&amp;S'!B:B,'Spec_Single_H&amp;S'!F:F),
IFERROR(XLOOKUP(D1455,#REF!,#REF!),""))</f>
        <v/>
      </c>
      <c r="L1455" s="7" t="str">
        <f t="shared" ca="1" si="44"/>
        <v/>
      </c>
    </row>
    <row r="1456" spans="8:12" x14ac:dyDescent="0.3">
      <c r="H1456" s="7" t="str">
        <f>IF(B1456&lt;&gt;"Silicone","",IFERROR(XLOOKUP(D1456,#REF!,#REF!),""))</f>
        <v/>
      </c>
      <c r="J1456" s="7" t="str">
        <f ca="1">IFERROR(XLOOKUP(D1456,'Spec_Single_H&amp;S'!B:B,'Spec_Single_H&amp;S'!E:E),
IFERROR(XLOOKUP(D1456,#REF!,#REF!),""))</f>
        <v/>
      </c>
      <c r="K1456" s="7" t="str">
        <f ca="1">IFERROR(XLOOKUP(D1456,'Spec_Single_H&amp;S'!B:B,'Spec_Single_H&amp;S'!F:F),
IFERROR(XLOOKUP(D1456,#REF!,#REF!),""))</f>
        <v/>
      </c>
      <c r="L1456" s="7" t="str">
        <f t="shared" ca="1" si="44"/>
        <v/>
      </c>
    </row>
    <row r="1457" spans="8:12" x14ac:dyDescent="0.3">
      <c r="H1457" s="7" t="str">
        <f>IF(B1457&lt;&gt;"Silicone","",IFERROR(XLOOKUP(D1457,#REF!,#REF!),""))</f>
        <v/>
      </c>
      <c r="J1457" s="7" t="str">
        <f ca="1">IFERROR(XLOOKUP(D1457,'Spec_Single_H&amp;S'!B:B,'Spec_Single_H&amp;S'!E:E),
IFERROR(XLOOKUP(D1457,#REF!,#REF!),""))</f>
        <v/>
      </c>
      <c r="K1457" s="7" t="str">
        <f ca="1">IFERROR(XLOOKUP(D1457,'Spec_Single_H&amp;S'!B:B,'Spec_Single_H&amp;S'!F:F),
IFERROR(XLOOKUP(D1457,#REF!,#REF!),""))</f>
        <v/>
      </c>
      <c r="L1457" s="7" t="str">
        <f t="shared" ca="1" si="44"/>
        <v/>
      </c>
    </row>
    <row r="1458" spans="8:12" x14ac:dyDescent="0.3">
      <c r="H1458" s="7" t="str">
        <f>IF(B1458&lt;&gt;"Silicone","",IFERROR(XLOOKUP(D1458,#REF!,#REF!),""))</f>
        <v/>
      </c>
      <c r="J1458" s="7" t="str">
        <f ca="1">IFERROR(XLOOKUP(D1458,'Spec_Single_H&amp;S'!B:B,'Spec_Single_H&amp;S'!E:E),
IFERROR(XLOOKUP(D1458,#REF!,#REF!),""))</f>
        <v/>
      </c>
      <c r="K1458" s="7" t="str">
        <f ca="1">IFERROR(XLOOKUP(D1458,'Spec_Single_H&amp;S'!B:B,'Spec_Single_H&amp;S'!F:F),
IFERROR(XLOOKUP(D1458,#REF!,#REF!),""))</f>
        <v/>
      </c>
      <c r="L1458" s="7" t="str">
        <f t="shared" ca="1" si="44"/>
        <v/>
      </c>
    </row>
    <row r="1459" spans="8:12" x14ac:dyDescent="0.3">
      <c r="H1459" s="7" t="str">
        <f>IF(B1459&lt;&gt;"Silicone","",IFERROR(XLOOKUP(D1459,#REF!,#REF!),""))</f>
        <v/>
      </c>
      <c r="J1459" s="7" t="str">
        <f ca="1">IFERROR(XLOOKUP(D1459,'Spec_Single_H&amp;S'!B:B,'Spec_Single_H&amp;S'!E:E),
IFERROR(XLOOKUP(D1459,#REF!,#REF!),""))</f>
        <v/>
      </c>
      <c r="K1459" s="7" t="str">
        <f ca="1">IFERROR(XLOOKUP(D1459,'Spec_Single_H&amp;S'!B:B,'Spec_Single_H&amp;S'!F:F),
IFERROR(XLOOKUP(D1459,#REF!,#REF!),""))</f>
        <v/>
      </c>
      <c r="L1459" s="7" t="str">
        <f t="shared" ca="1" si="44"/>
        <v/>
      </c>
    </row>
    <row r="1460" spans="8:12" x14ac:dyDescent="0.3">
      <c r="H1460" s="7" t="str">
        <f>IF(B1460&lt;&gt;"Silicone","",IFERROR(XLOOKUP(D1460,#REF!,#REF!),""))</f>
        <v/>
      </c>
      <c r="J1460" s="7" t="str">
        <f ca="1">IFERROR(XLOOKUP(D1460,'Spec_Single_H&amp;S'!B:B,'Spec_Single_H&amp;S'!E:E),
IFERROR(XLOOKUP(D1460,#REF!,#REF!),""))</f>
        <v/>
      </c>
      <c r="K1460" s="7" t="str">
        <f ca="1">IFERROR(XLOOKUP(D1460,'Spec_Single_H&amp;S'!B:B,'Spec_Single_H&amp;S'!F:F),
IFERROR(XLOOKUP(D1460,#REF!,#REF!),""))</f>
        <v/>
      </c>
      <c r="L1460" s="7" t="str">
        <f t="shared" ca="1" si="44"/>
        <v/>
      </c>
    </row>
    <row r="1461" spans="8:12" x14ac:dyDescent="0.3">
      <c r="H1461" s="7" t="str">
        <f>IF(B1461&lt;&gt;"Silicone","",IFERROR(XLOOKUP(D1461,#REF!,#REF!),""))</f>
        <v/>
      </c>
      <c r="J1461" s="7" t="str">
        <f ca="1">IFERROR(XLOOKUP(D1461,'Spec_Single_H&amp;S'!B:B,'Spec_Single_H&amp;S'!E:E),
IFERROR(XLOOKUP(D1461,#REF!,#REF!),""))</f>
        <v/>
      </c>
      <c r="K1461" s="7" t="str">
        <f ca="1">IFERROR(XLOOKUP(D1461,'Spec_Single_H&amp;S'!B:B,'Spec_Single_H&amp;S'!F:F),
IFERROR(XLOOKUP(D1461,#REF!,#REF!),""))</f>
        <v/>
      </c>
      <c r="L1461" s="7" t="str">
        <f t="shared" ca="1" si="44"/>
        <v/>
      </c>
    </row>
    <row r="1462" spans="8:12" x14ac:dyDescent="0.3">
      <c r="H1462" s="7" t="str">
        <f>IF(B1462&lt;&gt;"Silicone","",IFERROR(XLOOKUP(D1462,#REF!,#REF!),""))</f>
        <v/>
      </c>
      <c r="J1462" s="7" t="str">
        <f ca="1">IFERROR(XLOOKUP(D1462,'Spec_Single_H&amp;S'!B:B,'Spec_Single_H&amp;S'!E:E),
IFERROR(XLOOKUP(D1462,#REF!,#REF!),""))</f>
        <v/>
      </c>
      <c r="K1462" s="7" t="str">
        <f ca="1">IFERROR(XLOOKUP(D1462,'Spec_Single_H&amp;S'!B:B,'Spec_Single_H&amp;S'!F:F),
IFERROR(XLOOKUP(D1462,#REF!,#REF!),""))</f>
        <v/>
      </c>
      <c r="L1462" s="7" t="str">
        <f t="shared" ca="1" si="44"/>
        <v/>
      </c>
    </row>
    <row r="1463" spans="8:12" x14ac:dyDescent="0.3">
      <c r="H1463" s="7" t="str">
        <f>IF(B1463&lt;&gt;"Silicone","",IFERROR(XLOOKUP(D1463,#REF!,#REF!),""))</f>
        <v/>
      </c>
      <c r="J1463" s="7" t="str">
        <f ca="1">IFERROR(XLOOKUP(D1463,'Spec_Single_H&amp;S'!B:B,'Spec_Single_H&amp;S'!E:E),
IFERROR(XLOOKUP(D1463,#REF!,#REF!),""))</f>
        <v/>
      </c>
      <c r="K1463" s="7" t="str">
        <f ca="1">IFERROR(XLOOKUP(D1463,'Spec_Single_H&amp;S'!B:B,'Spec_Single_H&amp;S'!F:F),
IFERROR(XLOOKUP(D1463,#REF!,#REF!),""))</f>
        <v/>
      </c>
      <c r="L1463" s="7" t="str">
        <f t="shared" ca="1" si="44"/>
        <v/>
      </c>
    </row>
    <row r="1464" spans="8:12" x14ac:dyDescent="0.3">
      <c r="H1464" s="7" t="str">
        <f>IF(B1464&lt;&gt;"Silicone","",IFERROR(XLOOKUP(D1464,#REF!,#REF!),""))</f>
        <v/>
      </c>
      <c r="J1464" s="7" t="str">
        <f ca="1">IFERROR(XLOOKUP(D1464,'Spec_Single_H&amp;S'!B:B,'Spec_Single_H&amp;S'!E:E),
IFERROR(XLOOKUP(D1464,#REF!,#REF!),""))</f>
        <v/>
      </c>
      <c r="K1464" s="7" t="str">
        <f ca="1">IFERROR(XLOOKUP(D1464,'Spec_Single_H&amp;S'!B:B,'Spec_Single_H&amp;S'!F:F),
IFERROR(XLOOKUP(D1464,#REF!,#REF!),""))</f>
        <v/>
      </c>
      <c r="L1464" s="7" t="str">
        <f t="shared" ca="1" si="44"/>
        <v/>
      </c>
    </row>
    <row r="1465" spans="8:12" x14ac:dyDescent="0.3">
      <c r="H1465" s="7" t="str">
        <f>IF(B1465&lt;&gt;"Silicone","",IFERROR(XLOOKUP(D1465,#REF!,#REF!),""))</f>
        <v/>
      </c>
      <c r="J1465" s="7" t="str">
        <f ca="1">IFERROR(XLOOKUP(D1465,'Spec_Single_H&amp;S'!B:B,'Spec_Single_H&amp;S'!E:E),
IFERROR(XLOOKUP(D1465,#REF!,#REF!),""))</f>
        <v/>
      </c>
      <c r="K1465" s="7" t="str">
        <f ca="1">IFERROR(XLOOKUP(D1465,'Spec_Single_H&amp;S'!B:B,'Spec_Single_H&amp;S'!F:F),
IFERROR(XLOOKUP(D1465,#REF!,#REF!),""))</f>
        <v/>
      </c>
      <c r="L1465" s="7" t="str">
        <f t="shared" ca="1" si="44"/>
        <v/>
      </c>
    </row>
    <row r="1466" spans="8:12" x14ac:dyDescent="0.3">
      <c r="H1466" s="7" t="str">
        <f>IF(B1466&lt;&gt;"Silicone","",IFERROR(XLOOKUP(D1466,#REF!,#REF!),""))</f>
        <v/>
      </c>
      <c r="J1466" s="7" t="str">
        <f ca="1">IFERROR(XLOOKUP(D1466,'Spec_Single_H&amp;S'!B:B,'Spec_Single_H&amp;S'!E:E),
IFERROR(XLOOKUP(D1466,#REF!,#REF!),""))</f>
        <v/>
      </c>
      <c r="K1466" s="7" t="str">
        <f ca="1">IFERROR(XLOOKUP(D1466,'Spec_Single_H&amp;S'!B:B,'Spec_Single_H&amp;S'!F:F),
IFERROR(XLOOKUP(D1466,#REF!,#REF!),""))</f>
        <v/>
      </c>
      <c r="L1466" s="7" t="str">
        <f t="shared" ca="1" si="44"/>
        <v/>
      </c>
    </row>
    <row r="1467" spans="8:12" x14ac:dyDescent="0.3">
      <c r="H1467" s="7" t="str">
        <f>IF(B1467&lt;&gt;"Silicone","",IFERROR(XLOOKUP(D1467,#REF!,#REF!),""))</f>
        <v/>
      </c>
      <c r="J1467" s="7" t="str">
        <f ca="1">IFERROR(XLOOKUP(D1467,'Spec_Single_H&amp;S'!B:B,'Spec_Single_H&amp;S'!E:E),
IFERROR(XLOOKUP(D1467,#REF!,#REF!),""))</f>
        <v/>
      </c>
      <c r="K1467" s="7" t="str">
        <f ca="1">IFERROR(XLOOKUP(D1467,'Spec_Single_H&amp;S'!B:B,'Spec_Single_H&amp;S'!F:F),
IFERROR(XLOOKUP(D1467,#REF!,#REF!),""))</f>
        <v/>
      </c>
      <c r="L1467" s="7" t="str">
        <f t="shared" ca="1" si="44"/>
        <v/>
      </c>
    </row>
    <row r="1468" spans="8:12" x14ac:dyDescent="0.3">
      <c r="H1468" s="7" t="str">
        <f>IF(B1468&lt;&gt;"Silicone","",IFERROR(XLOOKUP(D1468,#REF!,#REF!),""))</f>
        <v/>
      </c>
      <c r="J1468" s="7" t="str">
        <f ca="1">IFERROR(XLOOKUP(D1468,'Spec_Single_H&amp;S'!B:B,'Spec_Single_H&amp;S'!E:E),
IFERROR(XLOOKUP(D1468,#REF!,#REF!),""))</f>
        <v/>
      </c>
      <c r="K1468" s="7" t="str">
        <f ca="1">IFERROR(XLOOKUP(D1468,'Spec_Single_H&amp;S'!B:B,'Spec_Single_H&amp;S'!F:F),
IFERROR(XLOOKUP(D1468,#REF!,#REF!),""))</f>
        <v/>
      </c>
      <c r="L1468" s="7" t="str">
        <f t="shared" ca="1" si="44"/>
        <v/>
      </c>
    </row>
    <row r="1469" spans="8:12" x14ac:dyDescent="0.3">
      <c r="H1469" s="7" t="str">
        <f>IF(B1469&lt;&gt;"Silicone","",IFERROR(XLOOKUP(D1469,#REF!,#REF!),""))</f>
        <v/>
      </c>
      <c r="J1469" s="7" t="str">
        <f ca="1">IFERROR(XLOOKUP(D1469,'Spec_Single_H&amp;S'!B:B,'Spec_Single_H&amp;S'!E:E),
IFERROR(XLOOKUP(D1469,#REF!,#REF!),""))</f>
        <v/>
      </c>
      <c r="K1469" s="7" t="str">
        <f ca="1">IFERROR(XLOOKUP(D1469,'Spec_Single_H&amp;S'!B:B,'Spec_Single_H&amp;S'!F:F),
IFERROR(XLOOKUP(D1469,#REF!,#REF!),""))</f>
        <v/>
      </c>
      <c r="L1469" s="7" t="str">
        <f t="shared" ca="1" si="44"/>
        <v/>
      </c>
    </row>
    <row r="1470" spans="8:12" x14ac:dyDescent="0.3">
      <c r="H1470" s="7" t="str">
        <f>IF(B1470&lt;&gt;"Silicone","",IFERROR(XLOOKUP(D1470,#REF!,#REF!),""))</f>
        <v/>
      </c>
      <c r="J1470" s="7" t="str">
        <f ca="1">IFERROR(XLOOKUP(D1470,'Spec_Single_H&amp;S'!B:B,'Spec_Single_H&amp;S'!E:E),
IFERROR(XLOOKUP(D1470,#REF!,#REF!),""))</f>
        <v/>
      </c>
      <c r="K1470" s="7" t="str">
        <f ca="1">IFERROR(XLOOKUP(D1470,'Spec_Single_H&amp;S'!B:B,'Spec_Single_H&amp;S'!F:F),
IFERROR(XLOOKUP(D1470,#REF!,#REF!),""))</f>
        <v/>
      </c>
      <c r="L1470" s="7" t="str">
        <f t="shared" ca="1" si="44"/>
        <v/>
      </c>
    </row>
    <row r="1471" spans="8:12" x14ac:dyDescent="0.3">
      <c r="H1471" s="7" t="str">
        <f>IF(B1471&lt;&gt;"Silicone","",IFERROR(XLOOKUP(D1471,#REF!,#REF!),""))</f>
        <v/>
      </c>
      <c r="J1471" s="7" t="str">
        <f ca="1">IFERROR(XLOOKUP(D1471,'Spec_Single_H&amp;S'!B:B,'Spec_Single_H&amp;S'!E:E),
IFERROR(XLOOKUP(D1471,#REF!,#REF!),""))</f>
        <v/>
      </c>
      <c r="K1471" s="7" t="str">
        <f ca="1">IFERROR(XLOOKUP(D1471,'Spec_Single_H&amp;S'!B:B,'Spec_Single_H&amp;S'!F:F),
IFERROR(XLOOKUP(D1471,#REF!,#REF!),""))</f>
        <v/>
      </c>
      <c r="L1471" s="7" t="str">
        <f t="shared" ca="1" si="44"/>
        <v/>
      </c>
    </row>
    <row r="1472" spans="8:12" x14ac:dyDescent="0.3">
      <c r="H1472" s="7" t="str">
        <f>IF(B1472&lt;&gt;"Silicone","",IFERROR(XLOOKUP(D1472,#REF!,#REF!),""))</f>
        <v/>
      </c>
      <c r="J1472" s="7" t="str">
        <f ca="1">IFERROR(XLOOKUP(D1472,'Spec_Single_H&amp;S'!B:B,'Spec_Single_H&amp;S'!E:E),
IFERROR(XLOOKUP(D1472,#REF!,#REF!),""))</f>
        <v/>
      </c>
      <c r="K1472" s="7" t="str">
        <f ca="1">IFERROR(XLOOKUP(D1472,'Spec_Single_H&amp;S'!B:B,'Spec_Single_H&amp;S'!F:F),
IFERROR(XLOOKUP(D1472,#REF!,#REF!),""))</f>
        <v/>
      </c>
      <c r="L1472" s="7" t="str">
        <f t="shared" ca="1" si="44"/>
        <v/>
      </c>
    </row>
    <row r="1473" spans="8:12" x14ac:dyDescent="0.3">
      <c r="H1473" s="7" t="str">
        <f>IF(B1473&lt;&gt;"Silicone","",IFERROR(XLOOKUP(D1473,#REF!,#REF!),""))</f>
        <v/>
      </c>
      <c r="J1473" s="7" t="str">
        <f ca="1">IFERROR(XLOOKUP(D1473,'Spec_Single_H&amp;S'!B:B,'Spec_Single_H&amp;S'!E:E),
IFERROR(XLOOKUP(D1473,#REF!,#REF!),""))</f>
        <v/>
      </c>
      <c r="K1473" s="7" t="str">
        <f ca="1">IFERROR(XLOOKUP(D1473,'Spec_Single_H&amp;S'!B:B,'Spec_Single_H&amp;S'!F:F),
IFERROR(XLOOKUP(D1473,#REF!,#REF!),""))</f>
        <v/>
      </c>
      <c r="L1473" s="7" t="str">
        <f t="shared" ca="1" si="44"/>
        <v/>
      </c>
    </row>
    <row r="1474" spans="8:12" x14ac:dyDescent="0.3">
      <c r="H1474" s="7" t="str">
        <f>IF(B1474&lt;&gt;"Silicone","",IFERROR(XLOOKUP(D1474,#REF!,#REF!),""))</f>
        <v/>
      </c>
      <c r="J1474" s="7" t="str">
        <f ca="1">IFERROR(XLOOKUP(D1474,'Spec_Single_H&amp;S'!B:B,'Spec_Single_H&amp;S'!E:E),
IFERROR(XLOOKUP(D1474,#REF!,#REF!),""))</f>
        <v/>
      </c>
      <c r="K1474" s="7" t="str">
        <f ca="1">IFERROR(XLOOKUP(D1474,'Spec_Single_H&amp;S'!B:B,'Spec_Single_H&amp;S'!F:F),
IFERROR(XLOOKUP(D1474,#REF!,#REF!),""))</f>
        <v/>
      </c>
      <c r="L1474" s="7" t="str">
        <f t="shared" ca="1" si="44"/>
        <v/>
      </c>
    </row>
    <row r="1475" spans="8:12" x14ac:dyDescent="0.3">
      <c r="H1475" s="7" t="str">
        <f>IF(B1475&lt;&gt;"Silicone","",IFERROR(XLOOKUP(D1475,#REF!,#REF!),""))</f>
        <v/>
      </c>
      <c r="J1475" s="7" t="str">
        <f ca="1">IFERROR(XLOOKUP(D1475,'Spec_Single_H&amp;S'!B:B,'Spec_Single_H&amp;S'!E:E),
IFERROR(XLOOKUP(D1475,#REF!,#REF!),""))</f>
        <v/>
      </c>
      <c r="K1475" s="7" t="str">
        <f ca="1">IFERROR(XLOOKUP(D1475,'Spec_Single_H&amp;S'!B:B,'Spec_Single_H&amp;S'!F:F),
IFERROR(XLOOKUP(D1475,#REF!,#REF!),""))</f>
        <v/>
      </c>
      <c r="L1475" s="7" t="str">
        <f t="shared" ca="1" si="44"/>
        <v/>
      </c>
    </row>
    <row r="1476" spans="8:12" x14ac:dyDescent="0.3">
      <c r="H1476" s="7" t="str">
        <f>IF(B1476&lt;&gt;"Silicone","",IFERROR(XLOOKUP(D1476,#REF!,#REF!),""))</f>
        <v/>
      </c>
      <c r="J1476" s="7" t="str">
        <f ca="1">IFERROR(XLOOKUP(D1476,'Spec_Single_H&amp;S'!B:B,'Spec_Single_H&amp;S'!E:E),
IFERROR(XLOOKUP(D1476,#REF!,#REF!),""))</f>
        <v/>
      </c>
      <c r="K1476" s="7" t="str">
        <f ca="1">IFERROR(XLOOKUP(D1476,'Spec_Single_H&amp;S'!B:B,'Spec_Single_H&amp;S'!F:F),
IFERROR(XLOOKUP(D1476,#REF!,#REF!),""))</f>
        <v/>
      </c>
      <c r="L1476" s="7" t="str">
        <f t="shared" ca="1" si="44"/>
        <v/>
      </c>
    </row>
    <row r="1477" spans="8:12" x14ac:dyDescent="0.3">
      <c r="H1477" s="7" t="str">
        <f>IF(B1477&lt;&gt;"Silicone","",IFERROR(XLOOKUP(D1477,#REF!,#REF!),""))</f>
        <v/>
      </c>
      <c r="J1477" s="7" t="str">
        <f ca="1">IFERROR(XLOOKUP(D1477,'Spec_Single_H&amp;S'!B:B,'Spec_Single_H&amp;S'!E:E),
IFERROR(XLOOKUP(D1477,#REF!,#REF!),""))</f>
        <v/>
      </c>
      <c r="K1477" s="7" t="str">
        <f ca="1">IFERROR(XLOOKUP(D1477,'Spec_Single_H&amp;S'!B:B,'Spec_Single_H&amp;S'!F:F),
IFERROR(XLOOKUP(D1477,#REF!,#REF!),""))</f>
        <v/>
      </c>
      <c r="L1477" s="7" t="str">
        <f t="shared" ca="1" si="44"/>
        <v/>
      </c>
    </row>
    <row r="1478" spans="8:12" x14ac:dyDescent="0.3">
      <c r="H1478" s="7" t="str">
        <f>IF(B1478&lt;&gt;"Silicone","",IFERROR(XLOOKUP(D1478,#REF!,#REF!),""))</f>
        <v/>
      </c>
      <c r="J1478" s="7" t="str">
        <f ca="1">IFERROR(XLOOKUP(D1478,'Spec_Single_H&amp;S'!B:B,'Spec_Single_H&amp;S'!E:E),
IFERROR(XLOOKUP(D1478,#REF!,#REF!),""))</f>
        <v/>
      </c>
      <c r="K1478" s="7" t="str">
        <f ca="1">IFERROR(XLOOKUP(D1478,'Spec_Single_H&amp;S'!B:B,'Spec_Single_H&amp;S'!F:F),
IFERROR(XLOOKUP(D1478,#REF!,#REF!),""))</f>
        <v/>
      </c>
      <c r="L1478" s="7" t="str">
        <f t="shared" ca="1" si="44"/>
        <v/>
      </c>
    </row>
    <row r="1479" spans="8:12" x14ac:dyDescent="0.3">
      <c r="H1479" s="7" t="str">
        <f>IF(B1479&lt;&gt;"Silicone","",IFERROR(XLOOKUP(D1479,#REF!,#REF!),""))</f>
        <v/>
      </c>
      <c r="J1479" s="7" t="str">
        <f ca="1">IFERROR(XLOOKUP(D1479,'Spec_Single_H&amp;S'!B:B,'Spec_Single_H&amp;S'!E:E),
IFERROR(XLOOKUP(D1479,#REF!,#REF!),""))</f>
        <v/>
      </c>
      <c r="K1479" s="7" t="str">
        <f ca="1">IFERROR(XLOOKUP(D1479,'Spec_Single_H&amp;S'!B:B,'Spec_Single_H&amp;S'!F:F),
IFERROR(XLOOKUP(D1479,#REF!,#REF!),""))</f>
        <v/>
      </c>
      <c r="L1479" s="7" t="str">
        <f t="shared" ca="1" si="44"/>
        <v/>
      </c>
    </row>
    <row r="1480" spans="8:12" x14ac:dyDescent="0.3">
      <c r="H1480" s="7" t="str">
        <f>IF(B1480&lt;&gt;"Silicone","",IFERROR(XLOOKUP(D1480,#REF!,#REF!),""))</f>
        <v/>
      </c>
      <c r="J1480" s="7" t="str">
        <f ca="1">IFERROR(XLOOKUP(D1480,'Spec_Single_H&amp;S'!B:B,'Spec_Single_H&amp;S'!E:E),
IFERROR(XLOOKUP(D1480,#REF!,#REF!),""))</f>
        <v/>
      </c>
      <c r="K1480" s="7" t="str">
        <f ca="1">IFERROR(XLOOKUP(D1480,'Spec_Single_H&amp;S'!B:B,'Spec_Single_H&amp;S'!F:F),
IFERROR(XLOOKUP(D1480,#REF!,#REF!),""))</f>
        <v/>
      </c>
      <c r="L1480" s="7" t="str">
        <f t="shared" ref="L1480:L1543" ca="1" si="45">IF(AND(NOT(ISBLANK(I1480)),I1480&gt;=J1480,I1480&lt;=K1480),"적합",IF(ISBLANK(I1480),"", "부적합"))</f>
        <v/>
      </c>
    </row>
    <row r="1481" spans="8:12" x14ac:dyDescent="0.3">
      <c r="H1481" s="7" t="str">
        <f>IF(B1481&lt;&gt;"Silicone","",IFERROR(XLOOKUP(D1481,#REF!,#REF!),""))</f>
        <v/>
      </c>
      <c r="J1481" s="7" t="str">
        <f ca="1">IFERROR(XLOOKUP(D1481,'Spec_Single_H&amp;S'!B:B,'Spec_Single_H&amp;S'!E:E),
IFERROR(XLOOKUP(D1481,#REF!,#REF!),""))</f>
        <v/>
      </c>
      <c r="K1481" s="7" t="str">
        <f ca="1">IFERROR(XLOOKUP(D1481,'Spec_Single_H&amp;S'!B:B,'Spec_Single_H&amp;S'!F:F),
IFERROR(XLOOKUP(D1481,#REF!,#REF!),""))</f>
        <v/>
      </c>
      <c r="L1481" s="7" t="str">
        <f t="shared" ca="1" si="45"/>
        <v/>
      </c>
    </row>
    <row r="1482" spans="8:12" x14ac:dyDescent="0.3">
      <c r="H1482" s="7" t="str">
        <f>IF(B1482&lt;&gt;"Silicone","",IFERROR(XLOOKUP(D1482,#REF!,#REF!),""))</f>
        <v/>
      </c>
      <c r="J1482" s="7" t="str">
        <f ca="1">IFERROR(XLOOKUP(D1482,'Spec_Single_H&amp;S'!B:B,'Spec_Single_H&amp;S'!E:E),
IFERROR(XLOOKUP(D1482,#REF!,#REF!),""))</f>
        <v/>
      </c>
      <c r="K1482" s="7" t="str">
        <f ca="1">IFERROR(XLOOKUP(D1482,'Spec_Single_H&amp;S'!B:B,'Spec_Single_H&amp;S'!F:F),
IFERROR(XLOOKUP(D1482,#REF!,#REF!),""))</f>
        <v/>
      </c>
      <c r="L1482" s="7" t="str">
        <f t="shared" ca="1" si="45"/>
        <v/>
      </c>
    </row>
    <row r="1483" spans="8:12" x14ac:dyDescent="0.3">
      <c r="H1483" s="7" t="str">
        <f>IF(B1483&lt;&gt;"Silicone","",IFERROR(XLOOKUP(D1483,#REF!,#REF!),""))</f>
        <v/>
      </c>
      <c r="J1483" s="7" t="str">
        <f ca="1">IFERROR(XLOOKUP(D1483,'Spec_Single_H&amp;S'!B:B,'Spec_Single_H&amp;S'!E:E),
IFERROR(XLOOKUP(D1483,#REF!,#REF!),""))</f>
        <v/>
      </c>
      <c r="K1483" s="7" t="str">
        <f ca="1">IFERROR(XLOOKUP(D1483,'Spec_Single_H&amp;S'!B:B,'Spec_Single_H&amp;S'!F:F),
IFERROR(XLOOKUP(D1483,#REF!,#REF!),""))</f>
        <v/>
      </c>
      <c r="L1483" s="7" t="str">
        <f t="shared" ca="1" si="45"/>
        <v/>
      </c>
    </row>
    <row r="1484" spans="8:12" x14ac:dyDescent="0.3">
      <c r="H1484" s="7" t="str">
        <f>IF(B1484&lt;&gt;"Silicone","",IFERROR(XLOOKUP(D1484,#REF!,#REF!),""))</f>
        <v/>
      </c>
      <c r="J1484" s="7" t="str">
        <f ca="1">IFERROR(XLOOKUP(D1484,'Spec_Single_H&amp;S'!B:B,'Spec_Single_H&amp;S'!E:E),
IFERROR(XLOOKUP(D1484,#REF!,#REF!),""))</f>
        <v/>
      </c>
      <c r="K1484" s="7" t="str">
        <f ca="1">IFERROR(XLOOKUP(D1484,'Spec_Single_H&amp;S'!B:B,'Spec_Single_H&amp;S'!F:F),
IFERROR(XLOOKUP(D1484,#REF!,#REF!),""))</f>
        <v/>
      </c>
      <c r="L1484" s="7" t="str">
        <f t="shared" ca="1" si="45"/>
        <v/>
      </c>
    </row>
    <row r="1485" spans="8:12" x14ac:dyDescent="0.3">
      <c r="H1485" s="7" t="str">
        <f>IF(B1485&lt;&gt;"Silicone","",IFERROR(XLOOKUP(D1485,#REF!,#REF!),""))</f>
        <v/>
      </c>
      <c r="J1485" s="7" t="str">
        <f ca="1">IFERROR(XLOOKUP(D1485,'Spec_Single_H&amp;S'!B:B,'Spec_Single_H&amp;S'!E:E),
IFERROR(XLOOKUP(D1485,#REF!,#REF!),""))</f>
        <v/>
      </c>
      <c r="K1485" s="7" t="str">
        <f ca="1">IFERROR(XLOOKUP(D1485,'Spec_Single_H&amp;S'!B:B,'Spec_Single_H&amp;S'!F:F),
IFERROR(XLOOKUP(D1485,#REF!,#REF!),""))</f>
        <v/>
      </c>
      <c r="L1485" s="7" t="str">
        <f t="shared" ca="1" si="45"/>
        <v/>
      </c>
    </row>
    <row r="1486" spans="8:12" x14ac:dyDescent="0.3">
      <c r="H1486" s="7" t="str">
        <f>IF(B1486&lt;&gt;"Silicone","",IFERROR(XLOOKUP(D1486,#REF!,#REF!),""))</f>
        <v/>
      </c>
      <c r="J1486" s="7" t="str">
        <f ca="1">IFERROR(XLOOKUP(D1486,'Spec_Single_H&amp;S'!B:B,'Spec_Single_H&amp;S'!E:E),
IFERROR(XLOOKUP(D1486,#REF!,#REF!),""))</f>
        <v/>
      </c>
      <c r="K1486" s="7" t="str">
        <f ca="1">IFERROR(XLOOKUP(D1486,'Spec_Single_H&amp;S'!B:B,'Spec_Single_H&amp;S'!F:F),
IFERROR(XLOOKUP(D1486,#REF!,#REF!),""))</f>
        <v/>
      </c>
      <c r="L1486" s="7" t="str">
        <f t="shared" ca="1" si="45"/>
        <v/>
      </c>
    </row>
    <row r="1487" spans="8:12" x14ac:dyDescent="0.3">
      <c r="H1487" s="7" t="str">
        <f>IF(B1487&lt;&gt;"Silicone","",IFERROR(XLOOKUP(D1487,#REF!,#REF!),""))</f>
        <v/>
      </c>
      <c r="J1487" s="7" t="str">
        <f ca="1">IFERROR(XLOOKUP(D1487,'Spec_Single_H&amp;S'!B:B,'Spec_Single_H&amp;S'!E:E),
IFERROR(XLOOKUP(D1487,#REF!,#REF!),""))</f>
        <v/>
      </c>
      <c r="K1487" s="7" t="str">
        <f ca="1">IFERROR(XLOOKUP(D1487,'Spec_Single_H&amp;S'!B:B,'Spec_Single_H&amp;S'!F:F),
IFERROR(XLOOKUP(D1487,#REF!,#REF!),""))</f>
        <v/>
      </c>
      <c r="L1487" s="7" t="str">
        <f t="shared" ca="1" si="45"/>
        <v/>
      </c>
    </row>
    <row r="1488" spans="8:12" x14ac:dyDescent="0.3">
      <c r="H1488" s="7" t="str">
        <f>IF(B1488&lt;&gt;"Silicone","",IFERROR(XLOOKUP(D1488,#REF!,#REF!),""))</f>
        <v/>
      </c>
      <c r="J1488" s="7" t="str">
        <f ca="1">IFERROR(XLOOKUP(D1488,'Spec_Single_H&amp;S'!B:B,'Spec_Single_H&amp;S'!E:E),
IFERROR(XLOOKUP(D1488,#REF!,#REF!),""))</f>
        <v/>
      </c>
      <c r="K1488" s="7" t="str">
        <f ca="1">IFERROR(XLOOKUP(D1488,'Spec_Single_H&amp;S'!B:B,'Spec_Single_H&amp;S'!F:F),
IFERROR(XLOOKUP(D1488,#REF!,#REF!),""))</f>
        <v/>
      </c>
      <c r="L1488" s="7" t="str">
        <f t="shared" ca="1" si="45"/>
        <v/>
      </c>
    </row>
    <row r="1489" spans="8:12" x14ac:dyDescent="0.3">
      <c r="H1489" s="7" t="str">
        <f>IF(B1489&lt;&gt;"Silicone","",IFERROR(XLOOKUP(D1489,#REF!,#REF!),""))</f>
        <v/>
      </c>
      <c r="J1489" s="7" t="str">
        <f ca="1">IFERROR(XLOOKUP(D1489,'Spec_Single_H&amp;S'!B:B,'Spec_Single_H&amp;S'!E:E),
IFERROR(XLOOKUP(D1489,#REF!,#REF!),""))</f>
        <v/>
      </c>
      <c r="K1489" s="7" t="str">
        <f ca="1">IFERROR(XLOOKUP(D1489,'Spec_Single_H&amp;S'!B:B,'Spec_Single_H&amp;S'!F:F),
IFERROR(XLOOKUP(D1489,#REF!,#REF!),""))</f>
        <v/>
      </c>
      <c r="L1489" s="7" t="str">
        <f t="shared" ca="1" si="45"/>
        <v/>
      </c>
    </row>
    <row r="1490" spans="8:12" x14ac:dyDescent="0.3">
      <c r="H1490" s="7" t="str">
        <f>IF(B1490&lt;&gt;"Silicone","",IFERROR(XLOOKUP(D1490,#REF!,#REF!),""))</f>
        <v/>
      </c>
      <c r="J1490" s="7" t="str">
        <f ca="1">IFERROR(XLOOKUP(D1490,'Spec_Single_H&amp;S'!B:B,'Spec_Single_H&amp;S'!E:E),
IFERROR(XLOOKUP(D1490,#REF!,#REF!),""))</f>
        <v/>
      </c>
      <c r="K1490" s="7" t="str">
        <f ca="1">IFERROR(XLOOKUP(D1490,'Spec_Single_H&amp;S'!B:B,'Spec_Single_H&amp;S'!F:F),
IFERROR(XLOOKUP(D1490,#REF!,#REF!),""))</f>
        <v/>
      </c>
      <c r="L1490" s="7" t="str">
        <f t="shared" ca="1" si="45"/>
        <v/>
      </c>
    </row>
    <row r="1491" spans="8:12" x14ac:dyDescent="0.3">
      <c r="H1491" s="7" t="str">
        <f>IF(B1491&lt;&gt;"Silicone","",IFERROR(XLOOKUP(D1491,#REF!,#REF!),""))</f>
        <v/>
      </c>
      <c r="J1491" s="7" t="str">
        <f ca="1">IFERROR(XLOOKUP(D1491,'Spec_Single_H&amp;S'!B:B,'Spec_Single_H&amp;S'!E:E),
IFERROR(XLOOKUP(D1491,#REF!,#REF!),""))</f>
        <v/>
      </c>
      <c r="K1491" s="7" t="str">
        <f ca="1">IFERROR(XLOOKUP(D1491,'Spec_Single_H&amp;S'!B:B,'Spec_Single_H&amp;S'!F:F),
IFERROR(XLOOKUP(D1491,#REF!,#REF!),""))</f>
        <v/>
      </c>
      <c r="L1491" s="7" t="str">
        <f t="shared" ca="1" si="45"/>
        <v/>
      </c>
    </row>
    <row r="1492" spans="8:12" x14ac:dyDescent="0.3">
      <c r="H1492" s="7" t="str">
        <f>IF(B1492&lt;&gt;"Silicone","",IFERROR(XLOOKUP(D1492,#REF!,#REF!),""))</f>
        <v/>
      </c>
      <c r="J1492" s="7" t="str">
        <f ca="1">IFERROR(XLOOKUP(D1492,'Spec_Single_H&amp;S'!B:B,'Spec_Single_H&amp;S'!E:E),
IFERROR(XLOOKUP(D1492,#REF!,#REF!),""))</f>
        <v/>
      </c>
      <c r="K1492" s="7" t="str">
        <f ca="1">IFERROR(XLOOKUP(D1492,'Spec_Single_H&amp;S'!B:B,'Spec_Single_H&amp;S'!F:F),
IFERROR(XLOOKUP(D1492,#REF!,#REF!),""))</f>
        <v/>
      </c>
      <c r="L1492" s="7" t="str">
        <f t="shared" ca="1" si="45"/>
        <v/>
      </c>
    </row>
    <row r="1493" spans="8:12" x14ac:dyDescent="0.3">
      <c r="H1493" s="7" t="str">
        <f>IF(B1493&lt;&gt;"Silicone","",IFERROR(XLOOKUP(D1493,#REF!,#REF!),""))</f>
        <v/>
      </c>
      <c r="J1493" s="7" t="str">
        <f ca="1">IFERROR(XLOOKUP(D1493,'Spec_Single_H&amp;S'!B:B,'Spec_Single_H&amp;S'!E:E),
IFERROR(XLOOKUP(D1493,#REF!,#REF!),""))</f>
        <v/>
      </c>
      <c r="K1493" s="7" t="str">
        <f ca="1">IFERROR(XLOOKUP(D1493,'Spec_Single_H&amp;S'!B:B,'Spec_Single_H&amp;S'!F:F),
IFERROR(XLOOKUP(D1493,#REF!,#REF!),""))</f>
        <v/>
      </c>
      <c r="L1493" s="7" t="str">
        <f t="shared" ca="1" si="45"/>
        <v/>
      </c>
    </row>
    <row r="1494" spans="8:12" x14ac:dyDescent="0.3">
      <c r="H1494" s="7" t="str">
        <f>IF(B1494&lt;&gt;"Silicone","",IFERROR(XLOOKUP(D1494,#REF!,#REF!),""))</f>
        <v/>
      </c>
      <c r="J1494" s="7" t="str">
        <f ca="1">IFERROR(XLOOKUP(D1494,'Spec_Single_H&amp;S'!B:B,'Spec_Single_H&amp;S'!E:E),
IFERROR(XLOOKUP(D1494,#REF!,#REF!),""))</f>
        <v/>
      </c>
      <c r="K1494" s="7" t="str">
        <f ca="1">IFERROR(XLOOKUP(D1494,'Spec_Single_H&amp;S'!B:B,'Spec_Single_H&amp;S'!F:F),
IFERROR(XLOOKUP(D1494,#REF!,#REF!),""))</f>
        <v/>
      </c>
      <c r="L1494" s="7" t="str">
        <f t="shared" ca="1" si="45"/>
        <v/>
      </c>
    </row>
    <row r="1495" spans="8:12" x14ac:dyDescent="0.3">
      <c r="H1495" s="7" t="str">
        <f>IF(B1495&lt;&gt;"Silicone","",IFERROR(XLOOKUP(D1495,#REF!,#REF!),""))</f>
        <v/>
      </c>
      <c r="J1495" s="7" t="str">
        <f ca="1">IFERROR(XLOOKUP(D1495,'Spec_Single_H&amp;S'!B:B,'Spec_Single_H&amp;S'!E:E),
IFERROR(XLOOKUP(D1495,#REF!,#REF!),""))</f>
        <v/>
      </c>
      <c r="K1495" s="7" t="str">
        <f ca="1">IFERROR(XLOOKUP(D1495,'Spec_Single_H&amp;S'!B:B,'Spec_Single_H&amp;S'!F:F),
IFERROR(XLOOKUP(D1495,#REF!,#REF!),""))</f>
        <v/>
      </c>
      <c r="L1495" s="7" t="str">
        <f t="shared" ca="1" si="45"/>
        <v/>
      </c>
    </row>
    <row r="1496" spans="8:12" x14ac:dyDescent="0.3">
      <c r="H1496" s="7" t="str">
        <f>IF(B1496&lt;&gt;"Silicone","",IFERROR(XLOOKUP(D1496,#REF!,#REF!),""))</f>
        <v/>
      </c>
      <c r="J1496" s="7" t="str">
        <f ca="1">IFERROR(XLOOKUP(D1496,'Spec_Single_H&amp;S'!B:B,'Spec_Single_H&amp;S'!E:E),
IFERROR(XLOOKUP(D1496,#REF!,#REF!),""))</f>
        <v/>
      </c>
      <c r="K1496" s="7" t="str">
        <f ca="1">IFERROR(XLOOKUP(D1496,'Spec_Single_H&amp;S'!B:B,'Spec_Single_H&amp;S'!F:F),
IFERROR(XLOOKUP(D1496,#REF!,#REF!),""))</f>
        <v/>
      </c>
      <c r="L1496" s="7" t="str">
        <f t="shared" ca="1" si="45"/>
        <v/>
      </c>
    </row>
    <row r="1497" spans="8:12" x14ac:dyDescent="0.3">
      <c r="H1497" s="7" t="str">
        <f>IF(B1497&lt;&gt;"Silicone","",IFERROR(XLOOKUP(D1497,#REF!,#REF!),""))</f>
        <v/>
      </c>
      <c r="J1497" s="7" t="str">
        <f ca="1">IFERROR(XLOOKUP(D1497,'Spec_Single_H&amp;S'!B:B,'Spec_Single_H&amp;S'!E:E),
IFERROR(XLOOKUP(D1497,#REF!,#REF!),""))</f>
        <v/>
      </c>
      <c r="K1497" s="7" t="str">
        <f ca="1">IFERROR(XLOOKUP(D1497,'Spec_Single_H&amp;S'!B:B,'Spec_Single_H&amp;S'!F:F),
IFERROR(XLOOKUP(D1497,#REF!,#REF!),""))</f>
        <v/>
      </c>
      <c r="L1497" s="7" t="str">
        <f t="shared" ca="1" si="45"/>
        <v/>
      </c>
    </row>
    <row r="1498" spans="8:12" x14ac:dyDescent="0.3">
      <c r="H1498" s="7" t="str">
        <f>IF(B1498&lt;&gt;"Silicone","",IFERROR(XLOOKUP(D1498,#REF!,#REF!),""))</f>
        <v/>
      </c>
      <c r="J1498" s="7" t="str">
        <f ca="1">IFERROR(XLOOKUP(D1498,'Spec_Single_H&amp;S'!B:B,'Spec_Single_H&amp;S'!E:E),
IFERROR(XLOOKUP(D1498,#REF!,#REF!),""))</f>
        <v/>
      </c>
      <c r="K1498" s="7" t="str">
        <f ca="1">IFERROR(XLOOKUP(D1498,'Spec_Single_H&amp;S'!B:B,'Spec_Single_H&amp;S'!F:F),
IFERROR(XLOOKUP(D1498,#REF!,#REF!),""))</f>
        <v/>
      </c>
      <c r="L1498" s="7" t="str">
        <f t="shared" ca="1" si="45"/>
        <v/>
      </c>
    </row>
    <row r="1499" spans="8:12" x14ac:dyDescent="0.3">
      <c r="H1499" s="7" t="str">
        <f>IF(B1499&lt;&gt;"Silicone","",IFERROR(XLOOKUP(D1499,#REF!,#REF!),""))</f>
        <v/>
      </c>
      <c r="J1499" s="7" t="str">
        <f ca="1">IFERROR(XLOOKUP(D1499,'Spec_Single_H&amp;S'!B:B,'Spec_Single_H&amp;S'!E:E),
IFERROR(XLOOKUP(D1499,#REF!,#REF!),""))</f>
        <v/>
      </c>
      <c r="K1499" s="7" t="str">
        <f ca="1">IFERROR(XLOOKUP(D1499,'Spec_Single_H&amp;S'!B:B,'Spec_Single_H&amp;S'!F:F),
IFERROR(XLOOKUP(D1499,#REF!,#REF!),""))</f>
        <v/>
      </c>
      <c r="L1499" s="7" t="str">
        <f t="shared" ca="1" si="45"/>
        <v/>
      </c>
    </row>
    <row r="1500" spans="8:12" x14ac:dyDescent="0.3">
      <c r="H1500" s="7" t="str">
        <f>IF(B1500&lt;&gt;"Silicone","",IFERROR(XLOOKUP(D1500,#REF!,#REF!),""))</f>
        <v/>
      </c>
      <c r="J1500" s="7" t="str">
        <f ca="1">IFERROR(XLOOKUP(D1500,'Spec_Single_H&amp;S'!B:B,'Spec_Single_H&amp;S'!E:E),
IFERROR(XLOOKUP(D1500,#REF!,#REF!),""))</f>
        <v/>
      </c>
      <c r="K1500" s="7" t="str">
        <f ca="1">IFERROR(XLOOKUP(D1500,'Spec_Single_H&amp;S'!B:B,'Spec_Single_H&amp;S'!F:F),
IFERROR(XLOOKUP(D1500,#REF!,#REF!),""))</f>
        <v/>
      </c>
      <c r="L1500" s="7" t="str">
        <f t="shared" ca="1" si="45"/>
        <v/>
      </c>
    </row>
    <row r="1501" spans="8:12" x14ac:dyDescent="0.3">
      <c r="H1501" s="7" t="str">
        <f>IF(B1501&lt;&gt;"Silicone","",IFERROR(XLOOKUP(D1501,#REF!,#REF!),""))</f>
        <v/>
      </c>
      <c r="J1501" s="7" t="str">
        <f ca="1">IFERROR(XLOOKUP(D1501,'Spec_Single_H&amp;S'!B:B,'Spec_Single_H&amp;S'!E:E),
IFERROR(XLOOKUP(D1501,#REF!,#REF!),""))</f>
        <v/>
      </c>
      <c r="K1501" s="7" t="str">
        <f ca="1">IFERROR(XLOOKUP(D1501,'Spec_Single_H&amp;S'!B:B,'Spec_Single_H&amp;S'!F:F),
IFERROR(XLOOKUP(D1501,#REF!,#REF!),""))</f>
        <v/>
      </c>
      <c r="L1501" s="7" t="str">
        <f t="shared" ca="1" si="45"/>
        <v/>
      </c>
    </row>
    <row r="1502" spans="8:12" x14ac:dyDescent="0.3">
      <c r="H1502" s="7" t="str">
        <f>IF(B1502&lt;&gt;"Silicone","",IFERROR(XLOOKUP(D1502,#REF!,#REF!),""))</f>
        <v/>
      </c>
      <c r="J1502" s="7" t="str">
        <f ca="1">IFERROR(XLOOKUP(D1502,'Spec_Single_H&amp;S'!B:B,'Spec_Single_H&amp;S'!E:E),
IFERROR(XLOOKUP(D1502,#REF!,#REF!),""))</f>
        <v/>
      </c>
      <c r="K1502" s="7" t="str">
        <f ca="1">IFERROR(XLOOKUP(D1502,'Spec_Single_H&amp;S'!B:B,'Spec_Single_H&amp;S'!F:F),
IFERROR(XLOOKUP(D1502,#REF!,#REF!),""))</f>
        <v/>
      </c>
      <c r="L1502" s="7" t="str">
        <f t="shared" ca="1" si="45"/>
        <v/>
      </c>
    </row>
    <row r="1503" spans="8:12" x14ac:dyDescent="0.3">
      <c r="H1503" s="7" t="str">
        <f>IF(B1503&lt;&gt;"Silicone","",IFERROR(XLOOKUP(D1503,#REF!,#REF!),""))</f>
        <v/>
      </c>
      <c r="J1503" s="7" t="str">
        <f ca="1">IFERROR(XLOOKUP(D1503,'Spec_Single_H&amp;S'!B:B,'Spec_Single_H&amp;S'!E:E),
IFERROR(XLOOKUP(D1503,#REF!,#REF!),""))</f>
        <v/>
      </c>
      <c r="K1503" s="7" t="str">
        <f ca="1">IFERROR(XLOOKUP(D1503,'Spec_Single_H&amp;S'!B:B,'Spec_Single_H&amp;S'!F:F),
IFERROR(XLOOKUP(D1503,#REF!,#REF!),""))</f>
        <v/>
      </c>
      <c r="L1503" s="7" t="str">
        <f t="shared" ca="1" si="45"/>
        <v/>
      </c>
    </row>
    <row r="1504" spans="8:12" x14ac:dyDescent="0.3">
      <c r="H1504" s="7" t="str">
        <f>IF(B1504&lt;&gt;"Silicone","",IFERROR(XLOOKUP(D1504,#REF!,#REF!),""))</f>
        <v/>
      </c>
      <c r="J1504" s="7" t="str">
        <f ca="1">IFERROR(XLOOKUP(D1504,'Spec_Single_H&amp;S'!B:B,'Spec_Single_H&amp;S'!E:E),
IFERROR(XLOOKUP(D1504,#REF!,#REF!),""))</f>
        <v/>
      </c>
      <c r="K1504" s="7" t="str">
        <f ca="1">IFERROR(XLOOKUP(D1504,'Spec_Single_H&amp;S'!B:B,'Spec_Single_H&amp;S'!F:F),
IFERROR(XLOOKUP(D1504,#REF!,#REF!),""))</f>
        <v/>
      </c>
      <c r="L1504" s="7" t="str">
        <f t="shared" ca="1" si="45"/>
        <v/>
      </c>
    </row>
    <row r="1505" spans="8:12" x14ac:dyDescent="0.3">
      <c r="H1505" s="7" t="str">
        <f>IF(B1505&lt;&gt;"Silicone","",IFERROR(XLOOKUP(D1505,#REF!,#REF!),""))</f>
        <v/>
      </c>
      <c r="J1505" s="7" t="str">
        <f ca="1">IFERROR(XLOOKUP(D1505,'Spec_Single_H&amp;S'!B:B,'Spec_Single_H&amp;S'!E:E),
IFERROR(XLOOKUP(D1505,#REF!,#REF!),""))</f>
        <v/>
      </c>
      <c r="K1505" s="7" t="str">
        <f ca="1">IFERROR(XLOOKUP(D1505,'Spec_Single_H&amp;S'!B:B,'Spec_Single_H&amp;S'!F:F),
IFERROR(XLOOKUP(D1505,#REF!,#REF!),""))</f>
        <v/>
      </c>
      <c r="L1505" s="7" t="str">
        <f t="shared" ca="1" si="45"/>
        <v/>
      </c>
    </row>
    <row r="1506" spans="8:12" x14ac:dyDescent="0.3">
      <c r="H1506" s="7" t="str">
        <f>IF(B1506&lt;&gt;"Silicone","",IFERROR(XLOOKUP(D1506,#REF!,#REF!),""))</f>
        <v/>
      </c>
      <c r="J1506" s="7" t="str">
        <f ca="1">IFERROR(XLOOKUP(D1506,'Spec_Single_H&amp;S'!B:B,'Spec_Single_H&amp;S'!E:E),
IFERROR(XLOOKUP(D1506,#REF!,#REF!),""))</f>
        <v/>
      </c>
      <c r="K1506" s="7" t="str">
        <f ca="1">IFERROR(XLOOKUP(D1506,'Spec_Single_H&amp;S'!B:B,'Spec_Single_H&amp;S'!F:F),
IFERROR(XLOOKUP(D1506,#REF!,#REF!),""))</f>
        <v/>
      </c>
      <c r="L1506" s="7" t="str">
        <f t="shared" ca="1" si="45"/>
        <v/>
      </c>
    </row>
    <row r="1507" spans="8:12" x14ac:dyDescent="0.3">
      <c r="H1507" s="7" t="str">
        <f>IF(B1507&lt;&gt;"Silicone","",IFERROR(XLOOKUP(D1507,#REF!,#REF!),""))</f>
        <v/>
      </c>
      <c r="J1507" s="7" t="str">
        <f ca="1">IFERROR(XLOOKUP(D1507,'Spec_Single_H&amp;S'!B:B,'Spec_Single_H&amp;S'!E:E),
IFERROR(XLOOKUP(D1507,#REF!,#REF!),""))</f>
        <v/>
      </c>
      <c r="K1507" s="7" t="str">
        <f ca="1">IFERROR(XLOOKUP(D1507,'Spec_Single_H&amp;S'!B:B,'Spec_Single_H&amp;S'!F:F),
IFERROR(XLOOKUP(D1507,#REF!,#REF!),""))</f>
        <v/>
      </c>
      <c r="L1507" s="7" t="str">
        <f t="shared" ca="1" si="45"/>
        <v/>
      </c>
    </row>
    <row r="1508" spans="8:12" x14ac:dyDescent="0.3">
      <c r="H1508" s="7" t="str">
        <f>IF(B1508&lt;&gt;"Silicone","",IFERROR(XLOOKUP(D1508,#REF!,#REF!),""))</f>
        <v/>
      </c>
      <c r="J1508" s="7" t="str">
        <f ca="1">IFERROR(XLOOKUP(D1508,'Spec_Single_H&amp;S'!B:B,'Spec_Single_H&amp;S'!E:E),
IFERROR(XLOOKUP(D1508,#REF!,#REF!),""))</f>
        <v/>
      </c>
      <c r="K1508" s="7" t="str">
        <f ca="1">IFERROR(XLOOKUP(D1508,'Spec_Single_H&amp;S'!B:B,'Spec_Single_H&amp;S'!F:F),
IFERROR(XLOOKUP(D1508,#REF!,#REF!),""))</f>
        <v/>
      </c>
      <c r="L1508" s="7" t="str">
        <f t="shared" ca="1" si="45"/>
        <v/>
      </c>
    </row>
    <row r="1509" spans="8:12" x14ac:dyDescent="0.3">
      <c r="H1509" s="7" t="str">
        <f>IF(B1509&lt;&gt;"Silicone","",IFERROR(XLOOKUP(D1509,#REF!,#REF!),""))</f>
        <v/>
      </c>
      <c r="J1509" s="7" t="str">
        <f ca="1">IFERROR(XLOOKUP(D1509,'Spec_Single_H&amp;S'!B:B,'Spec_Single_H&amp;S'!E:E),
IFERROR(XLOOKUP(D1509,#REF!,#REF!),""))</f>
        <v/>
      </c>
      <c r="K1509" s="7" t="str">
        <f ca="1">IFERROR(XLOOKUP(D1509,'Spec_Single_H&amp;S'!B:B,'Spec_Single_H&amp;S'!F:F),
IFERROR(XLOOKUP(D1509,#REF!,#REF!),""))</f>
        <v/>
      </c>
      <c r="L1509" s="7" t="str">
        <f t="shared" ca="1" si="45"/>
        <v/>
      </c>
    </row>
    <row r="1510" spans="8:12" x14ac:dyDescent="0.3">
      <c r="H1510" s="7" t="str">
        <f>IF(B1510&lt;&gt;"Silicone","",IFERROR(XLOOKUP(D1510,#REF!,#REF!),""))</f>
        <v/>
      </c>
      <c r="J1510" s="7" t="str">
        <f ca="1">IFERROR(XLOOKUP(D1510,'Spec_Single_H&amp;S'!B:B,'Spec_Single_H&amp;S'!E:E),
IFERROR(XLOOKUP(D1510,#REF!,#REF!),""))</f>
        <v/>
      </c>
      <c r="K1510" s="7" t="str">
        <f ca="1">IFERROR(XLOOKUP(D1510,'Spec_Single_H&amp;S'!B:B,'Spec_Single_H&amp;S'!F:F),
IFERROR(XLOOKUP(D1510,#REF!,#REF!),""))</f>
        <v/>
      </c>
      <c r="L1510" s="7" t="str">
        <f t="shared" ca="1" si="45"/>
        <v/>
      </c>
    </row>
    <row r="1511" spans="8:12" x14ac:dyDescent="0.3">
      <c r="H1511" s="7" t="str">
        <f>IF(B1511&lt;&gt;"Silicone","",IFERROR(XLOOKUP(D1511,#REF!,#REF!),""))</f>
        <v/>
      </c>
      <c r="J1511" s="7" t="str">
        <f ca="1">IFERROR(XLOOKUP(D1511,'Spec_Single_H&amp;S'!B:B,'Spec_Single_H&amp;S'!E:E),
IFERROR(XLOOKUP(D1511,#REF!,#REF!),""))</f>
        <v/>
      </c>
      <c r="K1511" s="7" t="str">
        <f ca="1">IFERROR(XLOOKUP(D1511,'Spec_Single_H&amp;S'!B:B,'Spec_Single_H&amp;S'!F:F),
IFERROR(XLOOKUP(D1511,#REF!,#REF!),""))</f>
        <v/>
      </c>
      <c r="L1511" s="7" t="str">
        <f t="shared" ca="1" si="45"/>
        <v/>
      </c>
    </row>
    <row r="1512" spans="8:12" x14ac:dyDescent="0.3">
      <c r="H1512" s="7" t="str">
        <f>IF(B1512&lt;&gt;"Silicone","",IFERROR(XLOOKUP(D1512,#REF!,#REF!),""))</f>
        <v/>
      </c>
      <c r="J1512" s="7" t="str">
        <f ca="1">IFERROR(XLOOKUP(D1512,'Spec_Single_H&amp;S'!B:B,'Spec_Single_H&amp;S'!E:E),
IFERROR(XLOOKUP(D1512,#REF!,#REF!),""))</f>
        <v/>
      </c>
      <c r="K1512" s="7" t="str">
        <f ca="1">IFERROR(XLOOKUP(D1512,'Spec_Single_H&amp;S'!B:B,'Spec_Single_H&amp;S'!F:F),
IFERROR(XLOOKUP(D1512,#REF!,#REF!),""))</f>
        <v/>
      </c>
      <c r="L1512" s="7" t="str">
        <f t="shared" ca="1" si="45"/>
        <v/>
      </c>
    </row>
    <row r="1513" spans="8:12" x14ac:dyDescent="0.3">
      <c r="H1513" s="7" t="str">
        <f>IF(B1513&lt;&gt;"Silicone","",IFERROR(XLOOKUP(D1513,#REF!,#REF!),""))</f>
        <v/>
      </c>
      <c r="J1513" s="7" t="str">
        <f ca="1">IFERROR(XLOOKUP(D1513,'Spec_Single_H&amp;S'!B:B,'Spec_Single_H&amp;S'!E:E),
IFERROR(XLOOKUP(D1513,#REF!,#REF!),""))</f>
        <v/>
      </c>
      <c r="K1513" s="7" t="str">
        <f ca="1">IFERROR(XLOOKUP(D1513,'Spec_Single_H&amp;S'!B:B,'Spec_Single_H&amp;S'!F:F),
IFERROR(XLOOKUP(D1513,#REF!,#REF!),""))</f>
        <v/>
      </c>
      <c r="L1513" s="7" t="str">
        <f t="shared" ca="1" si="45"/>
        <v/>
      </c>
    </row>
    <row r="1514" spans="8:12" x14ac:dyDescent="0.3">
      <c r="H1514" s="7" t="str">
        <f>IF(B1514&lt;&gt;"Silicone","",IFERROR(XLOOKUP(D1514,#REF!,#REF!),""))</f>
        <v/>
      </c>
      <c r="J1514" s="7" t="str">
        <f ca="1">IFERROR(XLOOKUP(D1514,'Spec_Single_H&amp;S'!B:B,'Spec_Single_H&amp;S'!E:E),
IFERROR(XLOOKUP(D1514,#REF!,#REF!),""))</f>
        <v/>
      </c>
      <c r="K1514" s="7" t="str">
        <f ca="1">IFERROR(XLOOKUP(D1514,'Spec_Single_H&amp;S'!B:B,'Spec_Single_H&amp;S'!F:F),
IFERROR(XLOOKUP(D1514,#REF!,#REF!),""))</f>
        <v/>
      </c>
      <c r="L1514" s="7" t="str">
        <f t="shared" ca="1" si="45"/>
        <v/>
      </c>
    </row>
    <row r="1515" spans="8:12" x14ac:dyDescent="0.3">
      <c r="H1515" s="7" t="str">
        <f>IF(B1515&lt;&gt;"Silicone","",IFERROR(XLOOKUP(D1515,#REF!,#REF!),""))</f>
        <v/>
      </c>
      <c r="J1515" s="7" t="str">
        <f ca="1">IFERROR(XLOOKUP(D1515,'Spec_Single_H&amp;S'!B:B,'Spec_Single_H&amp;S'!E:E),
IFERROR(XLOOKUP(D1515,#REF!,#REF!),""))</f>
        <v/>
      </c>
      <c r="K1515" s="7" t="str">
        <f ca="1">IFERROR(XLOOKUP(D1515,'Spec_Single_H&amp;S'!B:B,'Spec_Single_H&amp;S'!F:F),
IFERROR(XLOOKUP(D1515,#REF!,#REF!),""))</f>
        <v/>
      </c>
      <c r="L1515" s="7" t="str">
        <f t="shared" ca="1" si="45"/>
        <v/>
      </c>
    </row>
    <row r="1516" spans="8:12" x14ac:dyDescent="0.3">
      <c r="H1516" s="7" t="str">
        <f>IF(B1516&lt;&gt;"Silicone","",IFERROR(XLOOKUP(D1516,#REF!,#REF!),""))</f>
        <v/>
      </c>
      <c r="J1516" s="7" t="str">
        <f ca="1">IFERROR(XLOOKUP(D1516,'Spec_Single_H&amp;S'!B:B,'Spec_Single_H&amp;S'!E:E),
IFERROR(XLOOKUP(D1516,#REF!,#REF!),""))</f>
        <v/>
      </c>
      <c r="K1516" s="7" t="str">
        <f ca="1">IFERROR(XLOOKUP(D1516,'Spec_Single_H&amp;S'!B:B,'Spec_Single_H&amp;S'!F:F),
IFERROR(XLOOKUP(D1516,#REF!,#REF!),""))</f>
        <v/>
      </c>
      <c r="L1516" s="7" t="str">
        <f t="shared" ca="1" si="45"/>
        <v/>
      </c>
    </row>
    <row r="1517" spans="8:12" x14ac:dyDescent="0.3">
      <c r="H1517" s="7" t="str">
        <f>IF(B1517&lt;&gt;"Silicone","",IFERROR(XLOOKUP(D1517,#REF!,#REF!),""))</f>
        <v/>
      </c>
      <c r="J1517" s="7" t="str">
        <f ca="1">IFERROR(XLOOKUP(D1517,'Spec_Single_H&amp;S'!B:B,'Spec_Single_H&amp;S'!E:E),
IFERROR(XLOOKUP(D1517,#REF!,#REF!),""))</f>
        <v/>
      </c>
      <c r="K1517" s="7" t="str">
        <f ca="1">IFERROR(XLOOKUP(D1517,'Spec_Single_H&amp;S'!B:B,'Spec_Single_H&amp;S'!F:F),
IFERROR(XLOOKUP(D1517,#REF!,#REF!),""))</f>
        <v/>
      </c>
      <c r="L1517" s="7" t="str">
        <f t="shared" ca="1" si="45"/>
        <v/>
      </c>
    </row>
    <row r="1518" spans="8:12" x14ac:dyDescent="0.3">
      <c r="H1518" s="7" t="str">
        <f>IF(B1518&lt;&gt;"Silicone","",IFERROR(XLOOKUP(D1518,#REF!,#REF!),""))</f>
        <v/>
      </c>
      <c r="J1518" s="7" t="str">
        <f ca="1">IFERROR(XLOOKUP(D1518,'Spec_Single_H&amp;S'!B:B,'Spec_Single_H&amp;S'!E:E),
IFERROR(XLOOKUP(D1518,#REF!,#REF!),""))</f>
        <v/>
      </c>
      <c r="K1518" s="7" t="str">
        <f ca="1">IFERROR(XLOOKUP(D1518,'Spec_Single_H&amp;S'!B:B,'Spec_Single_H&amp;S'!F:F),
IFERROR(XLOOKUP(D1518,#REF!,#REF!),""))</f>
        <v/>
      </c>
      <c r="L1518" s="7" t="str">
        <f t="shared" ca="1" si="45"/>
        <v/>
      </c>
    </row>
    <row r="1519" spans="8:12" x14ac:dyDescent="0.3">
      <c r="H1519" s="7" t="str">
        <f>IF(B1519&lt;&gt;"Silicone","",IFERROR(XLOOKUP(D1519,#REF!,#REF!),""))</f>
        <v/>
      </c>
      <c r="J1519" s="7" t="str">
        <f ca="1">IFERROR(XLOOKUP(D1519,'Spec_Single_H&amp;S'!B:B,'Spec_Single_H&amp;S'!E:E),
IFERROR(XLOOKUP(D1519,#REF!,#REF!),""))</f>
        <v/>
      </c>
      <c r="K1519" s="7" t="str">
        <f ca="1">IFERROR(XLOOKUP(D1519,'Spec_Single_H&amp;S'!B:B,'Spec_Single_H&amp;S'!F:F),
IFERROR(XLOOKUP(D1519,#REF!,#REF!),""))</f>
        <v/>
      </c>
      <c r="L1519" s="7" t="str">
        <f t="shared" ca="1" si="45"/>
        <v/>
      </c>
    </row>
    <row r="1520" spans="8:12" x14ac:dyDescent="0.3">
      <c r="H1520" s="7" t="str">
        <f>IF(B1520&lt;&gt;"Silicone","",IFERROR(XLOOKUP(D1520,#REF!,#REF!),""))</f>
        <v/>
      </c>
      <c r="J1520" s="7" t="str">
        <f ca="1">IFERROR(XLOOKUP(D1520,'Spec_Single_H&amp;S'!B:B,'Spec_Single_H&amp;S'!E:E),
IFERROR(XLOOKUP(D1520,#REF!,#REF!),""))</f>
        <v/>
      </c>
      <c r="K1520" s="7" t="str">
        <f ca="1">IFERROR(XLOOKUP(D1520,'Spec_Single_H&amp;S'!B:B,'Spec_Single_H&amp;S'!F:F),
IFERROR(XLOOKUP(D1520,#REF!,#REF!),""))</f>
        <v/>
      </c>
      <c r="L1520" s="7" t="str">
        <f t="shared" ca="1" si="45"/>
        <v/>
      </c>
    </row>
    <row r="1521" spans="8:12" x14ac:dyDescent="0.3">
      <c r="H1521" s="7" t="str">
        <f>IF(B1521&lt;&gt;"Silicone","",IFERROR(XLOOKUP(D1521,#REF!,#REF!),""))</f>
        <v/>
      </c>
      <c r="J1521" s="7" t="str">
        <f ca="1">IFERROR(XLOOKUP(D1521,'Spec_Single_H&amp;S'!B:B,'Spec_Single_H&amp;S'!E:E),
IFERROR(XLOOKUP(D1521,#REF!,#REF!),""))</f>
        <v/>
      </c>
      <c r="K1521" s="7" t="str">
        <f ca="1">IFERROR(XLOOKUP(D1521,'Spec_Single_H&amp;S'!B:B,'Spec_Single_H&amp;S'!F:F),
IFERROR(XLOOKUP(D1521,#REF!,#REF!),""))</f>
        <v/>
      </c>
      <c r="L1521" s="7" t="str">
        <f t="shared" ca="1" si="45"/>
        <v/>
      </c>
    </row>
    <row r="1522" spans="8:12" x14ac:dyDescent="0.3">
      <c r="H1522" s="7" t="str">
        <f>IF(B1522&lt;&gt;"Silicone","",IFERROR(XLOOKUP(D1522,#REF!,#REF!),""))</f>
        <v/>
      </c>
      <c r="J1522" s="7" t="str">
        <f ca="1">IFERROR(XLOOKUP(D1522,'Spec_Single_H&amp;S'!B:B,'Spec_Single_H&amp;S'!E:E),
IFERROR(XLOOKUP(D1522,#REF!,#REF!),""))</f>
        <v/>
      </c>
      <c r="K1522" s="7" t="str">
        <f ca="1">IFERROR(XLOOKUP(D1522,'Spec_Single_H&amp;S'!B:B,'Spec_Single_H&amp;S'!F:F),
IFERROR(XLOOKUP(D1522,#REF!,#REF!),""))</f>
        <v/>
      </c>
      <c r="L1522" s="7" t="str">
        <f t="shared" ca="1" si="45"/>
        <v/>
      </c>
    </row>
    <row r="1523" spans="8:12" x14ac:dyDescent="0.3">
      <c r="H1523" s="7" t="str">
        <f>IF(B1523&lt;&gt;"Silicone","",IFERROR(XLOOKUP(D1523,#REF!,#REF!),""))</f>
        <v/>
      </c>
      <c r="J1523" s="7" t="str">
        <f ca="1">IFERROR(XLOOKUP(D1523,'Spec_Single_H&amp;S'!B:B,'Spec_Single_H&amp;S'!E:E),
IFERROR(XLOOKUP(D1523,#REF!,#REF!),""))</f>
        <v/>
      </c>
      <c r="K1523" s="7" t="str">
        <f ca="1">IFERROR(XLOOKUP(D1523,'Spec_Single_H&amp;S'!B:B,'Spec_Single_H&amp;S'!F:F),
IFERROR(XLOOKUP(D1523,#REF!,#REF!),""))</f>
        <v/>
      </c>
      <c r="L1523" s="7" t="str">
        <f t="shared" ca="1" si="45"/>
        <v/>
      </c>
    </row>
    <row r="1524" spans="8:12" x14ac:dyDescent="0.3">
      <c r="H1524" s="7" t="str">
        <f>IF(B1524&lt;&gt;"Silicone","",IFERROR(XLOOKUP(D1524,#REF!,#REF!),""))</f>
        <v/>
      </c>
      <c r="J1524" s="7" t="str">
        <f ca="1">IFERROR(XLOOKUP(D1524,'Spec_Single_H&amp;S'!B:B,'Spec_Single_H&amp;S'!E:E),
IFERROR(XLOOKUP(D1524,#REF!,#REF!),""))</f>
        <v/>
      </c>
      <c r="K1524" s="7" t="str">
        <f ca="1">IFERROR(XLOOKUP(D1524,'Spec_Single_H&amp;S'!B:B,'Spec_Single_H&amp;S'!F:F),
IFERROR(XLOOKUP(D1524,#REF!,#REF!),""))</f>
        <v/>
      </c>
      <c r="L1524" s="7" t="str">
        <f t="shared" ca="1" si="45"/>
        <v/>
      </c>
    </row>
    <row r="1525" spans="8:12" x14ac:dyDescent="0.3">
      <c r="H1525" s="7" t="str">
        <f>IF(B1525&lt;&gt;"Silicone","",IFERROR(XLOOKUP(D1525,#REF!,#REF!),""))</f>
        <v/>
      </c>
      <c r="J1525" s="7" t="str">
        <f ca="1">IFERROR(XLOOKUP(D1525,'Spec_Single_H&amp;S'!B:B,'Spec_Single_H&amp;S'!E:E),
IFERROR(XLOOKUP(D1525,#REF!,#REF!),""))</f>
        <v/>
      </c>
      <c r="K1525" s="7" t="str">
        <f ca="1">IFERROR(XLOOKUP(D1525,'Spec_Single_H&amp;S'!B:B,'Spec_Single_H&amp;S'!F:F),
IFERROR(XLOOKUP(D1525,#REF!,#REF!),""))</f>
        <v/>
      </c>
      <c r="L1525" s="7" t="str">
        <f t="shared" ca="1" si="45"/>
        <v/>
      </c>
    </row>
    <row r="1526" spans="8:12" x14ac:dyDescent="0.3">
      <c r="H1526" s="7" t="str">
        <f>IF(B1526&lt;&gt;"Silicone","",IFERROR(XLOOKUP(D1526,#REF!,#REF!),""))</f>
        <v/>
      </c>
      <c r="J1526" s="7" t="str">
        <f ca="1">IFERROR(XLOOKUP(D1526,'Spec_Single_H&amp;S'!B:B,'Spec_Single_H&amp;S'!E:E),
IFERROR(XLOOKUP(D1526,#REF!,#REF!),""))</f>
        <v/>
      </c>
      <c r="K1526" s="7" t="str">
        <f ca="1">IFERROR(XLOOKUP(D1526,'Spec_Single_H&amp;S'!B:B,'Spec_Single_H&amp;S'!F:F),
IFERROR(XLOOKUP(D1526,#REF!,#REF!),""))</f>
        <v/>
      </c>
      <c r="L1526" s="7" t="str">
        <f t="shared" ca="1" si="45"/>
        <v/>
      </c>
    </row>
    <row r="1527" spans="8:12" x14ac:dyDescent="0.3">
      <c r="H1527" s="7" t="str">
        <f>IF(B1527&lt;&gt;"Silicone","",IFERROR(XLOOKUP(D1527,#REF!,#REF!),""))</f>
        <v/>
      </c>
      <c r="J1527" s="7" t="str">
        <f ca="1">IFERROR(XLOOKUP(D1527,'Spec_Single_H&amp;S'!B:B,'Spec_Single_H&amp;S'!E:E),
IFERROR(XLOOKUP(D1527,#REF!,#REF!),""))</f>
        <v/>
      </c>
      <c r="K1527" s="7" t="str">
        <f ca="1">IFERROR(XLOOKUP(D1527,'Spec_Single_H&amp;S'!B:B,'Spec_Single_H&amp;S'!F:F),
IFERROR(XLOOKUP(D1527,#REF!,#REF!),""))</f>
        <v/>
      </c>
      <c r="L1527" s="7" t="str">
        <f t="shared" ca="1" si="45"/>
        <v/>
      </c>
    </row>
    <row r="1528" spans="8:12" x14ac:dyDescent="0.3">
      <c r="H1528" s="7" t="str">
        <f>IF(B1528&lt;&gt;"Silicone","",IFERROR(XLOOKUP(D1528,#REF!,#REF!),""))</f>
        <v/>
      </c>
      <c r="J1528" s="7" t="str">
        <f ca="1">IFERROR(XLOOKUP(D1528,'Spec_Single_H&amp;S'!B:B,'Spec_Single_H&amp;S'!E:E),
IFERROR(XLOOKUP(D1528,#REF!,#REF!),""))</f>
        <v/>
      </c>
      <c r="K1528" s="7" t="str">
        <f ca="1">IFERROR(XLOOKUP(D1528,'Spec_Single_H&amp;S'!B:B,'Spec_Single_H&amp;S'!F:F),
IFERROR(XLOOKUP(D1528,#REF!,#REF!),""))</f>
        <v/>
      </c>
      <c r="L1528" s="7" t="str">
        <f t="shared" ca="1" si="45"/>
        <v/>
      </c>
    </row>
    <row r="1529" spans="8:12" x14ac:dyDescent="0.3">
      <c r="H1529" s="7" t="str">
        <f>IF(B1529&lt;&gt;"Silicone","",IFERROR(XLOOKUP(D1529,#REF!,#REF!),""))</f>
        <v/>
      </c>
      <c r="J1529" s="7" t="str">
        <f ca="1">IFERROR(XLOOKUP(D1529,'Spec_Single_H&amp;S'!B:B,'Spec_Single_H&amp;S'!E:E),
IFERROR(XLOOKUP(D1529,#REF!,#REF!),""))</f>
        <v/>
      </c>
      <c r="K1529" s="7" t="str">
        <f ca="1">IFERROR(XLOOKUP(D1529,'Spec_Single_H&amp;S'!B:B,'Spec_Single_H&amp;S'!F:F),
IFERROR(XLOOKUP(D1529,#REF!,#REF!),""))</f>
        <v/>
      </c>
      <c r="L1529" s="7" t="str">
        <f t="shared" ca="1" si="45"/>
        <v/>
      </c>
    </row>
    <row r="1530" spans="8:12" x14ac:dyDescent="0.3">
      <c r="H1530" s="7" t="str">
        <f>IF(B1530&lt;&gt;"Silicone","",IFERROR(XLOOKUP(D1530,#REF!,#REF!),""))</f>
        <v/>
      </c>
      <c r="J1530" s="7" t="str">
        <f ca="1">IFERROR(XLOOKUP(D1530,'Spec_Single_H&amp;S'!B:B,'Spec_Single_H&amp;S'!E:E),
IFERROR(XLOOKUP(D1530,#REF!,#REF!),""))</f>
        <v/>
      </c>
      <c r="K1530" s="7" t="str">
        <f ca="1">IFERROR(XLOOKUP(D1530,'Spec_Single_H&amp;S'!B:B,'Spec_Single_H&amp;S'!F:F),
IFERROR(XLOOKUP(D1530,#REF!,#REF!),""))</f>
        <v/>
      </c>
      <c r="L1530" s="7" t="str">
        <f t="shared" ca="1" si="45"/>
        <v/>
      </c>
    </row>
    <row r="1531" spans="8:12" x14ac:dyDescent="0.3">
      <c r="H1531" s="7" t="str">
        <f>IF(B1531&lt;&gt;"Silicone","",IFERROR(XLOOKUP(D1531,#REF!,#REF!),""))</f>
        <v/>
      </c>
      <c r="J1531" s="7" t="str">
        <f ca="1">IFERROR(XLOOKUP(D1531,'Spec_Single_H&amp;S'!B:B,'Spec_Single_H&amp;S'!E:E),
IFERROR(XLOOKUP(D1531,#REF!,#REF!),""))</f>
        <v/>
      </c>
      <c r="K1531" s="7" t="str">
        <f ca="1">IFERROR(XLOOKUP(D1531,'Spec_Single_H&amp;S'!B:B,'Spec_Single_H&amp;S'!F:F),
IFERROR(XLOOKUP(D1531,#REF!,#REF!),""))</f>
        <v/>
      </c>
      <c r="L1531" s="7" t="str">
        <f t="shared" ca="1" si="45"/>
        <v/>
      </c>
    </row>
    <row r="1532" spans="8:12" x14ac:dyDescent="0.3">
      <c r="H1532" s="7" t="str">
        <f>IF(B1532&lt;&gt;"Silicone","",IFERROR(XLOOKUP(D1532,#REF!,#REF!),""))</f>
        <v/>
      </c>
      <c r="J1532" s="7" t="str">
        <f ca="1">IFERROR(XLOOKUP(D1532,'Spec_Single_H&amp;S'!B:B,'Spec_Single_H&amp;S'!E:E),
IFERROR(XLOOKUP(D1532,#REF!,#REF!),""))</f>
        <v/>
      </c>
      <c r="K1532" s="7" t="str">
        <f ca="1">IFERROR(XLOOKUP(D1532,'Spec_Single_H&amp;S'!B:B,'Spec_Single_H&amp;S'!F:F),
IFERROR(XLOOKUP(D1532,#REF!,#REF!),""))</f>
        <v/>
      </c>
      <c r="L1532" s="7" t="str">
        <f t="shared" ca="1" si="45"/>
        <v/>
      </c>
    </row>
    <row r="1533" spans="8:12" x14ac:dyDescent="0.3">
      <c r="H1533" s="7" t="str">
        <f>IF(B1533&lt;&gt;"Silicone","",IFERROR(XLOOKUP(D1533,#REF!,#REF!),""))</f>
        <v/>
      </c>
      <c r="J1533" s="7" t="str">
        <f ca="1">IFERROR(XLOOKUP(D1533,'Spec_Single_H&amp;S'!B:B,'Spec_Single_H&amp;S'!E:E),
IFERROR(XLOOKUP(D1533,#REF!,#REF!),""))</f>
        <v/>
      </c>
      <c r="K1533" s="7" t="str">
        <f ca="1">IFERROR(XLOOKUP(D1533,'Spec_Single_H&amp;S'!B:B,'Spec_Single_H&amp;S'!F:F),
IFERROR(XLOOKUP(D1533,#REF!,#REF!),""))</f>
        <v/>
      </c>
      <c r="L1533" s="7" t="str">
        <f t="shared" ca="1" si="45"/>
        <v/>
      </c>
    </row>
    <row r="1534" spans="8:12" x14ac:dyDescent="0.3">
      <c r="H1534" s="7" t="str">
        <f>IF(B1534&lt;&gt;"Silicone","",IFERROR(XLOOKUP(D1534,#REF!,#REF!),""))</f>
        <v/>
      </c>
      <c r="J1534" s="7" t="str">
        <f ca="1">IFERROR(XLOOKUP(D1534,'Spec_Single_H&amp;S'!B:B,'Spec_Single_H&amp;S'!E:E),
IFERROR(XLOOKUP(D1534,#REF!,#REF!),""))</f>
        <v/>
      </c>
      <c r="K1534" s="7" t="str">
        <f ca="1">IFERROR(XLOOKUP(D1534,'Spec_Single_H&amp;S'!B:B,'Spec_Single_H&amp;S'!F:F),
IFERROR(XLOOKUP(D1534,#REF!,#REF!),""))</f>
        <v/>
      </c>
      <c r="L1534" s="7" t="str">
        <f t="shared" ca="1" si="45"/>
        <v/>
      </c>
    </row>
    <row r="1535" spans="8:12" x14ac:dyDescent="0.3">
      <c r="H1535" s="7" t="str">
        <f>IF(B1535&lt;&gt;"Silicone","",IFERROR(XLOOKUP(D1535,#REF!,#REF!),""))</f>
        <v/>
      </c>
      <c r="J1535" s="7" t="str">
        <f ca="1">IFERROR(XLOOKUP(D1535,'Spec_Single_H&amp;S'!B:B,'Spec_Single_H&amp;S'!E:E),
IFERROR(XLOOKUP(D1535,#REF!,#REF!),""))</f>
        <v/>
      </c>
      <c r="K1535" s="7" t="str">
        <f ca="1">IFERROR(XLOOKUP(D1535,'Spec_Single_H&amp;S'!B:B,'Spec_Single_H&amp;S'!F:F),
IFERROR(XLOOKUP(D1535,#REF!,#REF!),""))</f>
        <v/>
      </c>
      <c r="L1535" s="7" t="str">
        <f t="shared" ca="1" si="45"/>
        <v/>
      </c>
    </row>
    <row r="1536" spans="8:12" x14ac:dyDescent="0.3">
      <c r="H1536" s="7" t="str">
        <f>IF(B1536&lt;&gt;"Silicone","",IFERROR(XLOOKUP(D1536,#REF!,#REF!),""))</f>
        <v/>
      </c>
      <c r="J1536" s="7" t="str">
        <f ca="1">IFERROR(XLOOKUP(D1536,'Spec_Single_H&amp;S'!B:B,'Spec_Single_H&amp;S'!E:E),
IFERROR(XLOOKUP(D1536,#REF!,#REF!),""))</f>
        <v/>
      </c>
      <c r="K1536" s="7" t="str">
        <f ca="1">IFERROR(XLOOKUP(D1536,'Spec_Single_H&amp;S'!B:B,'Spec_Single_H&amp;S'!F:F),
IFERROR(XLOOKUP(D1536,#REF!,#REF!),""))</f>
        <v/>
      </c>
      <c r="L1536" s="7" t="str">
        <f t="shared" ca="1" si="45"/>
        <v/>
      </c>
    </row>
    <row r="1537" spans="8:12" x14ac:dyDescent="0.3">
      <c r="H1537" s="7" t="str">
        <f>IF(B1537&lt;&gt;"Silicone","",IFERROR(XLOOKUP(D1537,#REF!,#REF!),""))</f>
        <v/>
      </c>
      <c r="J1537" s="7" t="str">
        <f ca="1">IFERROR(XLOOKUP(D1537,'Spec_Single_H&amp;S'!B:B,'Spec_Single_H&amp;S'!E:E),
IFERROR(XLOOKUP(D1537,#REF!,#REF!),""))</f>
        <v/>
      </c>
      <c r="K1537" s="7" t="str">
        <f ca="1">IFERROR(XLOOKUP(D1537,'Spec_Single_H&amp;S'!B:B,'Spec_Single_H&amp;S'!F:F),
IFERROR(XLOOKUP(D1537,#REF!,#REF!),""))</f>
        <v/>
      </c>
      <c r="L1537" s="7" t="str">
        <f t="shared" ca="1" si="45"/>
        <v/>
      </c>
    </row>
    <row r="1538" spans="8:12" x14ac:dyDescent="0.3">
      <c r="H1538" s="7" t="str">
        <f>IF(B1538&lt;&gt;"Silicone","",IFERROR(XLOOKUP(D1538,#REF!,#REF!),""))</f>
        <v/>
      </c>
      <c r="J1538" s="7" t="str">
        <f ca="1">IFERROR(XLOOKUP(D1538,'Spec_Single_H&amp;S'!B:B,'Spec_Single_H&amp;S'!E:E),
IFERROR(XLOOKUP(D1538,#REF!,#REF!),""))</f>
        <v/>
      </c>
      <c r="K1538" s="7" t="str">
        <f ca="1">IFERROR(XLOOKUP(D1538,'Spec_Single_H&amp;S'!B:B,'Spec_Single_H&amp;S'!F:F),
IFERROR(XLOOKUP(D1538,#REF!,#REF!),""))</f>
        <v/>
      </c>
      <c r="L1538" s="7" t="str">
        <f t="shared" ca="1" si="45"/>
        <v/>
      </c>
    </row>
    <row r="1539" spans="8:12" x14ac:dyDescent="0.3">
      <c r="H1539" s="7" t="str">
        <f>IF(B1539&lt;&gt;"Silicone","",IFERROR(XLOOKUP(D1539,#REF!,#REF!),""))</f>
        <v/>
      </c>
      <c r="J1539" s="7" t="str">
        <f ca="1">IFERROR(XLOOKUP(D1539,'Spec_Single_H&amp;S'!B:B,'Spec_Single_H&amp;S'!E:E),
IFERROR(XLOOKUP(D1539,#REF!,#REF!),""))</f>
        <v/>
      </c>
      <c r="K1539" s="7" t="str">
        <f ca="1">IFERROR(XLOOKUP(D1539,'Spec_Single_H&amp;S'!B:B,'Spec_Single_H&amp;S'!F:F),
IFERROR(XLOOKUP(D1539,#REF!,#REF!),""))</f>
        <v/>
      </c>
      <c r="L1539" s="7" t="str">
        <f t="shared" ca="1" si="45"/>
        <v/>
      </c>
    </row>
    <row r="1540" spans="8:12" x14ac:dyDescent="0.3">
      <c r="H1540" s="7" t="str">
        <f>IF(B1540&lt;&gt;"Silicone","",IFERROR(XLOOKUP(D1540,#REF!,#REF!),""))</f>
        <v/>
      </c>
      <c r="J1540" s="7" t="str">
        <f ca="1">IFERROR(XLOOKUP(D1540,'Spec_Single_H&amp;S'!B:B,'Spec_Single_H&amp;S'!E:E),
IFERROR(XLOOKUP(D1540,#REF!,#REF!),""))</f>
        <v/>
      </c>
      <c r="K1540" s="7" t="str">
        <f ca="1">IFERROR(XLOOKUP(D1540,'Spec_Single_H&amp;S'!B:B,'Spec_Single_H&amp;S'!F:F),
IFERROR(XLOOKUP(D1540,#REF!,#REF!),""))</f>
        <v/>
      </c>
      <c r="L1540" s="7" t="str">
        <f t="shared" ca="1" si="45"/>
        <v/>
      </c>
    </row>
    <row r="1541" spans="8:12" x14ac:dyDescent="0.3">
      <c r="H1541" s="7" t="str">
        <f>IF(B1541&lt;&gt;"Silicone","",IFERROR(XLOOKUP(D1541,#REF!,#REF!),""))</f>
        <v/>
      </c>
      <c r="J1541" s="7" t="str">
        <f ca="1">IFERROR(XLOOKUP(D1541,'Spec_Single_H&amp;S'!B:B,'Spec_Single_H&amp;S'!E:E),
IFERROR(XLOOKUP(D1541,#REF!,#REF!),""))</f>
        <v/>
      </c>
      <c r="K1541" s="7" t="str">
        <f ca="1">IFERROR(XLOOKUP(D1541,'Spec_Single_H&amp;S'!B:B,'Spec_Single_H&amp;S'!F:F),
IFERROR(XLOOKUP(D1541,#REF!,#REF!),""))</f>
        <v/>
      </c>
      <c r="L1541" s="7" t="str">
        <f t="shared" ca="1" si="45"/>
        <v/>
      </c>
    </row>
    <row r="1542" spans="8:12" x14ac:dyDescent="0.3">
      <c r="H1542" s="7" t="str">
        <f>IF(B1542&lt;&gt;"Silicone","",IFERROR(XLOOKUP(D1542,#REF!,#REF!),""))</f>
        <v/>
      </c>
      <c r="J1542" s="7" t="str">
        <f ca="1">IFERROR(XLOOKUP(D1542,'Spec_Single_H&amp;S'!B:B,'Spec_Single_H&amp;S'!E:E),
IFERROR(XLOOKUP(D1542,#REF!,#REF!),""))</f>
        <v/>
      </c>
      <c r="K1542" s="7" t="str">
        <f ca="1">IFERROR(XLOOKUP(D1542,'Spec_Single_H&amp;S'!B:B,'Spec_Single_H&amp;S'!F:F),
IFERROR(XLOOKUP(D1542,#REF!,#REF!),""))</f>
        <v/>
      </c>
      <c r="L1542" s="7" t="str">
        <f t="shared" ca="1" si="45"/>
        <v/>
      </c>
    </row>
    <row r="1543" spans="8:12" x14ac:dyDescent="0.3">
      <c r="H1543" s="7" t="str">
        <f>IF(B1543&lt;&gt;"Silicone","",IFERROR(XLOOKUP(D1543,#REF!,#REF!),""))</f>
        <v/>
      </c>
      <c r="J1543" s="7" t="str">
        <f ca="1">IFERROR(XLOOKUP(D1543,'Spec_Single_H&amp;S'!B:B,'Spec_Single_H&amp;S'!E:E),
IFERROR(XLOOKUP(D1543,#REF!,#REF!),""))</f>
        <v/>
      </c>
      <c r="K1543" s="7" t="str">
        <f ca="1">IFERROR(XLOOKUP(D1543,'Spec_Single_H&amp;S'!B:B,'Spec_Single_H&amp;S'!F:F),
IFERROR(XLOOKUP(D1543,#REF!,#REF!),""))</f>
        <v/>
      </c>
      <c r="L1543" s="7" t="str">
        <f t="shared" ca="1" si="45"/>
        <v/>
      </c>
    </row>
    <row r="1544" spans="8:12" x14ac:dyDescent="0.3">
      <c r="H1544" s="7" t="str">
        <f>IF(B1544&lt;&gt;"Silicone","",IFERROR(XLOOKUP(D1544,#REF!,#REF!),""))</f>
        <v/>
      </c>
      <c r="J1544" s="7" t="str">
        <f ca="1">IFERROR(XLOOKUP(D1544,'Spec_Single_H&amp;S'!B:B,'Spec_Single_H&amp;S'!E:E),
IFERROR(XLOOKUP(D1544,#REF!,#REF!),""))</f>
        <v/>
      </c>
      <c r="K1544" s="7" t="str">
        <f ca="1">IFERROR(XLOOKUP(D1544,'Spec_Single_H&amp;S'!B:B,'Spec_Single_H&amp;S'!F:F),
IFERROR(XLOOKUP(D1544,#REF!,#REF!),""))</f>
        <v/>
      </c>
      <c r="L1544" s="7" t="str">
        <f t="shared" ref="L1544:L1607" ca="1" si="46">IF(AND(NOT(ISBLANK(I1544)),I1544&gt;=J1544,I1544&lt;=K1544),"적합",IF(ISBLANK(I1544),"", "부적합"))</f>
        <v/>
      </c>
    </row>
    <row r="1545" spans="8:12" x14ac:dyDescent="0.3">
      <c r="H1545" s="7" t="str">
        <f>IF(B1545&lt;&gt;"Silicone","",IFERROR(XLOOKUP(D1545,#REF!,#REF!),""))</f>
        <v/>
      </c>
      <c r="J1545" s="7" t="str">
        <f ca="1">IFERROR(XLOOKUP(D1545,'Spec_Single_H&amp;S'!B:B,'Spec_Single_H&amp;S'!E:E),
IFERROR(XLOOKUP(D1545,#REF!,#REF!),""))</f>
        <v/>
      </c>
      <c r="K1545" s="7" t="str">
        <f ca="1">IFERROR(XLOOKUP(D1545,'Spec_Single_H&amp;S'!B:B,'Spec_Single_H&amp;S'!F:F),
IFERROR(XLOOKUP(D1545,#REF!,#REF!),""))</f>
        <v/>
      </c>
      <c r="L1545" s="7" t="str">
        <f t="shared" ca="1" si="46"/>
        <v/>
      </c>
    </row>
    <row r="1546" spans="8:12" x14ac:dyDescent="0.3">
      <c r="H1546" s="7" t="str">
        <f>IF(B1546&lt;&gt;"Silicone","",IFERROR(XLOOKUP(D1546,#REF!,#REF!),""))</f>
        <v/>
      </c>
      <c r="J1546" s="7" t="str">
        <f ca="1">IFERROR(XLOOKUP(D1546,'Spec_Single_H&amp;S'!B:B,'Spec_Single_H&amp;S'!E:E),
IFERROR(XLOOKUP(D1546,#REF!,#REF!),""))</f>
        <v/>
      </c>
      <c r="K1546" s="7" t="str">
        <f ca="1">IFERROR(XLOOKUP(D1546,'Spec_Single_H&amp;S'!B:B,'Spec_Single_H&amp;S'!F:F),
IFERROR(XLOOKUP(D1546,#REF!,#REF!),""))</f>
        <v/>
      </c>
      <c r="L1546" s="7" t="str">
        <f t="shared" ca="1" si="46"/>
        <v/>
      </c>
    </row>
    <row r="1547" spans="8:12" x14ac:dyDescent="0.3">
      <c r="H1547" s="7" t="str">
        <f>IF(B1547&lt;&gt;"Silicone","",IFERROR(XLOOKUP(D1547,#REF!,#REF!),""))</f>
        <v/>
      </c>
      <c r="J1547" s="7" t="str">
        <f ca="1">IFERROR(XLOOKUP(D1547,'Spec_Single_H&amp;S'!B:B,'Spec_Single_H&amp;S'!E:E),
IFERROR(XLOOKUP(D1547,#REF!,#REF!),""))</f>
        <v/>
      </c>
      <c r="K1547" s="7" t="str">
        <f ca="1">IFERROR(XLOOKUP(D1547,'Spec_Single_H&amp;S'!B:B,'Spec_Single_H&amp;S'!F:F),
IFERROR(XLOOKUP(D1547,#REF!,#REF!),""))</f>
        <v/>
      </c>
      <c r="L1547" s="7" t="str">
        <f t="shared" ca="1" si="46"/>
        <v/>
      </c>
    </row>
    <row r="1548" spans="8:12" x14ac:dyDescent="0.3">
      <c r="H1548" s="7" t="str">
        <f>IF(B1548&lt;&gt;"Silicone","",IFERROR(XLOOKUP(D1548,#REF!,#REF!),""))</f>
        <v/>
      </c>
      <c r="J1548" s="7" t="str">
        <f ca="1">IFERROR(XLOOKUP(D1548,'Spec_Single_H&amp;S'!B:B,'Spec_Single_H&amp;S'!E:E),
IFERROR(XLOOKUP(D1548,#REF!,#REF!),""))</f>
        <v/>
      </c>
      <c r="K1548" s="7" t="str">
        <f ca="1">IFERROR(XLOOKUP(D1548,'Spec_Single_H&amp;S'!B:B,'Spec_Single_H&amp;S'!F:F),
IFERROR(XLOOKUP(D1548,#REF!,#REF!),""))</f>
        <v/>
      </c>
      <c r="L1548" s="7" t="str">
        <f t="shared" ca="1" si="46"/>
        <v/>
      </c>
    </row>
    <row r="1549" spans="8:12" x14ac:dyDescent="0.3">
      <c r="H1549" s="7" t="str">
        <f>IF(B1549&lt;&gt;"Silicone","",IFERROR(XLOOKUP(D1549,#REF!,#REF!),""))</f>
        <v/>
      </c>
      <c r="J1549" s="7" t="str">
        <f ca="1">IFERROR(XLOOKUP(D1549,'Spec_Single_H&amp;S'!B:B,'Spec_Single_H&amp;S'!E:E),
IFERROR(XLOOKUP(D1549,#REF!,#REF!),""))</f>
        <v/>
      </c>
      <c r="K1549" s="7" t="str">
        <f ca="1">IFERROR(XLOOKUP(D1549,'Spec_Single_H&amp;S'!B:B,'Spec_Single_H&amp;S'!F:F),
IFERROR(XLOOKUP(D1549,#REF!,#REF!),""))</f>
        <v/>
      </c>
      <c r="L1549" s="7" t="str">
        <f t="shared" ca="1" si="46"/>
        <v/>
      </c>
    </row>
    <row r="1550" spans="8:12" x14ac:dyDescent="0.3">
      <c r="H1550" s="7" t="str">
        <f>IF(B1550&lt;&gt;"Silicone","",IFERROR(XLOOKUP(D1550,#REF!,#REF!),""))</f>
        <v/>
      </c>
      <c r="J1550" s="7" t="str">
        <f ca="1">IFERROR(XLOOKUP(D1550,'Spec_Single_H&amp;S'!B:B,'Spec_Single_H&amp;S'!E:E),
IFERROR(XLOOKUP(D1550,#REF!,#REF!),""))</f>
        <v/>
      </c>
      <c r="K1550" s="7" t="str">
        <f ca="1">IFERROR(XLOOKUP(D1550,'Spec_Single_H&amp;S'!B:B,'Spec_Single_H&amp;S'!F:F),
IFERROR(XLOOKUP(D1550,#REF!,#REF!),""))</f>
        <v/>
      </c>
      <c r="L1550" s="7" t="str">
        <f t="shared" ca="1" si="46"/>
        <v/>
      </c>
    </row>
    <row r="1551" spans="8:12" x14ac:dyDescent="0.3">
      <c r="H1551" s="7" t="str">
        <f>IF(B1551&lt;&gt;"Silicone","",IFERROR(XLOOKUP(D1551,#REF!,#REF!),""))</f>
        <v/>
      </c>
      <c r="J1551" s="7" t="str">
        <f ca="1">IFERROR(XLOOKUP(D1551,'Spec_Single_H&amp;S'!B:B,'Spec_Single_H&amp;S'!E:E),
IFERROR(XLOOKUP(D1551,#REF!,#REF!),""))</f>
        <v/>
      </c>
      <c r="K1551" s="7" t="str">
        <f ca="1">IFERROR(XLOOKUP(D1551,'Spec_Single_H&amp;S'!B:B,'Spec_Single_H&amp;S'!F:F),
IFERROR(XLOOKUP(D1551,#REF!,#REF!),""))</f>
        <v/>
      </c>
      <c r="L1551" s="7" t="str">
        <f t="shared" ca="1" si="46"/>
        <v/>
      </c>
    </row>
    <row r="1552" spans="8:12" x14ac:dyDescent="0.3">
      <c r="H1552" s="7" t="str">
        <f>IF(B1552&lt;&gt;"Silicone","",IFERROR(XLOOKUP(D1552,#REF!,#REF!),""))</f>
        <v/>
      </c>
      <c r="J1552" s="7" t="str">
        <f ca="1">IFERROR(XLOOKUP(D1552,'Spec_Single_H&amp;S'!B:B,'Spec_Single_H&amp;S'!E:E),
IFERROR(XLOOKUP(D1552,#REF!,#REF!),""))</f>
        <v/>
      </c>
      <c r="K1552" s="7" t="str">
        <f ca="1">IFERROR(XLOOKUP(D1552,'Spec_Single_H&amp;S'!B:B,'Spec_Single_H&amp;S'!F:F),
IFERROR(XLOOKUP(D1552,#REF!,#REF!),""))</f>
        <v/>
      </c>
      <c r="L1552" s="7" t="str">
        <f t="shared" ca="1" si="46"/>
        <v/>
      </c>
    </row>
    <row r="1553" spans="8:12" x14ac:dyDescent="0.3">
      <c r="H1553" s="7" t="str">
        <f>IF(B1553&lt;&gt;"Silicone","",IFERROR(XLOOKUP(D1553,#REF!,#REF!),""))</f>
        <v/>
      </c>
      <c r="J1553" s="7" t="str">
        <f ca="1">IFERROR(XLOOKUP(D1553,'Spec_Single_H&amp;S'!B:B,'Spec_Single_H&amp;S'!E:E),
IFERROR(XLOOKUP(D1553,#REF!,#REF!),""))</f>
        <v/>
      </c>
      <c r="K1553" s="7" t="str">
        <f ca="1">IFERROR(XLOOKUP(D1553,'Spec_Single_H&amp;S'!B:B,'Spec_Single_H&amp;S'!F:F),
IFERROR(XLOOKUP(D1553,#REF!,#REF!),""))</f>
        <v/>
      </c>
      <c r="L1553" s="7" t="str">
        <f t="shared" ca="1" si="46"/>
        <v/>
      </c>
    </row>
    <row r="1554" spans="8:12" x14ac:dyDescent="0.3">
      <c r="H1554" s="7" t="str">
        <f>IF(B1554&lt;&gt;"Silicone","",IFERROR(XLOOKUP(D1554,#REF!,#REF!),""))</f>
        <v/>
      </c>
      <c r="J1554" s="7" t="str">
        <f ca="1">IFERROR(XLOOKUP(D1554,'Spec_Single_H&amp;S'!B:B,'Spec_Single_H&amp;S'!E:E),
IFERROR(XLOOKUP(D1554,#REF!,#REF!),""))</f>
        <v/>
      </c>
      <c r="K1554" s="7" t="str">
        <f ca="1">IFERROR(XLOOKUP(D1554,'Spec_Single_H&amp;S'!B:B,'Spec_Single_H&amp;S'!F:F),
IFERROR(XLOOKUP(D1554,#REF!,#REF!),""))</f>
        <v/>
      </c>
      <c r="L1554" s="7" t="str">
        <f t="shared" ca="1" si="46"/>
        <v/>
      </c>
    </row>
    <row r="1555" spans="8:12" x14ac:dyDescent="0.3">
      <c r="H1555" s="7" t="str">
        <f>IF(B1555&lt;&gt;"Silicone","",IFERROR(XLOOKUP(D1555,#REF!,#REF!),""))</f>
        <v/>
      </c>
      <c r="J1555" s="7" t="str">
        <f ca="1">IFERROR(XLOOKUP(D1555,'Spec_Single_H&amp;S'!B:B,'Spec_Single_H&amp;S'!E:E),
IFERROR(XLOOKUP(D1555,#REF!,#REF!),""))</f>
        <v/>
      </c>
      <c r="K1555" s="7" t="str">
        <f ca="1">IFERROR(XLOOKUP(D1555,'Spec_Single_H&amp;S'!B:B,'Spec_Single_H&amp;S'!F:F),
IFERROR(XLOOKUP(D1555,#REF!,#REF!),""))</f>
        <v/>
      </c>
      <c r="L1555" s="7" t="str">
        <f t="shared" ca="1" si="46"/>
        <v/>
      </c>
    </row>
    <row r="1556" spans="8:12" x14ac:dyDescent="0.3">
      <c r="H1556" s="7" t="str">
        <f>IF(B1556&lt;&gt;"Silicone","",IFERROR(XLOOKUP(D1556,#REF!,#REF!),""))</f>
        <v/>
      </c>
      <c r="J1556" s="7" t="str">
        <f ca="1">IFERROR(XLOOKUP(D1556,'Spec_Single_H&amp;S'!B:B,'Spec_Single_H&amp;S'!E:E),
IFERROR(XLOOKUP(D1556,#REF!,#REF!),""))</f>
        <v/>
      </c>
      <c r="K1556" s="7" t="str">
        <f ca="1">IFERROR(XLOOKUP(D1556,'Spec_Single_H&amp;S'!B:B,'Spec_Single_H&amp;S'!F:F),
IFERROR(XLOOKUP(D1556,#REF!,#REF!),""))</f>
        <v/>
      </c>
      <c r="L1556" s="7" t="str">
        <f t="shared" ca="1" si="46"/>
        <v/>
      </c>
    </row>
    <row r="1557" spans="8:12" x14ac:dyDescent="0.3">
      <c r="H1557" s="7" t="str">
        <f>IF(B1557&lt;&gt;"Silicone","",IFERROR(XLOOKUP(D1557,#REF!,#REF!),""))</f>
        <v/>
      </c>
      <c r="J1557" s="7" t="str">
        <f ca="1">IFERROR(XLOOKUP(D1557,'Spec_Single_H&amp;S'!B:B,'Spec_Single_H&amp;S'!E:E),
IFERROR(XLOOKUP(D1557,#REF!,#REF!),""))</f>
        <v/>
      </c>
      <c r="K1557" s="7" t="str">
        <f ca="1">IFERROR(XLOOKUP(D1557,'Spec_Single_H&amp;S'!B:B,'Spec_Single_H&amp;S'!F:F),
IFERROR(XLOOKUP(D1557,#REF!,#REF!),""))</f>
        <v/>
      </c>
      <c r="L1557" s="7" t="str">
        <f t="shared" ca="1" si="46"/>
        <v/>
      </c>
    </row>
    <row r="1558" spans="8:12" x14ac:dyDescent="0.3">
      <c r="H1558" s="7" t="str">
        <f>IF(B1558&lt;&gt;"Silicone","",IFERROR(XLOOKUP(D1558,#REF!,#REF!),""))</f>
        <v/>
      </c>
      <c r="J1558" s="7" t="str">
        <f ca="1">IFERROR(XLOOKUP(D1558,'Spec_Single_H&amp;S'!B:B,'Spec_Single_H&amp;S'!E:E),
IFERROR(XLOOKUP(D1558,#REF!,#REF!),""))</f>
        <v/>
      </c>
      <c r="K1558" s="7" t="str">
        <f ca="1">IFERROR(XLOOKUP(D1558,'Spec_Single_H&amp;S'!B:B,'Spec_Single_H&amp;S'!F:F),
IFERROR(XLOOKUP(D1558,#REF!,#REF!),""))</f>
        <v/>
      </c>
      <c r="L1558" s="7" t="str">
        <f t="shared" ca="1" si="46"/>
        <v/>
      </c>
    </row>
    <row r="1559" spans="8:12" x14ac:dyDescent="0.3">
      <c r="H1559" s="7" t="str">
        <f>IF(B1559&lt;&gt;"Silicone","",IFERROR(XLOOKUP(D1559,#REF!,#REF!),""))</f>
        <v/>
      </c>
      <c r="J1559" s="7" t="str">
        <f ca="1">IFERROR(XLOOKUP(D1559,'Spec_Single_H&amp;S'!B:B,'Spec_Single_H&amp;S'!E:E),
IFERROR(XLOOKUP(D1559,#REF!,#REF!),""))</f>
        <v/>
      </c>
      <c r="K1559" s="7" t="str">
        <f ca="1">IFERROR(XLOOKUP(D1559,'Spec_Single_H&amp;S'!B:B,'Spec_Single_H&amp;S'!F:F),
IFERROR(XLOOKUP(D1559,#REF!,#REF!),""))</f>
        <v/>
      </c>
      <c r="L1559" s="7" t="str">
        <f t="shared" ca="1" si="46"/>
        <v/>
      </c>
    </row>
    <row r="1560" spans="8:12" x14ac:dyDescent="0.3">
      <c r="H1560" s="7" t="str">
        <f>IF(B1560&lt;&gt;"Silicone","",IFERROR(XLOOKUP(D1560,#REF!,#REF!),""))</f>
        <v/>
      </c>
      <c r="J1560" s="7" t="str">
        <f ca="1">IFERROR(XLOOKUP(D1560,'Spec_Single_H&amp;S'!B:B,'Spec_Single_H&amp;S'!E:E),
IFERROR(XLOOKUP(D1560,#REF!,#REF!),""))</f>
        <v/>
      </c>
      <c r="K1560" s="7" t="str">
        <f ca="1">IFERROR(XLOOKUP(D1560,'Spec_Single_H&amp;S'!B:B,'Spec_Single_H&amp;S'!F:F),
IFERROR(XLOOKUP(D1560,#REF!,#REF!),""))</f>
        <v/>
      </c>
      <c r="L1560" s="7" t="str">
        <f t="shared" ca="1" si="46"/>
        <v/>
      </c>
    </row>
    <row r="1561" spans="8:12" x14ac:dyDescent="0.3">
      <c r="H1561" s="7" t="str">
        <f>IF(B1561&lt;&gt;"Silicone","",IFERROR(XLOOKUP(D1561,#REF!,#REF!),""))</f>
        <v/>
      </c>
      <c r="J1561" s="7" t="str">
        <f ca="1">IFERROR(XLOOKUP(D1561,'Spec_Single_H&amp;S'!B:B,'Spec_Single_H&amp;S'!E:E),
IFERROR(XLOOKUP(D1561,#REF!,#REF!),""))</f>
        <v/>
      </c>
      <c r="K1561" s="7" t="str">
        <f ca="1">IFERROR(XLOOKUP(D1561,'Spec_Single_H&amp;S'!B:B,'Spec_Single_H&amp;S'!F:F),
IFERROR(XLOOKUP(D1561,#REF!,#REF!),""))</f>
        <v/>
      </c>
      <c r="L1561" s="7" t="str">
        <f t="shared" ca="1" si="46"/>
        <v/>
      </c>
    </row>
    <row r="1562" spans="8:12" x14ac:dyDescent="0.3">
      <c r="H1562" s="7" t="str">
        <f>IF(B1562&lt;&gt;"Silicone","",IFERROR(XLOOKUP(D1562,#REF!,#REF!),""))</f>
        <v/>
      </c>
      <c r="J1562" s="7" t="str">
        <f ca="1">IFERROR(XLOOKUP(D1562,'Spec_Single_H&amp;S'!B:B,'Spec_Single_H&amp;S'!E:E),
IFERROR(XLOOKUP(D1562,#REF!,#REF!),""))</f>
        <v/>
      </c>
      <c r="K1562" s="7" t="str">
        <f ca="1">IFERROR(XLOOKUP(D1562,'Spec_Single_H&amp;S'!B:B,'Spec_Single_H&amp;S'!F:F),
IFERROR(XLOOKUP(D1562,#REF!,#REF!),""))</f>
        <v/>
      </c>
      <c r="L1562" s="7" t="str">
        <f t="shared" ca="1" si="46"/>
        <v/>
      </c>
    </row>
    <row r="1563" spans="8:12" x14ac:dyDescent="0.3">
      <c r="H1563" s="7" t="str">
        <f>IF(B1563&lt;&gt;"Silicone","",IFERROR(XLOOKUP(D1563,#REF!,#REF!),""))</f>
        <v/>
      </c>
      <c r="J1563" s="7" t="str">
        <f ca="1">IFERROR(XLOOKUP(D1563,'Spec_Single_H&amp;S'!B:B,'Spec_Single_H&amp;S'!E:E),
IFERROR(XLOOKUP(D1563,#REF!,#REF!),""))</f>
        <v/>
      </c>
      <c r="K1563" s="7" t="str">
        <f ca="1">IFERROR(XLOOKUP(D1563,'Spec_Single_H&amp;S'!B:B,'Spec_Single_H&amp;S'!F:F),
IFERROR(XLOOKUP(D1563,#REF!,#REF!),""))</f>
        <v/>
      </c>
      <c r="L1563" s="7" t="str">
        <f t="shared" ca="1" si="46"/>
        <v/>
      </c>
    </row>
    <row r="1564" spans="8:12" x14ac:dyDescent="0.3">
      <c r="H1564" s="7" t="str">
        <f>IF(B1564&lt;&gt;"Silicone","",IFERROR(XLOOKUP(D1564,#REF!,#REF!),""))</f>
        <v/>
      </c>
      <c r="J1564" s="7" t="str">
        <f ca="1">IFERROR(XLOOKUP(D1564,'Spec_Single_H&amp;S'!B:B,'Spec_Single_H&amp;S'!E:E),
IFERROR(XLOOKUP(D1564,#REF!,#REF!),""))</f>
        <v/>
      </c>
      <c r="K1564" s="7" t="str">
        <f ca="1">IFERROR(XLOOKUP(D1564,'Spec_Single_H&amp;S'!B:B,'Spec_Single_H&amp;S'!F:F),
IFERROR(XLOOKUP(D1564,#REF!,#REF!),""))</f>
        <v/>
      </c>
      <c r="L1564" s="7" t="str">
        <f t="shared" ca="1" si="46"/>
        <v/>
      </c>
    </row>
    <row r="1565" spans="8:12" x14ac:dyDescent="0.3">
      <c r="H1565" s="7" t="str">
        <f>IF(B1565&lt;&gt;"Silicone","",IFERROR(XLOOKUP(D1565,#REF!,#REF!),""))</f>
        <v/>
      </c>
      <c r="J1565" s="7" t="str">
        <f ca="1">IFERROR(XLOOKUP(D1565,'Spec_Single_H&amp;S'!B:B,'Spec_Single_H&amp;S'!E:E),
IFERROR(XLOOKUP(D1565,#REF!,#REF!),""))</f>
        <v/>
      </c>
      <c r="K1565" s="7" t="str">
        <f ca="1">IFERROR(XLOOKUP(D1565,'Spec_Single_H&amp;S'!B:B,'Spec_Single_H&amp;S'!F:F),
IFERROR(XLOOKUP(D1565,#REF!,#REF!),""))</f>
        <v/>
      </c>
      <c r="L1565" s="7" t="str">
        <f t="shared" ca="1" si="46"/>
        <v/>
      </c>
    </row>
    <row r="1566" spans="8:12" x14ac:dyDescent="0.3">
      <c r="H1566" s="7" t="str">
        <f>IF(B1566&lt;&gt;"Silicone","",IFERROR(XLOOKUP(D1566,#REF!,#REF!),""))</f>
        <v/>
      </c>
      <c r="J1566" s="7" t="str">
        <f ca="1">IFERROR(XLOOKUP(D1566,'Spec_Single_H&amp;S'!B:B,'Spec_Single_H&amp;S'!E:E),
IFERROR(XLOOKUP(D1566,#REF!,#REF!),""))</f>
        <v/>
      </c>
      <c r="K1566" s="7" t="str">
        <f ca="1">IFERROR(XLOOKUP(D1566,'Spec_Single_H&amp;S'!B:B,'Spec_Single_H&amp;S'!F:F),
IFERROR(XLOOKUP(D1566,#REF!,#REF!),""))</f>
        <v/>
      </c>
      <c r="L1566" s="7" t="str">
        <f t="shared" ca="1" si="46"/>
        <v/>
      </c>
    </row>
    <row r="1567" spans="8:12" x14ac:dyDescent="0.3">
      <c r="H1567" s="7" t="str">
        <f>IF(B1567&lt;&gt;"Silicone","",IFERROR(XLOOKUP(D1567,#REF!,#REF!),""))</f>
        <v/>
      </c>
      <c r="J1567" s="7" t="str">
        <f ca="1">IFERROR(XLOOKUP(D1567,'Spec_Single_H&amp;S'!B:B,'Spec_Single_H&amp;S'!E:E),
IFERROR(XLOOKUP(D1567,#REF!,#REF!),""))</f>
        <v/>
      </c>
      <c r="K1567" s="7" t="str">
        <f ca="1">IFERROR(XLOOKUP(D1567,'Spec_Single_H&amp;S'!B:B,'Spec_Single_H&amp;S'!F:F),
IFERROR(XLOOKUP(D1567,#REF!,#REF!),""))</f>
        <v/>
      </c>
      <c r="L1567" s="7" t="str">
        <f t="shared" ca="1" si="46"/>
        <v/>
      </c>
    </row>
    <row r="1568" spans="8:12" x14ac:dyDescent="0.3">
      <c r="H1568" s="7" t="str">
        <f>IF(B1568&lt;&gt;"Silicone","",IFERROR(XLOOKUP(D1568,#REF!,#REF!),""))</f>
        <v/>
      </c>
      <c r="J1568" s="7" t="str">
        <f ca="1">IFERROR(XLOOKUP(D1568,'Spec_Single_H&amp;S'!B:B,'Spec_Single_H&amp;S'!E:E),
IFERROR(XLOOKUP(D1568,#REF!,#REF!),""))</f>
        <v/>
      </c>
      <c r="K1568" s="7" t="str">
        <f ca="1">IFERROR(XLOOKUP(D1568,'Spec_Single_H&amp;S'!B:B,'Spec_Single_H&amp;S'!F:F),
IFERROR(XLOOKUP(D1568,#REF!,#REF!),""))</f>
        <v/>
      </c>
      <c r="L1568" s="7" t="str">
        <f t="shared" ca="1" si="46"/>
        <v/>
      </c>
    </row>
    <row r="1569" spans="8:12" x14ac:dyDescent="0.3">
      <c r="H1569" s="7" t="str">
        <f>IF(B1569&lt;&gt;"Silicone","",IFERROR(XLOOKUP(D1569,#REF!,#REF!),""))</f>
        <v/>
      </c>
      <c r="J1569" s="7" t="str">
        <f ca="1">IFERROR(XLOOKUP(D1569,'Spec_Single_H&amp;S'!B:B,'Spec_Single_H&amp;S'!E:E),
IFERROR(XLOOKUP(D1569,#REF!,#REF!),""))</f>
        <v/>
      </c>
      <c r="K1569" s="7" t="str">
        <f ca="1">IFERROR(XLOOKUP(D1569,'Spec_Single_H&amp;S'!B:B,'Spec_Single_H&amp;S'!F:F),
IFERROR(XLOOKUP(D1569,#REF!,#REF!),""))</f>
        <v/>
      </c>
      <c r="L1569" s="7" t="str">
        <f t="shared" ca="1" si="46"/>
        <v/>
      </c>
    </row>
    <row r="1570" spans="8:12" x14ac:dyDescent="0.3">
      <c r="H1570" s="7" t="str">
        <f>IF(B1570&lt;&gt;"Silicone","",IFERROR(XLOOKUP(D1570,#REF!,#REF!),""))</f>
        <v/>
      </c>
      <c r="J1570" s="7" t="str">
        <f ca="1">IFERROR(XLOOKUP(D1570,'Spec_Single_H&amp;S'!B:B,'Spec_Single_H&amp;S'!E:E),
IFERROR(XLOOKUP(D1570,#REF!,#REF!),""))</f>
        <v/>
      </c>
      <c r="K1570" s="7" t="str">
        <f ca="1">IFERROR(XLOOKUP(D1570,'Spec_Single_H&amp;S'!B:B,'Spec_Single_H&amp;S'!F:F),
IFERROR(XLOOKUP(D1570,#REF!,#REF!),""))</f>
        <v/>
      </c>
      <c r="L1570" s="7" t="str">
        <f t="shared" ca="1" si="46"/>
        <v/>
      </c>
    </row>
    <row r="1571" spans="8:12" x14ac:dyDescent="0.3">
      <c r="H1571" s="7" t="str">
        <f>IF(B1571&lt;&gt;"Silicone","",IFERROR(XLOOKUP(D1571,#REF!,#REF!),""))</f>
        <v/>
      </c>
      <c r="J1571" s="7" t="str">
        <f ca="1">IFERROR(XLOOKUP(D1571,'Spec_Single_H&amp;S'!B:B,'Spec_Single_H&amp;S'!E:E),
IFERROR(XLOOKUP(D1571,#REF!,#REF!),""))</f>
        <v/>
      </c>
      <c r="K1571" s="7" t="str">
        <f ca="1">IFERROR(XLOOKUP(D1571,'Spec_Single_H&amp;S'!B:B,'Spec_Single_H&amp;S'!F:F),
IFERROR(XLOOKUP(D1571,#REF!,#REF!),""))</f>
        <v/>
      </c>
      <c r="L1571" s="7" t="str">
        <f t="shared" ca="1" si="46"/>
        <v/>
      </c>
    </row>
    <row r="1572" spans="8:12" x14ac:dyDescent="0.3">
      <c r="H1572" s="7" t="str">
        <f>IF(B1572&lt;&gt;"Silicone","",IFERROR(XLOOKUP(D1572,#REF!,#REF!),""))</f>
        <v/>
      </c>
      <c r="J1572" s="7" t="str">
        <f ca="1">IFERROR(XLOOKUP(D1572,'Spec_Single_H&amp;S'!B:B,'Spec_Single_H&amp;S'!E:E),
IFERROR(XLOOKUP(D1572,#REF!,#REF!),""))</f>
        <v/>
      </c>
      <c r="K1572" s="7" t="str">
        <f ca="1">IFERROR(XLOOKUP(D1572,'Spec_Single_H&amp;S'!B:B,'Spec_Single_H&amp;S'!F:F),
IFERROR(XLOOKUP(D1572,#REF!,#REF!),""))</f>
        <v/>
      </c>
      <c r="L1572" s="7" t="str">
        <f t="shared" ca="1" si="46"/>
        <v/>
      </c>
    </row>
    <row r="1573" spans="8:12" x14ac:dyDescent="0.3">
      <c r="H1573" s="7" t="str">
        <f>IF(B1573&lt;&gt;"Silicone","",IFERROR(XLOOKUP(D1573,#REF!,#REF!),""))</f>
        <v/>
      </c>
      <c r="J1573" s="7" t="str">
        <f ca="1">IFERROR(XLOOKUP(D1573,'Spec_Single_H&amp;S'!B:B,'Spec_Single_H&amp;S'!E:E),
IFERROR(XLOOKUP(D1573,#REF!,#REF!),""))</f>
        <v/>
      </c>
      <c r="K1573" s="7" t="str">
        <f ca="1">IFERROR(XLOOKUP(D1573,'Spec_Single_H&amp;S'!B:B,'Spec_Single_H&amp;S'!F:F),
IFERROR(XLOOKUP(D1573,#REF!,#REF!),""))</f>
        <v/>
      </c>
      <c r="L1573" s="7" t="str">
        <f t="shared" ca="1" si="46"/>
        <v/>
      </c>
    </row>
    <row r="1574" spans="8:12" x14ac:dyDescent="0.3">
      <c r="H1574" s="7" t="str">
        <f>IF(B1574&lt;&gt;"Silicone","",IFERROR(XLOOKUP(D1574,#REF!,#REF!),""))</f>
        <v/>
      </c>
      <c r="J1574" s="7" t="str">
        <f ca="1">IFERROR(XLOOKUP(D1574,'Spec_Single_H&amp;S'!B:B,'Spec_Single_H&amp;S'!E:E),
IFERROR(XLOOKUP(D1574,#REF!,#REF!),""))</f>
        <v/>
      </c>
      <c r="K1574" s="7" t="str">
        <f ca="1">IFERROR(XLOOKUP(D1574,'Spec_Single_H&amp;S'!B:B,'Spec_Single_H&amp;S'!F:F),
IFERROR(XLOOKUP(D1574,#REF!,#REF!),""))</f>
        <v/>
      </c>
      <c r="L1574" s="7" t="str">
        <f t="shared" ca="1" si="46"/>
        <v/>
      </c>
    </row>
    <row r="1575" spans="8:12" x14ac:dyDescent="0.3">
      <c r="H1575" s="7" t="str">
        <f>IF(B1575&lt;&gt;"Silicone","",IFERROR(XLOOKUP(D1575,#REF!,#REF!),""))</f>
        <v/>
      </c>
      <c r="J1575" s="7" t="str">
        <f ca="1">IFERROR(XLOOKUP(D1575,'Spec_Single_H&amp;S'!B:B,'Spec_Single_H&amp;S'!E:E),
IFERROR(XLOOKUP(D1575,#REF!,#REF!),""))</f>
        <v/>
      </c>
      <c r="K1575" s="7" t="str">
        <f ca="1">IFERROR(XLOOKUP(D1575,'Spec_Single_H&amp;S'!B:B,'Spec_Single_H&amp;S'!F:F),
IFERROR(XLOOKUP(D1575,#REF!,#REF!),""))</f>
        <v/>
      </c>
      <c r="L1575" s="7" t="str">
        <f t="shared" ca="1" si="46"/>
        <v/>
      </c>
    </row>
    <row r="1576" spans="8:12" x14ac:dyDescent="0.3">
      <c r="H1576" s="7" t="str">
        <f>IF(B1576&lt;&gt;"Silicone","",IFERROR(XLOOKUP(D1576,#REF!,#REF!),""))</f>
        <v/>
      </c>
      <c r="J1576" s="7" t="str">
        <f ca="1">IFERROR(XLOOKUP(D1576,'Spec_Single_H&amp;S'!B:B,'Spec_Single_H&amp;S'!E:E),
IFERROR(XLOOKUP(D1576,#REF!,#REF!),""))</f>
        <v/>
      </c>
      <c r="K1576" s="7" t="str">
        <f ca="1">IFERROR(XLOOKUP(D1576,'Spec_Single_H&amp;S'!B:B,'Spec_Single_H&amp;S'!F:F),
IFERROR(XLOOKUP(D1576,#REF!,#REF!),""))</f>
        <v/>
      </c>
      <c r="L1576" s="7" t="str">
        <f t="shared" ca="1" si="46"/>
        <v/>
      </c>
    </row>
    <row r="1577" spans="8:12" x14ac:dyDescent="0.3">
      <c r="H1577" s="7" t="str">
        <f>IF(B1577&lt;&gt;"Silicone","",IFERROR(XLOOKUP(D1577,#REF!,#REF!),""))</f>
        <v/>
      </c>
      <c r="J1577" s="7" t="str">
        <f ca="1">IFERROR(XLOOKUP(D1577,'Spec_Single_H&amp;S'!B:B,'Spec_Single_H&amp;S'!E:E),
IFERROR(XLOOKUP(D1577,#REF!,#REF!),""))</f>
        <v/>
      </c>
      <c r="K1577" s="7" t="str">
        <f ca="1">IFERROR(XLOOKUP(D1577,'Spec_Single_H&amp;S'!B:B,'Spec_Single_H&amp;S'!F:F),
IFERROR(XLOOKUP(D1577,#REF!,#REF!),""))</f>
        <v/>
      </c>
      <c r="L1577" s="7" t="str">
        <f t="shared" ca="1" si="46"/>
        <v/>
      </c>
    </row>
    <row r="1578" spans="8:12" x14ac:dyDescent="0.3">
      <c r="H1578" s="7" t="str">
        <f>IF(B1578&lt;&gt;"Silicone","",IFERROR(XLOOKUP(D1578,#REF!,#REF!),""))</f>
        <v/>
      </c>
      <c r="J1578" s="7" t="str">
        <f ca="1">IFERROR(XLOOKUP(D1578,'Spec_Single_H&amp;S'!B:B,'Spec_Single_H&amp;S'!E:E),
IFERROR(XLOOKUP(D1578,#REF!,#REF!),""))</f>
        <v/>
      </c>
      <c r="K1578" s="7" t="str">
        <f ca="1">IFERROR(XLOOKUP(D1578,'Spec_Single_H&amp;S'!B:B,'Spec_Single_H&amp;S'!F:F),
IFERROR(XLOOKUP(D1578,#REF!,#REF!),""))</f>
        <v/>
      </c>
      <c r="L1578" s="7" t="str">
        <f t="shared" ca="1" si="46"/>
        <v/>
      </c>
    </row>
    <row r="1579" spans="8:12" x14ac:dyDescent="0.3">
      <c r="H1579" s="7" t="str">
        <f>IF(B1579&lt;&gt;"Silicone","",IFERROR(XLOOKUP(D1579,#REF!,#REF!),""))</f>
        <v/>
      </c>
      <c r="J1579" s="7" t="str">
        <f ca="1">IFERROR(XLOOKUP(D1579,'Spec_Single_H&amp;S'!B:B,'Spec_Single_H&amp;S'!E:E),
IFERROR(XLOOKUP(D1579,#REF!,#REF!),""))</f>
        <v/>
      </c>
      <c r="K1579" s="7" t="str">
        <f ca="1">IFERROR(XLOOKUP(D1579,'Spec_Single_H&amp;S'!B:B,'Spec_Single_H&amp;S'!F:F),
IFERROR(XLOOKUP(D1579,#REF!,#REF!),""))</f>
        <v/>
      </c>
      <c r="L1579" s="7" t="str">
        <f t="shared" ca="1" si="46"/>
        <v/>
      </c>
    </row>
    <row r="1580" spans="8:12" x14ac:dyDescent="0.3">
      <c r="H1580" s="7" t="str">
        <f>IF(B1580&lt;&gt;"Silicone","",IFERROR(XLOOKUP(D1580,#REF!,#REF!),""))</f>
        <v/>
      </c>
      <c r="J1580" s="7" t="str">
        <f ca="1">IFERROR(XLOOKUP(D1580,'Spec_Single_H&amp;S'!B:B,'Spec_Single_H&amp;S'!E:E),
IFERROR(XLOOKUP(D1580,#REF!,#REF!),""))</f>
        <v/>
      </c>
      <c r="K1580" s="7" t="str">
        <f ca="1">IFERROR(XLOOKUP(D1580,'Spec_Single_H&amp;S'!B:B,'Spec_Single_H&amp;S'!F:F),
IFERROR(XLOOKUP(D1580,#REF!,#REF!),""))</f>
        <v/>
      </c>
      <c r="L1580" s="7" t="str">
        <f t="shared" ca="1" si="46"/>
        <v/>
      </c>
    </row>
    <row r="1581" spans="8:12" x14ac:dyDescent="0.3">
      <c r="H1581" s="7" t="str">
        <f>IF(B1581&lt;&gt;"Silicone","",IFERROR(XLOOKUP(D1581,#REF!,#REF!),""))</f>
        <v/>
      </c>
      <c r="J1581" s="7" t="str">
        <f ca="1">IFERROR(XLOOKUP(D1581,'Spec_Single_H&amp;S'!B:B,'Spec_Single_H&amp;S'!E:E),
IFERROR(XLOOKUP(D1581,#REF!,#REF!),""))</f>
        <v/>
      </c>
      <c r="K1581" s="7" t="str">
        <f ca="1">IFERROR(XLOOKUP(D1581,'Spec_Single_H&amp;S'!B:B,'Spec_Single_H&amp;S'!F:F),
IFERROR(XLOOKUP(D1581,#REF!,#REF!),""))</f>
        <v/>
      </c>
      <c r="L1581" s="7" t="str">
        <f t="shared" ca="1" si="46"/>
        <v/>
      </c>
    </row>
    <row r="1582" spans="8:12" x14ac:dyDescent="0.3">
      <c r="H1582" s="7" t="str">
        <f>IF(B1582&lt;&gt;"Silicone","",IFERROR(XLOOKUP(D1582,#REF!,#REF!),""))</f>
        <v/>
      </c>
      <c r="J1582" s="7" t="str">
        <f ca="1">IFERROR(XLOOKUP(D1582,'Spec_Single_H&amp;S'!B:B,'Spec_Single_H&amp;S'!E:E),
IFERROR(XLOOKUP(D1582,#REF!,#REF!),""))</f>
        <v/>
      </c>
      <c r="K1582" s="7" t="str">
        <f ca="1">IFERROR(XLOOKUP(D1582,'Spec_Single_H&amp;S'!B:B,'Spec_Single_H&amp;S'!F:F),
IFERROR(XLOOKUP(D1582,#REF!,#REF!),""))</f>
        <v/>
      </c>
      <c r="L1582" s="7" t="str">
        <f t="shared" ca="1" si="46"/>
        <v/>
      </c>
    </row>
    <row r="1583" spans="8:12" x14ac:dyDescent="0.3">
      <c r="H1583" s="7" t="str">
        <f>IF(B1583&lt;&gt;"Silicone","",IFERROR(XLOOKUP(D1583,#REF!,#REF!),""))</f>
        <v/>
      </c>
      <c r="J1583" s="7" t="str">
        <f ca="1">IFERROR(XLOOKUP(D1583,'Spec_Single_H&amp;S'!B:B,'Spec_Single_H&amp;S'!E:E),
IFERROR(XLOOKUP(D1583,#REF!,#REF!),""))</f>
        <v/>
      </c>
      <c r="K1583" s="7" t="str">
        <f ca="1">IFERROR(XLOOKUP(D1583,'Spec_Single_H&amp;S'!B:B,'Spec_Single_H&amp;S'!F:F),
IFERROR(XLOOKUP(D1583,#REF!,#REF!),""))</f>
        <v/>
      </c>
      <c r="L1583" s="7" t="str">
        <f t="shared" ca="1" si="46"/>
        <v/>
      </c>
    </row>
    <row r="1584" spans="8:12" x14ac:dyDescent="0.3">
      <c r="H1584" s="7" t="str">
        <f>IF(B1584&lt;&gt;"Silicone","",IFERROR(XLOOKUP(D1584,#REF!,#REF!),""))</f>
        <v/>
      </c>
      <c r="J1584" s="7" t="str">
        <f ca="1">IFERROR(XLOOKUP(D1584,'Spec_Single_H&amp;S'!B:B,'Spec_Single_H&amp;S'!E:E),
IFERROR(XLOOKUP(D1584,#REF!,#REF!),""))</f>
        <v/>
      </c>
      <c r="K1584" s="7" t="str">
        <f ca="1">IFERROR(XLOOKUP(D1584,'Spec_Single_H&amp;S'!B:B,'Spec_Single_H&amp;S'!F:F),
IFERROR(XLOOKUP(D1584,#REF!,#REF!),""))</f>
        <v/>
      </c>
      <c r="L1584" s="7" t="str">
        <f t="shared" ca="1" si="46"/>
        <v/>
      </c>
    </row>
    <row r="1585" spans="8:12" x14ac:dyDescent="0.3">
      <c r="H1585" s="7" t="str">
        <f>IF(B1585&lt;&gt;"Silicone","",IFERROR(XLOOKUP(D1585,#REF!,#REF!),""))</f>
        <v/>
      </c>
      <c r="J1585" s="7" t="str">
        <f ca="1">IFERROR(XLOOKUP(D1585,'Spec_Single_H&amp;S'!B:B,'Spec_Single_H&amp;S'!E:E),
IFERROR(XLOOKUP(D1585,#REF!,#REF!),""))</f>
        <v/>
      </c>
      <c r="K1585" s="7" t="str">
        <f ca="1">IFERROR(XLOOKUP(D1585,'Spec_Single_H&amp;S'!B:B,'Spec_Single_H&amp;S'!F:F),
IFERROR(XLOOKUP(D1585,#REF!,#REF!),""))</f>
        <v/>
      </c>
      <c r="L1585" s="7" t="str">
        <f t="shared" ca="1" si="46"/>
        <v/>
      </c>
    </row>
    <row r="1586" spans="8:12" x14ac:dyDescent="0.3">
      <c r="H1586" s="7" t="str">
        <f>IF(B1586&lt;&gt;"Silicone","",IFERROR(XLOOKUP(D1586,#REF!,#REF!),""))</f>
        <v/>
      </c>
      <c r="J1586" s="7" t="str">
        <f ca="1">IFERROR(XLOOKUP(D1586,'Spec_Single_H&amp;S'!B:B,'Spec_Single_H&amp;S'!E:E),
IFERROR(XLOOKUP(D1586,#REF!,#REF!),""))</f>
        <v/>
      </c>
      <c r="K1586" s="7" t="str">
        <f ca="1">IFERROR(XLOOKUP(D1586,'Spec_Single_H&amp;S'!B:B,'Spec_Single_H&amp;S'!F:F),
IFERROR(XLOOKUP(D1586,#REF!,#REF!),""))</f>
        <v/>
      </c>
      <c r="L1586" s="7" t="str">
        <f t="shared" ca="1" si="46"/>
        <v/>
      </c>
    </row>
    <row r="1587" spans="8:12" x14ac:dyDescent="0.3">
      <c r="H1587" s="7" t="str">
        <f>IF(B1587&lt;&gt;"Silicone","",IFERROR(XLOOKUP(D1587,#REF!,#REF!),""))</f>
        <v/>
      </c>
      <c r="J1587" s="7" t="str">
        <f ca="1">IFERROR(XLOOKUP(D1587,'Spec_Single_H&amp;S'!B:B,'Spec_Single_H&amp;S'!E:E),
IFERROR(XLOOKUP(D1587,#REF!,#REF!),""))</f>
        <v/>
      </c>
      <c r="K1587" s="7" t="str">
        <f ca="1">IFERROR(XLOOKUP(D1587,'Spec_Single_H&amp;S'!B:B,'Spec_Single_H&amp;S'!F:F),
IFERROR(XLOOKUP(D1587,#REF!,#REF!),""))</f>
        <v/>
      </c>
      <c r="L1587" s="7" t="str">
        <f t="shared" ca="1" si="46"/>
        <v/>
      </c>
    </row>
    <row r="1588" spans="8:12" x14ac:dyDescent="0.3">
      <c r="H1588" s="7" t="str">
        <f>IF(B1588&lt;&gt;"Silicone","",IFERROR(XLOOKUP(D1588,#REF!,#REF!),""))</f>
        <v/>
      </c>
      <c r="J1588" s="7" t="str">
        <f ca="1">IFERROR(XLOOKUP(D1588,'Spec_Single_H&amp;S'!B:B,'Spec_Single_H&amp;S'!E:E),
IFERROR(XLOOKUP(D1588,#REF!,#REF!),""))</f>
        <v/>
      </c>
      <c r="K1588" s="7" t="str">
        <f ca="1">IFERROR(XLOOKUP(D1588,'Spec_Single_H&amp;S'!B:B,'Spec_Single_H&amp;S'!F:F),
IFERROR(XLOOKUP(D1588,#REF!,#REF!),""))</f>
        <v/>
      </c>
      <c r="L1588" s="7" t="str">
        <f t="shared" ca="1" si="46"/>
        <v/>
      </c>
    </row>
    <row r="1589" spans="8:12" x14ac:dyDescent="0.3">
      <c r="H1589" s="7" t="str">
        <f>IF(B1589&lt;&gt;"Silicone","",IFERROR(XLOOKUP(D1589,#REF!,#REF!),""))</f>
        <v/>
      </c>
      <c r="J1589" s="7" t="str">
        <f ca="1">IFERROR(XLOOKUP(D1589,'Spec_Single_H&amp;S'!B:B,'Spec_Single_H&amp;S'!E:E),
IFERROR(XLOOKUP(D1589,#REF!,#REF!),""))</f>
        <v/>
      </c>
      <c r="K1589" s="7" t="str">
        <f ca="1">IFERROR(XLOOKUP(D1589,'Spec_Single_H&amp;S'!B:B,'Spec_Single_H&amp;S'!F:F),
IFERROR(XLOOKUP(D1589,#REF!,#REF!),""))</f>
        <v/>
      </c>
      <c r="L1589" s="7" t="str">
        <f t="shared" ca="1" si="46"/>
        <v/>
      </c>
    </row>
    <row r="1590" spans="8:12" x14ac:dyDescent="0.3">
      <c r="H1590" s="7" t="str">
        <f>IF(B1590&lt;&gt;"Silicone","",IFERROR(XLOOKUP(D1590,#REF!,#REF!),""))</f>
        <v/>
      </c>
      <c r="J1590" s="7" t="str">
        <f ca="1">IFERROR(XLOOKUP(D1590,'Spec_Single_H&amp;S'!B:B,'Spec_Single_H&amp;S'!E:E),
IFERROR(XLOOKUP(D1590,#REF!,#REF!),""))</f>
        <v/>
      </c>
      <c r="K1590" s="7" t="str">
        <f ca="1">IFERROR(XLOOKUP(D1590,'Spec_Single_H&amp;S'!B:B,'Spec_Single_H&amp;S'!F:F),
IFERROR(XLOOKUP(D1590,#REF!,#REF!),""))</f>
        <v/>
      </c>
      <c r="L1590" s="7" t="str">
        <f t="shared" ca="1" si="46"/>
        <v/>
      </c>
    </row>
    <row r="1591" spans="8:12" x14ac:dyDescent="0.3">
      <c r="H1591" s="7" t="str">
        <f>IF(B1591&lt;&gt;"Silicone","",IFERROR(XLOOKUP(D1591,#REF!,#REF!),""))</f>
        <v/>
      </c>
      <c r="J1591" s="7" t="str">
        <f ca="1">IFERROR(XLOOKUP(D1591,'Spec_Single_H&amp;S'!B:B,'Spec_Single_H&amp;S'!E:E),
IFERROR(XLOOKUP(D1591,#REF!,#REF!),""))</f>
        <v/>
      </c>
      <c r="K1591" s="7" t="str">
        <f ca="1">IFERROR(XLOOKUP(D1591,'Spec_Single_H&amp;S'!B:B,'Spec_Single_H&amp;S'!F:F),
IFERROR(XLOOKUP(D1591,#REF!,#REF!),""))</f>
        <v/>
      </c>
      <c r="L1591" s="7" t="str">
        <f t="shared" ca="1" si="46"/>
        <v/>
      </c>
    </row>
    <row r="1592" spans="8:12" x14ac:dyDescent="0.3">
      <c r="H1592" s="7" t="str">
        <f>IF(B1592&lt;&gt;"Silicone","",IFERROR(XLOOKUP(D1592,#REF!,#REF!),""))</f>
        <v/>
      </c>
      <c r="J1592" s="7" t="str">
        <f ca="1">IFERROR(XLOOKUP(D1592,'Spec_Single_H&amp;S'!B:B,'Spec_Single_H&amp;S'!E:E),
IFERROR(XLOOKUP(D1592,#REF!,#REF!),""))</f>
        <v/>
      </c>
      <c r="K1592" s="7" t="str">
        <f ca="1">IFERROR(XLOOKUP(D1592,'Spec_Single_H&amp;S'!B:B,'Spec_Single_H&amp;S'!F:F),
IFERROR(XLOOKUP(D1592,#REF!,#REF!),""))</f>
        <v/>
      </c>
      <c r="L1592" s="7" t="str">
        <f t="shared" ca="1" si="46"/>
        <v/>
      </c>
    </row>
    <row r="1593" spans="8:12" x14ac:dyDescent="0.3">
      <c r="H1593" s="7" t="str">
        <f>IF(B1593&lt;&gt;"Silicone","",IFERROR(XLOOKUP(D1593,#REF!,#REF!),""))</f>
        <v/>
      </c>
      <c r="J1593" s="7" t="str">
        <f ca="1">IFERROR(XLOOKUP(D1593,'Spec_Single_H&amp;S'!B:B,'Spec_Single_H&amp;S'!E:E),
IFERROR(XLOOKUP(D1593,#REF!,#REF!),""))</f>
        <v/>
      </c>
      <c r="K1593" s="7" t="str">
        <f ca="1">IFERROR(XLOOKUP(D1593,'Spec_Single_H&amp;S'!B:B,'Spec_Single_H&amp;S'!F:F),
IFERROR(XLOOKUP(D1593,#REF!,#REF!),""))</f>
        <v/>
      </c>
      <c r="L1593" s="7" t="str">
        <f t="shared" ca="1" si="46"/>
        <v/>
      </c>
    </row>
    <row r="1594" spans="8:12" x14ac:dyDescent="0.3">
      <c r="H1594" s="7" t="str">
        <f>IF(B1594&lt;&gt;"Silicone","",IFERROR(XLOOKUP(D1594,#REF!,#REF!),""))</f>
        <v/>
      </c>
      <c r="J1594" s="7" t="str">
        <f ca="1">IFERROR(XLOOKUP(D1594,'Spec_Single_H&amp;S'!B:B,'Spec_Single_H&amp;S'!E:E),
IFERROR(XLOOKUP(D1594,#REF!,#REF!),""))</f>
        <v/>
      </c>
      <c r="K1594" s="7" t="str">
        <f ca="1">IFERROR(XLOOKUP(D1594,'Spec_Single_H&amp;S'!B:B,'Spec_Single_H&amp;S'!F:F),
IFERROR(XLOOKUP(D1594,#REF!,#REF!),""))</f>
        <v/>
      </c>
      <c r="L1594" s="7" t="str">
        <f t="shared" ca="1" si="46"/>
        <v/>
      </c>
    </row>
    <row r="1595" spans="8:12" x14ac:dyDescent="0.3">
      <c r="H1595" s="7" t="str">
        <f>IF(B1595&lt;&gt;"Silicone","",IFERROR(XLOOKUP(D1595,#REF!,#REF!),""))</f>
        <v/>
      </c>
      <c r="J1595" s="7" t="str">
        <f ca="1">IFERROR(XLOOKUP(D1595,'Spec_Single_H&amp;S'!B:B,'Spec_Single_H&amp;S'!E:E),
IFERROR(XLOOKUP(D1595,#REF!,#REF!),""))</f>
        <v/>
      </c>
      <c r="K1595" s="7" t="str">
        <f ca="1">IFERROR(XLOOKUP(D1595,'Spec_Single_H&amp;S'!B:B,'Spec_Single_H&amp;S'!F:F),
IFERROR(XLOOKUP(D1595,#REF!,#REF!),""))</f>
        <v/>
      </c>
      <c r="L1595" s="7" t="str">
        <f t="shared" ca="1" si="46"/>
        <v/>
      </c>
    </row>
    <row r="1596" spans="8:12" x14ac:dyDescent="0.3">
      <c r="H1596" s="7" t="str">
        <f>IF(B1596&lt;&gt;"Silicone","",IFERROR(XLOOKUP(D1596,#REF!,#REF!),""))</f>
        <v/>
      </c>
      <c r="J1596" s="7" t="str">
        <f ca="1">IFERROR(XLOOKUP(D1596,'Spec_Single_H&amp;S'!B:B,'Spec_Single_H&amp;S'!E:E),
IFERROR(XLOOKUP(D1596,#REF!,#REF!),""))</f>
        <v/>
      </c>
      <c r="K1596" s="7" t="str">
        <f ca="1">IFERROR(XLOOKUP(D1596,'Spec_Single_H&amp;S'!B:B,'Spec_Single_H&amp;S'!F:F),
IFERROR(XLOOKUP(D1596,#REF!,#REF!),""))</f>
        <v/>
      </c>
      <c r="L1596" s="7" t="str">
        <f t="shared" ca="1" si="46"/>
        <v/>
      </c>
    </row>
    <row r="1597" spans="8:12" x14ac:dyDescent="0.3">
      <c r="H1597" s="7" t="str">
        <f>IF(B1597&lt;&gt;"Silicone","",IFERROR(XLOOKUP(D1597,#REF!,#REF!),""))</f>
        <v/>
      </c>
      <c r="J1597" s="7" t="str">
        <f ca="1">IFERROR(XLOOKUP(D1597,'Spec_Single_H&amp;S'!B:B,'Spec_Single_H&amp;S'!E:E),
IFERROR(XLOOKUP(D1597,#REF!,#REF!),""))</f>
        <v/>
      </c>
      <c r="K1597" s="7" t="str">
        <f ca="1">IFERROR(XLOOKUP(D1597,'Spec_Single_H&amp;S'!B:B,'Spec_Single_H&amp;S'!F:F),
IFERROR(XLOOKUP(D1597,#REF!,#REF!),""))</f>
        <v/>
      </c>
      <c r="L1597" s="7" t="str">
        <f t="shared" ca="1" si="46"/>
        <v/>
      </c>
    </row>
    <row r="1598" spans="8:12" x14ac:dyDescent="0.3">
      <c r="H1598" s="7" t="str">
        <f>IF(B1598&lt;&gt;"Silicone","",IFERROR(XLOOKUP(D1598,#REF!,#REF!),""))</f>
        <v/>
      </c>
      <c r="J1598" s="7" t="str">
        <f ca="1">IFERROR(XLOOKUP(D1598,'Spec_Single_H&amp;S'!B:B,'Spec_Single_H&amp;S'!E:E),
IFERROR(XLOOKUP(D1598,#REF!,#REF!),""))</f>
        <v/>
      </c>
      <c r="K1598" s="7" t="str">
        <f ca="1">IFERROR(XLOOKUP(D1598,'Spec_Single_H&amp;S'!B:B,'Spec_Single_H&amp;S'!F:F),
IFERROR(XLOOKUP(D1598,#REF!,#REF!),""))</f>
        <v/>
      </c>
      <c r="L1598" s="7" t="str">
        <f t="shared" ca="1" si="46"/>
        <v/>
      </c>
    </row>
    <row r="1599" spans="8:12" x14ac:dyDescent="0.3">
      <c r="H1599" s="7" t="str">
        <f>IF(B1599&lt;&gt;"Silicone","",IFERROR(XLOOKUP(D1599,#REF!,#REF!),""))</f>
        <v/>
      </c>
      <c r="J1599" s="7" t="str">
        <f ca="1">IFERROR(XLOOKUP(D1599,'Spec_Single_H&amp;S'!B:B,'Spec_Single_H&amp;S'!E:E),
IFERROR(XLOOKUP(D1599,#REF!,#REF!),""))</f>
        <v/>
      </c>
      <c r="K1599" s="7" t="str">
        <f ca="1">IFERROR(XLOOKUP(D1599,'Spec_Single_H&amp;S'!B:B,'Spec_Single_H&amp;S'!F:F),
IFERROR(XLOOKUP(D1599,#REF!,#REF!),""))</f>
        <v/>
      </c>
      <c r="L1599" s="7" t="str">
        <f t="shared" ca="1" si="46"/>
        <v/>
      </c>
    </row>
    <row r="1600" spans="8:12" x14ac:dyDescent="0.3">
      <c r="H1600" s="7" t="str">
        <f>IF(B1600&lt;&gt;"Silicone","",IFERROR(XLOOKUP(D1600,#REF!,#REF!),""))</f>
        <v/>
      </c>
      <c r="J1600" s="7" t="str">
        <f ca="1">IFERROR(XLOOKUP(D1600,'Spec_Single_H&amp;S'!B:B,'Spec_Single_H&amp;S'!E:E),
IFERROR(XLOOKUP(D1600,#REF!,#REF!),""))</f>
        <v/>
      </c>
      <c r="K1600" s="7" t="str">
        <f ca="1">IFERROR(XLOOKUP(D1600,'Spec_Single_H&amp;S'!B:B,'Spec_Single_H&amp;S'!F:F),
IFERROR(XLOOKUP(D1600,#REF!,#REF!),""))</f>
        <v/>
      </c>
      <c r="L1600" s="7" t="str">
        <f t="shared" ca="1" si="46"/>
        <v/>
      </c>
    </row>
    <row r="1601" spans="8:12" x14ac:dyDescent="0.3">
      <c r="H1601" s="7" t="str">
        <f>IF(B1601&lt;&gt;"Silicone","",IFERROR(XLOOKUP(D1601,#REF!,#REF!),""))</f>
        <v/>
      </c>
      <c r="J1601" s="7" t="str">
        <f ca="1">IFERROR(XLOOKUP(D1601,'Spec_Single_H&amp;S'!B:B,'Spec_Single_H&amp;S'!E:E),
IFERROR(XLOOKUP(D1601,#REF!,#REF!),""))</f>
        <v/>
      </c>
      <c r="K1601" s="7" t="str">
        <f ca="1">IFERROR(XLOOKUP(D1601,'Spec_Single_H&amp;S'!B:B,'Spec_Single_H&amp;S'!F:F),
IFERROR(XLOOKUP(D1601,#REF!,#REF!),""))</f>
        <v/>
      </c>
      <c r="L1601" s="7" t="str">
        <f t="shared" ca="1" si="46"/>
        <v/>
      </c>
    </row>
    <row r="1602" spans="8:12" x14ac:dyDescent="0.3">
      <c r="H1602" s="7" t="str">
        <f>IF(B1602&lt;&gt;"Silicone","",IFERROR(XLOOKUP(D1602,#REF!,#REF!),""))</f>
        <v/>
      </c>
      <c r="J1602" s="7" t="str">
        <f ca="1">IFERROR(XLOOKUP(D1602,'Spec_Single_H&amp;S'!B:B,'Spec_Single_H&amp;S'!E:E),
IFERROR(XLOOKUP(D1602,#REF!,#REF!),""))</f>
        <v/>
      </c>
      <c r="K1602" s="7" t="str">
        <f ca="1">IFERROR(XLOOKUP(D1602,'Spec_Single_H&amp;S'!B:B,'Spec_Single_H&amp;S'!F:F),
IFERROR(XLOOKUP(D1602,#REF!,#REF!),""))</f>
        <v/>
      </c>
      <c r="L1602" s="7" t="str">
        <f t="shared" ca="1" si="46"/>
        <v/>
      </c>
    </row>
    <row r="1603" spans="8:12" x14ac:dyDescent="0.3">
      <c r="H1603" s="7" t="str">
        <f>IF(B1603&lt;&gt;"Silicone","",IFERROR(XLOOKUP(D1603,#REF!,#REF!),""))</f>
        <v/>
      </c>
      <c r="J1603" s="7" t="str">
        <f ca="1">IFERROR(XLOOKUP(D1603,'Spec_Single_H&amp;S'!B:B,'Spec_Single_H&amp;S'!E:E),
IFERROR(XLOOKUP(D1603,#REF!,#REF!),""))</f>
        <v/>
      </c>
      <c r="K1603" s="7" t="str">
        <f ca="1">IFERROR(XLOOKUP(D1603,'Spec_Single_H&amp;S'!B:B,'Spec_Single_H&amp;S'!F:F),
IFERROR(XLOOKUP(D1603,#REF!,#REF!),""))</f>
        <v/>
      </c>
      <c r="L1603" s="7" t="str">
        <f t="shared" ca="1" si="46"/>
        <v/>
      </c>
    </row>
    <row r="1604" spans="8:12" x14ac:dyDescent="0.3">
      <c r="H1604" s="7" t="str">
        <f>IF(B1604&lt;&gt;"Silicone","",IFERROR(XLOOKUP(D1604,#REF!,#REF!),""))</f>
        <v/>
      </c>
      <c r="J1604" s="7" t="str">
        <f ca="1">IFERROR(XLOOKUP(D1604,'Spec_Single_H&amp;S'!B:B,'Spec_Single_H&amp;S'!E:E),
IFERROR(XLOOKUP(D1604,#REF!,#REF!),""))</f>
        <v/>
      </c>
      <c r="K1604" s="7" t="str">
        <f ca="1">IFERROR(XLOOKUP(D1604,'Spec_Single_H&amp;S'!B:B,'Spec_Single_H&amp;S'!F:F),
IFERROR(XLOOKUP(D1604,#REF!,#REF!),""))</f>
        <v/>
      </c>
      <c r="L1604" s="7" t="str">
        <f t="shared" ca="1" si="46"/>
        <v/>
      </c>
    </row>
    <row r="1605" spans="8:12" x14ac:dyDescent="0.3">
      <c r="H1605" s="7" t="str">
        <f>IF(B1605&lt;&gt;"Silicone","",IFERROR(XLOOKUP(D1605,#REF!,#REF!),""))</f>
        <v/>
      </c>
      <c r="J1605" s="7" t="str">
        <f ca="1">IFERROR(XLOOKUP(D1605,'Spec_Single_H&amp;S'!B:B,'Spec_Single_H&amp;S'!E:E),
IFERROR(XLOOKUP(D1605,#REF!,#REF!),""))</f>
        <v/>
      </c>
      <c r="K1605" s="7" t="str">
        <f ca="1">IFERROR(XLOOKUP(D1605,'Spec_Single_H&amp;S'!B:B,'Spec_Single_H&amp;S'!F:F),
IFERROR(XLOOKUP(D1605,#REF!,#REF!),""))</f>
        <v/>
      </c>
      <c r="L1605" s="7" t="str">
        <f t="shared" ca="1" si="46"/>
        <v/>
      </c>
    </row>
    <row r="1606" spans="8:12" x14ac:dyDescent="0.3">
      <c r="H1606" s="7" t="str">
        <f>IF(B1606&lt;&gt;"Silicone","",IFERROR(XLOOKUP(D1606,#REF!,#REF!),""))</f>
        <v/>
      </c>
      <c r="J1606" s="7" t="str">
        <f ca="1">IFERROR(XLOOKUP(D1606,'Spec_Single_H&amp;S'!B:B,'Spec_Single_H&amp;S'!E:E),
IFERROR(XLOOKUP(D1606,#REF!,#REF!),""))</f>
        <v/>
      </c>
      <c r="K1606" s="7" t="str">
        <f ca="1">IFERROR(XLOOKUP(D1606,'Spec_Single_H&amp;S'!B:B,'Spec_Single_H&amp;S'!F:F),
IFERROR(XLOOKUP(D1606,#REF!,#REF!),""))</f>
        <v/>
      </c>
      <c r="L1606" s="7" t="str">
        <f t="shared" ca="1" si="46"/>
        <v/>
      </c>
    </row>
    <row r="1607" spans="8:12" x14ac:dyDescent="0.3">
      <c r="H1607" s="7" t="str">
        <f>IF(B1607&lt;&gt;"Silicone","",IFERROR(XLOOKUP(D1607,#REF!,#REF!),""))</f>
        <v/>
      </c>
      <c r="J1607" s="7" t="str">
        <f ca="1">IFERROR(XLOOKUP(D1607,'Spec_Single_H&amp;S'!B:B,'Spec_Single_H&amp;S'!E:E),
IFERROR(XLOOKUP(D1607,#REF!,#REF!),""))</f>
        <v/>
      </c>
      <c r="K1607" s="7" t="str">
        <f ca="1">IFERROR(XLOOKUP(D1607,'Spec_Single_H&amp;S'!B:B,'Spec_Single_H&amp;S'!F:F),
IFERROR(XLOOKUP(D1607,#REF!,#REF!),""))</f>
        <v/>
      </c>
      <c r="L1607" s="7" t="str">
        <f t="shared" ca="1" si="46"/>
        <v/>
      </c>
    </row>
    <row r="1608" spans="8:12" x14ac:dyDescent="0.3">
      <c r="H1608" s="7" t="str">
        <f>IF(B1608&lt;&gt;"Silicone","",IFERROR(XLOOKUP(D1608,#REF!,#REF!),""))</f>
        <v/>
      </c>
      <c r="J1608" s="7" t="str">
        <f ca="1">IFERROR(XLOOKUP(D1608,'Spec_Single_H&amp;S'!B:B,'Spec_Single_H&amp;S'!E:E),
IFERROR(XLOOKUP(D1608,#REF!,#REF!),""))</f>
        <v/>
      </c>
      <c r="K1608" s="7" t="str">
        <f ca="1">IFERROR(XLOOKUP(D1608,'Spec_Single_H&amp;S'!B:B,'Spec_Single_H&amp;S'!F:F),
IFERROR(XLOOKUP(D1608,#REF!,#REF!),""))</f>
        <v/>
      </c>
      <c r="L1608" s="7" t="str">
        <f t="shared" ref="L1608:L1671" ca="1" si="47">IF(AND(NOT(ISBLANK(I1608)),I1608&gt;=J1608,I1608&lt;=K1608),"적합",IF(ISBLANK(I1608),"", "부적합"))</f>
        <v/>
      </c>
    </row>
    <row r="1609" spans="8:12" x14ac:dyDescent="0.3">
      <c r="H1609" s="7" t="str">
        <f>IF(B1609&lt;&gt;"Silicone","",IFERROR(XLOOKUP(D1609,#REF!,#REF!),""))</f>
        <v/>
      </c>
      <c r="J1609" s="7" t="str">
        <f ca="1">IFERROR(XLOOKUP(D1609,'Spec_Single_H&amp;S'!B:B,'Spec_Single_H&amp;S'!E:E),
IFERROR(XLOOKUP(D1609,#REF!,#REF!),""))</f>
        <v/>
      </c>
      <c r="K1609" s="7" t="str">
        <f ca="1">IFERROR(XLOOKUP(D1609,'Spec_Single_H&amp;S'!B:B,'Spec_Single_H&amp;S'!F:F),
IFERROR(XLOOKUP(D1609,#REF!,#REF!),""))</f>
        <v/>
      </c>
      <c r="L1609" s="7" t="str">
        <f t="shared" ca="1" si="47"/>
        <v/>
      </c>
    </row>
    <row r="1610" spans="8:12" x14ac:dyDescent="0.3">
      <c r="H1610" s="7" t="str">
        <f>IF(B1610&lt;&gt;"Silicone","",IFERROR(XLOOKUP(D1610,#REF!,#REF!),""))</f>
        <v/>
      </c>
      <c r="J1610" s="7" t="str">
        <f ca="1">IFERROR(XLOOKUP(D1610,'Spec_Single_H&amp;S'!B:B,'Spec_Single_H&amp;S'!E:E),
IFERROR(XLOOKUP(D1610,#REF!,#REF!),""))</f>
        <v/>
      </c>
      <c r="K1610" s="7" t="str">
        <f ca="1">IFERROR(XLOOKUP(D1610,'Spec_Single_H&amp;S'!B:B,'Spec_Single_H&amp;S'!F:F),
IFERROR(XLOOKUP(D1610,#REF!,#REF!),""))</f>
        <v/>
      </c>
      <c r="L1610" s="7" t="str">
        <f t="shared" ca="1" si="47"/>
        <v/>
      </c>
    </row>
    <row r="1611" spans="8:12" x14ac:dyDescent="0.3">
      <c r="H1611" s="7" t="str">
        <f>IF(B1611&lt;&gt;"Silicone","",IFERROR(XLOOKUP(D1611,#REF!,#REF!),""))</f>
        <v/>
      </c>
      <c r="J1611" s="7" t="str">
        <f ca="1">IFERROR(XLOOKUP(D1611,'Spec_Single_H&amp;S'!B:B,'Spec_Single_H&amp;S'!E:E),
IFERROR(XLOOKUP(D1611,#REF!,#REF!),""))</f>
        <v/>
      </c>
      <c r="K1611" s="7" t="str">
        <f ca="1">IFERROR(XLOOKUP(D1611,'Spec_Single_H&amp;S'!B:B,'Spec_Single_H&amp;S'!F:F),
IFERROR(XLOOKUP(D1611,#REF!,#REF!),""))</f>
        <v/>
      </c>
      <c r="L1611" s="7" t="str">
        <f t="shared" ca="1" si="47"/>
        <v/>
      </c>
    </row>
    <row r="1612" spans="8:12" x14ac:dyDescent="0.3">
      <c r="H1612" s="7" t="str">
        <f>IF(B1612&lt;&gt;"Silicone","",IFERROR(XLOOKUP(D1612,#REF!,#REF!),""))</f>
        <v/>
      </c>
      <c r="J1612" s="7" t="str">
        <f ca="1">IFERROR(XLOOKUP(D1612,'Spec_Single_H&amp;S'!B:B,'Spec_Single_H&amp;S'!E:E),
IFERROR(XLOOKUP(D1612,#REF!,#REF!),""))</f>
        <v/>
      </c>
      <c r="K1612" s="7" t="str">
        <f ca="1">IFERROR(XLOOKUP(D1612,'Spec_Single_H&amp;S'!B:B,'Spec_Single_H&amp;S'!F:F),
IFERROR(XLOOKUP(D1612,#REF!,#REF!),""))</f>
        <v/>
      </c>
      <c r="L1612" s="7" t="str">
        <f t="shared" ca="1" si="47"/>
        <v/>
      </c>
    </row>
    <row r="1613" spans="8:12" x14ac:dyDescent="0.3">
      <c r="H1613" s="7" t="str">
        <f>IF(B1613&lt;&gt;"Silicone","",IFERROR(XLOOKUP(D1613,#REF!,#REF!),""))</f>
        <v/>
      </c>
      <c r="J1613" s="7" t="str">
        <f ca="1">IFERROR(XLOOKUP(D1613,'Spec_Single_H&amp;S'!B:B,'Spec_Single_H&amp;S'!E:E),
IFERROR(XLOOKUP(D1613,#REF!,#REF!),""))</f>
        <v/>
      </c>
      <c r="K1613" s="7" t="str">
        <f ca="1">IFERROR(XLOOKUP(D1613,'Spec_Single_H&amp;S'!B:B,'Spec_Single_H&amp;S'!F:F),
IFERROR(XLOOKUP(D1613,#REF!,#REF!),""))</f>
        <v/>
      </c>
      <c r="L1613" s="7" t="str">
        <f t="shared" ca="1" si="47"/>
        <v/>
      </c>
    </row>
    <row r="1614" spans="8:12" x14ac:dyDescent="0.3">
      <c r="H1614" s="7" t="str">
        <f>IF(B1614&lt;&gt;"Silicone","",IFERROR(XLOOKUP(D1614,#REF!,#REF!),""))</f>
        <v/>
      </c>
      <c r="J1614" s="7" t="str">
        <f ca="1">IFERROR(XLOOKUP(D1614,'Spec_Single_H&amp;S'!B:B,'Spec_Single_H&amp;S'!E:E),
IFERROR(XLOOKUP(D1614,#REF!,#REF!),""))</f>
        <v/>
      </c>
      <c r="K1614" s="7" t="str">
        <f ca="1">IFERROR(XLOOKUP(D1614,'Spec_Single_H&amp;S'!B:B,'Spec_Single_H&amp;S'!F:F),
IFERROR(XLOOKUP(D1614,#REF!,#REF!),""))</f>
        <v/>
      </c>
      <c r="L1614" s="7" t="str">
        <f t="shared" ca="1" si="47"/>
        <v/>
      </c>
    </row>
    <row r="1615" spans="8:12" x14ac:dyDescent="0.3">
      <c r="H1615" s="7" t="str">
        <f>IF(B1615&lt;&gt;"Silicone","",IFERROR(XLOOKUP(D1615,#REF!,#REF!),""))</f>
        <v/>
      </c>
      <c r="J1615" s="7" t="str">
        <f ca="1">IFERROR(XLOOKUP(D1615,'Spec_Single_H&amp;S'!B:B,'Spec_Single_H&amp;S'!E:E),
IFERROR(XLOOKUP(D1615,#REF!,#REF!),""))</f>
        <v/>
      </c>
      <c r="K1615" s="7" t="str">
        <f ca="1">IFERROR(XLOOKUP(D1615,'Spec_Single_H&amp;S'!B:B,'Spec_Single_H&amp;S'!F:F),
IFERROR(XLOOKUP(D1615,#REF!,#REF!),""))</f>
        <v/>
      </c>
      <c r="L1615" s="7" t="str">
        <f t="shared" ca="1" si="47"/>
        <v/>
      </c>
    </row>
    <row r="1616" spans="8:12" x14ac:dyDescent="0.3">
      <c r="H1616" s="7" t="str">
        <f>IF(B1616&lt;&gt;"Silicone","",IFERROR(XLOOKUP(D1616,#REF!,#REF!),""))</f>
        <v/>
      </c>
      <c r="J1616" s="7" t="str">
        <f ca="1">IFERROR(XLOOKUP(D1616,'Spec_Single_H&amp;S'!B:B,'Spec_Single_H&amp;S'!E:E),
IFERROR(XLOOKUP(D1616,#REF!,#REF!),""))</f>
        <v/>
      </c>
      <c r="K1616" s="7" t="str">
        <f ca="1">IFERROR(XLOOKUP(D1616,'Spec_Single_H&amp;S'!B:B,'Spec_Single_H&amp;S'!F:F),
IFERROR(XLOOKUP(D1616,#REF!,#REF!),""))</f>
        <v/>
      </c>
      <c r="L1616" s="7" t="str">
        <f t="shared" ca="1" si="47"/>
        <v/>
      </c>
    </row>
    <row r="1617" spans="8:12" x14ac:dyDescent="0.3">
      <c r="H1617" s="7" t="str">
        <f>IF(B1617&lt;&gt;"Silicone","",IFERROR(XLOOKUP(D1617,#REF!,#REF!),""))</f>
        <v/>
      </c>
      <c r="J1617" s="7" t="str">
        <f ca="1">IFERROR(XLOOKUP(D1617,'Spec_Single_H&amp;S'!B:B,'Spec_Single_H&amp;S'!E:E),
IFERROR(XLOOKUP(D1617,#REF!,#REF!),""))</f>
        <v/>
      </c>
      <c r="K1617" s="7" t="str">
        <f ca="1">IFERROR(XLOOKUP(D1617,'Spec_Single_H&amp;S'!B:B,'Spec_Single_H&amp;S'!F:F),
IFERROR(XLOOKUP(D1617,#REF!,#REF!),""))</f>
        <v/>
      </c>
      <c r="L1617" s="7" t="str">
        <f t="shared" ca="1" si="47"/>
        <v/>
      </c>
    </row>
    <row r="1618" spans="8:12" x14ac:dyDescent="0.3">
      <c r="H1618" s="7" t="str">
        <f>IF(B1618&lt;&gt;"Silicone","",IFERROR(XLOOKUP(D1618,#REF!,#REF!),""))</f>
        <v/>
      </c>
      <c r="J1618" s="7" t="str">
        <f ca="1">IFERROR(XLOOKUP(D1618,'Spec_Single_H&amp;S'!B:B,'Spec_Single_H&amp;S'!E:E),
IFERROR(XLOOKUP(D1618,#REF!,#REF!),""))</f>
        <v/>
      </c>
      <c r="K1618" s="7" t="str">
        <f ca="1">IFERROR(XLOOKUP(D1618,'Spec_Single_H&amp;S'!B:B,'Spec_Single_H&amp;S'!F:F),
IFERROR(XLOOKUP(D1618,#REF!,#REF!),""))</f>
        <v/>
      </c>
      <c r="L1618" s="7" t="str">
        <f t="shared" ca="1" si="47"/>
        <v/>
      </c>
    </row>
    <row r="1619" spans="8:12" x14ac:dyDescent="0.3">
      <c r="H1619" s="7" t="str">
        <f>IF(B1619&lt;&gt;"Silicone","",IFERROR(XLOOKUP(D1619,#REF!,#REF!),""))</f>
        <v/>
      </c>
      <c r="J1619" s="7" t="str">
        <f ca="1">IFERROR(XLOOKUP(D1619,'Spec_Single_H&amp;S'!B:B,'Spec_Single_H&amp;S'!E:E),
IFERROR(XLOOKUP(D1619,#REF!,#REF!),""))</f>
        <v/>
      </c>
      <c r="K1619" s="7" t="str">
        <f ca="1">IFERROR(XLOOKUP(D1619,'Spec_Single_H&amp;S'!B:B,'Spec_Single_H&amp;S'!F:F),
IFERROR(XLOOKUP(D1619,#REF!,#REF!),""))</f>
        <v/>
      </c>
      <c r="L1619" s="7" t="str">
        <f t="shared" ca="1" si="47"/>
        <v/>
      </c>
    </row>
    <row r="1620" spans="8:12" x14ac:dyDescent="0.3">
      <c r="H1620" s="7" t="str">
        <f>IF(B1620&lt;&gt;"Silicone","",IFERROR(XLOOKUP(D1620,#REF!,#REF!),""))</f>
        <v/>
      </c>
      <c r="J1620" s="7" t="str">
        <f ca="1">IFERROR(XLOOKUP(D1620,'Spec_Single_H&amp;S'!B:B,'Spec_Single_H&amp;S'!E:E),
IFERROR(XLOOKUP(D1620,#REF!,#REF!),""))</f>
        <v/>
      </c>
      <c r="K1620" s="7" t="str">
        <f ca="1">IFERROR(XLOOKUP(D1620,'Spec_Single_H&amp;S'!B:B,'Spec_Single_H&amp;S'!F:F),
IFERROR(XLOOKUP(D1620,#REF!,#REF!),""))</f>
        <v/>
      </c>
      <c r="L1620" s="7" t="str">
        <f t="shared" ca="1" si="47"/>
        <v/>
      </c>
    </row>
    <row r="1621" spans="8:12" x14ac:dyDescent="0.3">
      <c r="H1621" s="7" t="str">
        <f>IF(B1621&lt;&gt;"Silicone","",IFERROR(XLOOKUP(D1621,#REF!,#REF!),""))</f>
        <v/>
      </c>
      <c r="J1621" s="7" t="str">
        <f ca="1">IFERROR(XLOOKUP(D1621,'Spec_Single_H&amp;S'!B:B,'Spec_Single_H&amp;S'!E:E),
IFERROR(XLOOKUP(D1621,#REF!,#REF!),""))</f>
        <v/>
      </c>
      <c r="K1621" s="7" t="str">
        <f ca="1">IFERROR(XLOOKUP(D1621,'Spec_Single_H&amp;S'!B:B,'Spec_Single_H&amp;S'!F:F),
IFERROR(XLOOKUP(D1621,#REF!,#REF!),""))</f>
        <v/>
      </c>
      <c r="L1621" s="7" t="str">
        <f t="shared" ca="1" si="47"/>
        <v/>
      </c>
    </row>
    <row r="1622" spans="8:12" x14ac:dyDescent="0.3">
      <c r="H1622" s="7" t="str">
        <f>IF(B1622&lt;&gt;"Silicone","",IFERROR(XLOOKUP(D1622,#REF!,#REF!),""))</f>
        <v/>
      </c>
      <c r="J1622" s="7" t="str">
        <f ca="1">IFERROR(XLOOKUP(D1622,'Spec_Single_H&amp;S'!B:B,'Spec_Single_H&amp;S'!E:E),
IFERROR(XLOOKUP(D1622,#REF!,#REF!),""))</f>
        <v/>
      </c>
      <c r="K1622" s="7" t="str">
        <f ca="1">IFERROR(XLOOKUP(D1622,'Spec_Single_H&amp;S'!B:B,'Spec_Single_H&amp;S'!F:F),
IFERROR(XLOOKUP(D1622,#REF!,#REF!),""))</f>
        <v/>
      </c>
      <c r="L1622" s="7" t="str">
        <f t="shared" ca="1" si="47"/>
        <v/>
      </c>
    </row>
    <row r="1623" spans="8:12" x14ac:dyDescent="0.3">
      <c r="H1623" s="7" t="str">
        <f>IF(B1623&lt;&gt;"Silicone","",IFERROR(XLOOKUP(D1623,#REF!,#REF!),""))</f>
        <v/>
      </c>
      <c r="J1623" s="7" t="str">
        <f ca="1">IFERROR(XLOOKUP(D1623,'Spec_Single_H&amp;S'!B:B,'Spec_Single_H&amp;S'!E:E),
IFERROR(XLOOKUP(D1623,#REF!,#REF!),""))</f>
        <v/>
      </c>
      <c r="K1623" s="7" t="str">
        <f ca="1">IFERROR(XLOOKUP(D1623,'Spec_Single_H&amp;S'!B:B,'Spec_Single_H&amp;S'!F:F),
IFERROR(XLOOKUP(D1623,#REF!,#REF!),""))</f>
        <v/>
      </c>
      <c r="L1623" s="7" t="str">
        <f t="shared" ca="1" si="47"/>
        <v/>
      </c>
    </row>
    <row r="1624" spans="8:12" x14ac:dyDescent="0.3">
      <c r="H1624" s="7" t="str">
        <f>IF(B1624&lt;&gt;"Silicone","",IFERROR(XLOOKUP(D1624,#REF!,#REF!),""))</f>
        <v/>
      </c>
      <c r="J1624" s="7" t="str">
        <f ca="1">IFERROR(XLOOKUP(D1624,'Spec_Single_H&amp;S'!B:B,'Spec_Single_H&amp;S'!E:E),
IFERROR(XLOOKUP(D1624,#REF!,#REF!),""))</f>
        <v/>
      </c>
      <c r="K1624" s="7" t="str">
        <f ca="1">IFERROR(XLOOKUP(D1624,'Spec_Single_H&amp;S'!B:B,'Spec_Single_H&amp;S'!F:F),
IFERROR(XLOOKUP(D1624,#REF!,#REF!),""))</f>
        <v/>
      </c>
      <c r="L1624" s="7" t="str">
        <f t="shared" ca="1" si="47"/>
        <v/>
      </c>
    </row>
    <row r="1625" spans="8:12" x14ac:dyDescent="0.3">
      <c r="H1625" s="7" t="str">
        <f>IF(B1625&lt;&gt;"Silicone","",IFERROR(XLOOKUP(D1625,#REF!,#REF!),""))</f>
        <v/>
      </c>
      <c r="J1625" s="7" t="str">
        <f ca="1">IFERROR(XLOOKUP(D1625,'Spec_Single_H&amp;S'!B:B,'Spec_Single_H&amp;S'!E:E),
IFERROR(XLOOKUP(D1625,#REF!,#REF!),""))</f>
        <v/>
      </c>
      <c r="K1625" s="7" t="str">
        <f ca="1">IFERROR(XLOOKUP(D1625,'Spec_Single_H&amp;S'!B:B,'Spec_Single_H&amp;S'!F:F),
IFERROR(XLOOKUP(D1625,#REF!,#REF!),""))</f>
        <v/>
      </c>
      <c r="L1625" s="7" t="str">
        <f t="shared" ca="1" si="47"/>
        <v/>
      </c>
    </row>
    <row r="1626" spans="8:12" x14ac:dyDescent="0.3">
      <c r="H1626" s="7" t="str">
        <f>IF(B1626&lt;&gt;"Silicone","",IFERROR(XLOOKUP(D1626,#REF!,#REF!),""))</f>
        <v/>
      </c>
      <c r="J1626" s="7" t="str">
        <f ca="1">IFERROR(XLOOKUP(D1626,'Spec_Single_H&amp;S'!B:B,'Spec_Single_H&amp;S'!E:E),
IFERROR(XLOOKUP(D1626,#REF!,#REF!),""))</f>
        <v/>
      </c>
      <c r="K1626" s="7" t="str">
        <f ca="1">IFERROR(XLOOKUP(D1626,'Spec_Single_H&amp;S'!B:B,'Spec_Single_H&amp;S'!F:F),
IFERROR(XLOOKUP(D1626,#REF!,#REF!),""))</f>
        <v/>
      </c>
      <c r="L1626" s="7" t="str">
        <f t="shared" ca="1" si="47"/>
        <v/>
      </c>
    </row>
    <row r="1627" spans="8:12" x14ac:dyDescent="0.3">
      <c r="H1627" s="7" t="str">
        <f>IF(B1627&lt;&gt;"Silicone","",IFERROR(XLOOKUP(D1627,#REF!,#REF!),""))</f>
        <v/>
      </c>
      <c r="J1627" s="7" t="str">
        <f ca="1">IFERROR(XLOOKUP(D1627,'Spec_Single_H&amp;S'!B:B,'Spec_Single_H&amp;S'!E:E),
IFERROR(XLOOKUP(D1627,#REF!,#REF!),""))</f>
        <v/>
      </c>
      <c r="K1627" s="7" t="str">
        <f ca="1">IFERROR(XLOOKUP(D1627,'Spec_Single_H&amp;S'!B:B,'Spec_Single_H&amp;S'!F:F),
IFERROR(XLOOKUP(D1627,#REF!,#REF!),""))</f>
        <v/>
      </c>
      <c r="L1627" s="7" t="str">
        <f t="shared" ca="1" si="47"/>
        <v/>
      </c>
    </row>
    <row r="1628" spans="8:12" x14ac:dyDescent="0.3">
      <c r="H1628" s="7" t="str">
        <f>IF(B1628&lt;&gt;"Silicone","",IFERROR(XLOOKUP(D1628,#REF!,#REF!),""))</f>
        <v/>
      </c>
      <c r="J1628" s="7" t="str">
        <f ca="1">IFERROR(XLOOKUP(D1628,'Spec_Single_H&amp;S'!B:B,'Spec_Single_H&amp;S'!E:E),
IFERROR(XLOOKUP(D1628,#REF!,#REF!),""))</f>
        <v/>
      </c>
      <c r="K1628" s="7" t="str">
        <f ca="1">IFERROR(XLOOKUP(D1628,'Spec_Single_H&amp;S'!B:B,'Spec_Single_H&amp;S'!F:F),
IFERROR(XLOOKUP(D1628,#REF!,#REF!),""))</f>
        <v/>
      </c>
      <c r="L1628" s="7" t="str">
        <f t="shared" ca="1" si="47"/>
        <v/>
      </c>
    </row>
    <row r="1629" spans="8:12" x14ac:dyDescent="0.3">
      <c r="H1629" s="7" t="str">
        <f>IF(B1629&lt;&gt;"Silicone","",IFERROR(XLOOKUP(D1629,#REF!,#REF!),""))</f>
        <v/>
      </c>
      <c r="J1629" s="7" t="str">
        <f ca="1">IFERROR(XLOOKUP(D1629,'Spec_Single_H&amp;S'!B:B,'Spec_Single_H&amp;S'!E:E),
IFERROR(XLOOKUP(D1629,#REF!,#REF!),""))</f>
        <v/>
      </c>
      <c r="K1629" s="7" t="str">
        <f ca="1">IFERROR(XLOOKUP(D1629,'Spec_Single_H&amp;S'!B:B,'Spec_Single_H&amp;S'!F:F),
IFERROR(XLOOKUP(D1629,#REF!,#REF!),""))</f>
        <v/>
      </c>
      <c r="L1629" s="7" t="str">
        <f t="shared" ca="1" si="47"/>
        <v/>
      </c>
    </row>
    <row r="1630" spans="8:12" x14ac:dyDescent="0.3">
      <c r="H1630" s="7" t="str">
        <f>IF(B1630&lt;&gt;"Silicone","",IFERROR(XLOOKUP(D1630,#REF!,#REF!),""))</f>
        <v/>
      </c>
      <c r="J1630" s="7" t="str">
        <f ca="1">IFERROR(XLOOKUP(D1630,'Spec_Single_H&amp;S'!B:B,'Spec_Single_H&amp;S'!E:E),
IFERROR(XLOOKUP(D1630,#REF!,#REF!),""))</f>
        <v/>
      </c>
      <c r="K1630" s="7" t="str">
        <f ca="1">IFERROR(XLOOKUP(D1630,'Spec_Single_H&amp;S'!B:B,'Spec_Single_H&amp;S'!F:F),
IFERROR(XLOOKUP(D1630,#REF!,#REF!),""))</f>
        <v/>
      </c>
      <c r="L1630" s="7" t="str">
        <f t="shared" ca="1" si="47"/>
        <v/>
      </c>
    </row>
    <row r="1631" spans="8:12" x14ac:dyDescent="0.3">
      <c r="H1631" s="7" t="str">
        <f>IF(B1631&lt;&gt;"Silicone","",IFERROR(XLOOKUP(D1631,#REF!,#REF!),""))</f>
        <v/>
      </c>
      <c r="J1631" s="7" t="str">
        <f ca="1">IFERROR(XLOOKUP(D1631,'Spec_Single_H&amp;S'!B:B,'Spec_Single_H&amp;S'!E:E),
IFERROR(XLOOKUP(D1631,#REF!,#REF!),""))</f>
        <v/>
      </c>
      <c r="K1631" s="7" t="str">
        <f ca="1">IFERROR(XLOOKUP(D1631,'Spec_Single_H&amp;S'!B:B,'Spec_Single_H&amp;S'!F:F),
IFERROR(XLOOKUP(D1631,#REF!,#REF!),""))</f>
        <v/>
      </c>
      <c r="L1631" s="7" t="str">
        <f t="shared" ca="1" si="47"/>
        <v/>
      </c>
    </row>
    <row r="1632" spans="8:12" x14ac:dyDescent="0.3">
      <c r="H1632" s="7" t="str">
        <f>IF(B1632&lt;&gt;"Silicone","",IFERROR(XLOOKUP(D1632,#REF!,#REF!),""))</f>
        <v/>
      </c>
      <c r="J1632" s="7" t="str">
        <f ca="1">IFERROR(XLOOKUP(D1632,'Spec_Single_H&amp;S'!B:B,'Spec_Single_H&amp;S'!E:E),
IFERROR(XLOOKUP(D1632,#REF!,#REF!),""))</f>
        <v/>
      </c>
      <c r="K1632" s="7" t="str">
        <f ca="1">IFERROR(XLOOKUP(D1632,'Spec_Single_H&amp;S'!B:B,'Spec_Single_H&amp;S'!F:F),
IFERROR(XLOOKUP(D1632,#REF!,#REF!),""))</f>
        <v/>
      </c>
      <c r="L1632" s="7" t="str">
        <f t="shared" ca="1" si="47"/>
        <v/>
      </c>
    </row>
    <row r="1633" spans="8:12" x14ac:dyDescent="0.3">
      <c r="H1633" s="7" t="str">
        <f>IF(B1633&lt;&gt;"Silicone","",IFERROR(XLOOKUP(D1633,#REF!,#REF!),""))</f>
        <v/>
      </c>
      <c r="J1633" s="7" t="str">
        <f ca="1">IFERROR(XLOOKUP(D1633,'Spec_Single_H&amp;S'!B:B,'Spec_Single_H&amp;S'!E:E),
IFERROR(XLOOKUP(D1633,#REF!,#REF!),""))</f>
        <v/>
      </c>
      <c r="K1633" s="7" t="str">
        <f ca="1">IFERROR(XLOOKUP(D1633,'Spec_Single_H&amp;S'!B:B,'Spec_Single_H&amp;S'!F:F),
IFERROR(XLOOKUP(D1633,#REF!,#REF!),""))</f>
        <v/>
      </c>
      <c r="L1633" s="7" t="str">
        <f t="shared" ca="1" si="47"/>
        <v/>
      </c>
    </row>
    <row r="1634" spans="8:12" x14ac:dyDescent="0.3">
      <c r="H1634" s="7" t="str">
        <f>IF(B1634&lt;&gt;"Silicone","",IFERROR(XLOOKUP(D1634,#REF!,#REF!),""))</f>
        <v/>
      </c>
      <c r="J1634" s="7" t="str">
        <f ca="1">IFERROR(XLOOKUP(D1634,'Spec_Single_H&amp;S'!B:B,'Spec_Single_H&amp;S'!E:E),
IFERROR(XLOOKUP(D1634,#REF!,#REF!),""))</f>
        <v/>
      </c>
      <c r="K1634" s="7" t="str">
        <f ca="1">IFERROR(XLOOKUP(D1634,'Spec_Single_H&amp;S'!B:B,'Spec_Single_H&amp;S'!F:F),
IFERROR(XLOOKUP(D1634,#REF!,#REF!),""))</f>
        <v/>
      </c>
      <c r="L1634" s="7" t="str">
        <f t="shared" ca="1" si="47"/>
        <v/>
      </c>
    </row>
    <row r="1635" spans="8:12" x14ac:dyDescent="0.3">
      <c r="H1635" s="7" t="str">
        <f>IF(B1635&lt;&gt;"Silicone","",IFERROR(XLOOKUP(D1635,#REF!,#REF!),""))</f>
        <v/>
      </c>
      <c r="J1635" s="7" t="str">
        <f ca="1">IFERROR(XLOOKUP(D1635,'Spec_Single_H&amp;S'!B:B,'Spec_Single_H&amp;S'!E:E),
IFERROR(XLOOKUP(D1635,#REF!,#REF!),""))</f>
        <v/>
      </c>
      <c r="K1635" s="7" t="str">
        <f ca="1">IFERROR(XLOOKUP(D1635,'Spec_Single_H&amp;S'!B:B,'Spec_Single_H&amp;S'!F:F),
IFERROR(XLOOKUP(D1635,#REF!,#REF!),""))</f>
        <v/>
      </c>
      <c r="L1635" s="7" t="str">
        <f t="shared" ca="1" si="47"/>
        <v/>
      </c>
    </row>
    <row r="1636" spans="8:12" x14ac:dyDescent="0.3">
      <c r="H1636" s="7" t="str">
        <f>IF(B1636&lt;&gt;"Silicone","",IFERROR(XLOOKUP(D1636,#REF!,#REF!),""))</f>
        <v/>
      </c>
      <c r="J1636" s="7" t="str">
        <f ca="1">IFERROR(XLOOKUP(D1636,'Spec_Single_H&amp;S'!B:B,'Spec_Single_H&amp;S'!E:E),
IFERROR(XLOOKUP(D1636,#REF!,#REF!),""))</f>
        <v/>
      </c>
      <c r="K1636" s="7" t="str">
        <f ca="1">IFERROR(XLOOKUP(D1636,'Spec_Single_H&amp;S'!B:B,'Spec_Single_H&amp;S'!F:F),
IFERROR(XLOOKUP(D1636,#REF!,#REF!),""))</f>
        <v/>
      </c>
      <c r="L1636" s="7" t="str">
        <f t="shared" ca="1" si="47"/>
        <v/>
      </c>
    </row>
    <row r="1637" spans="8:12" x14ac:dyDescent="0.3">
      <c r="H1637" s="7" t="str">
        <f>IF(B1637&lt;&gt;"Silicone","",IFERROR(XLOOKUP(D1637,#REF!,#REF!),""))</f>
        <v/>
      </c>
      <c r="J1637" s="7" t="str">
        <f ca="1">IFERROR(XLOOKUP(D1637,'Spec_Single_H&amp;S'!B:B,'Spec_Single_H&amp;S'!E:E),
IFERROR(XLOOKUP(D1637,#REF!,#REF!),""))</f>
        <v/>
      </c>
      <c r="K1637" s="7" t="str">
        <f ca="1">IFERROR(XLOOKUP(D1637,'Spec_Single_H&amp;S'!B:B,'Spec_Single_H&amp;S'!F:F),
IFERROR(XLOOKUP(D1637,#REF!,#REF!),""))</f>
        <v/>
      </c>
      <c r="L1637" s="7" t="str">
        <f t="shared" ca="1" si="47"/>
        <v/>
      </c>
    </row>
    <row r="1638" spans="8:12" x14ac:dyDescent="0.3">
      <c r="H1638" s="7" t="str">
        <f>IF(B1638&lt;&gt;"Silicone","",IFERROR(XLOOKUP(D1638,#REF!,#REF!),""))</f>
        <v/>
      </c>
      <c r="J1638" s="7" t="str">
        <f ca="1">IFERROR(XLOOKUP(D1638,'Spec_Single_H&amp;S'!B:B,'Spec_Single_H&amp;S'!E:E),
IFERROR(XLOOKUP(D1638,#REF!,#REF!),""))</f>
        <v/>
      </c>
      <c r="K1638" s="7" t="str">
        <f ca="1">IFERROR(XLOOKUP(D1638,'Spec_Single_H&amp;S'!B:B,'Spec_Single_H&amp;S'!F:F),
IFERROR(XLOOKUP(D1638,#REF!,#REF!),""))</f>
        <v/>
      </c>
      <c r="L1638" s="7" t="str">
        <f t="shared" ca="1" si="47"/>
        <v/>
      </c>
    </row>
    <row r="1639" spans="8:12" x14ac:dyDescent="0.3">
      <c r="H1639" s="7" t="str">
        <f>IF(B1639&lt;&gt;"Silicone","",IFERROR(XLOOKUP(D1639,#REF!,#REF!),""))</f>
        <v/>
      </c>
      <c r="J1639" s="7" t="str">
        <f ca="1">IFERROR(XLOOKUP(D1639,'Spec_Single_H&amp;S'!B:B,'Spec_Single_H&amp;S'!E:E),
IFERROR(XLOOKUP(D1639,#REF!,#REF!),""))</f>
        <v/>
      </c>
      <c r="K1639" s="7" t="str">
        <f ca="1">IFERROR(XLOOKUP(D1639,'Spec_Single_H&amp;S'!B:B,'Spec_Single_H&amp;S'!F:F),
IFERROR(XLOOKUP(D1639,#REF!,#REF!),""))</f>
        <v/>
      </c>
      <c r="L1639" s="7" t="str">
        <f t="shared" ca="1" si="47"/>
        <v/>
      </c>
    </row>
    <row r="1640" spans="8:12" x14ac:dyDescent="0.3">
      <c r="H1640" s="7" t="str">
        <f>IF(B1640&lt;&gt;"Silicone","",IFERROR(XLOOKUP(D1640,#REF!,#REF!),""))</f>
        <v/>
      </c>
      <c r="J1640" s="7" t="str">
        <f ca="1">IFERROR(XLOOKUP(D1640,'Spec_Single_H&amp;S'!B:B,'Spec_Single_H&amp;S'!E:E),
IFERROR(XLOOKUP(D1640,#REF!,#REF!),""))</f>
        <v/>
      </c>
      <c r="K1640" s="7" t="str">
        <f ca="1">IFERROR(XLOOKUP(D1640,'Spec_Single_H&amp;S'!B:B,'Spec_Single_H&amp;S'!F:F),
IFERROR(XLOOKUP(D1640,#REF!,#REF!),""))</f>
        <v/>
      </c>
      <c r="L1640" s="7" t="str">
        <f t="shared" ca="1" si="47"/>
        <v/>
      </c>
    </row>
    <row r="1641" spans="8:12" x14ac:dyDescent="0.3">
      <c r="H1641" s="7" t="str">
        <f>IF(B1641&lt;&gt;"Silicone","",IFERROR(XLOOKUP(D1641,#REF!,#REF!),""))</f>
        <v/>
      </c>
      <c r="J1641" s="7" t="str">
        <f ca="1">IFERROR(XLOOKUP(D1641,'Spec_Single_H&amp;S'!B:B,'Spec_Single_H&amp;S'!E:E),
IFERROR(XLOOKUP(D1641,#REF!,#REF!),""))</f>
        <v/>
      </c>
      <c r="K1641" s="7" t="str">
        <f ca="1">IFERROR(XLOOKUP(D1641,'Spec_Single_H&amp;S'!B:B,'Spec_Single_H&amp;S'!F:F),
IFERROR(XLOOKUP(D1641,#REF!,#REF!),""))</f>
        <v/>
      </c>
      <c r="L1641" s="7" t="str">
        <f t="shared" ca="1" si="47"/>
        <v/>
      </c>
    </row>
    <row r="1642" spans="8:12" x14ac:dyDescent="0.3">
      <c r="H1642" s="7" t="str">
        <f>IF(B1642&lt;&gt;"Silicone","",IFERROR(XLOOKUP(D1642,#REF!,#REF!),""))</f>
        <v/>
      </c>
      <c r="J1642" s="7" t="str">
        <f ca="1">IFERROR(XLOOKUP(D1642,'Spec_Single_H&amp;S'!B:B,'Spec_Single_H&amp;S'!E:E),
IFERROR(XLOOKUP(D1642,#REF!,#REF!),""))</f>
        <v/>
      </c>
      <c r="K1642" s="7" t="str">
        <f ca="1">IFERROR(XLOOKUP(D1642,'Spec_Single_H&amp;S'!B:B,'Spec_Single_H&amp;S'!F:F),
IFERROR(XLOOKUP(D1642,#REF!,#REF!),""))</f>
        <v/>
      </c>
      <c r="L1642" s="7" t="str">
        <f t="shared" ca="1" si="47"/>
        <v/>
      </c>
    </row>
    <row r="1643" spans="8:12" x14ac:dyDescent="0.3">
      <c r="H1643" s="7" t="str">
        <f>IF(B1643&lt;&gt;"Silicone","",IFERROR(XLOOKUP(D1643,#REF!,#REF!),""))</f>
        <v/>
      </c>
      <c r="J1643" s="7" t="str">
        <f ca="1">IFERROR(XLOOKUP(D1643,'Spec_Single_H&amp;S'!B:B,'Spec_Single_H&amp;S'!E:E),
IFERROR(XLOOKUP(D1643,#REF!,#REF!),""))</f>
        <v/>
      </c>
      <c r="K1643" s="7" t="str">
        <f ca="1">IFERROR(XLOOKUP(D1643,'Spec_Single_H&amp;S'!B:B,'Spec_Single_H&amp;S'!F:F),
IFERROR(XLOOKUP(D1643,#REF!,#REF!),""))</f>
        <v/>
      </c>
      <c r="L1643" s="7" t="str">
        <f t="shared" ca="1" si="47"/>
        <v/>
      </c>
    </row>
    <row r="1644" spans="8:12" x14ac:dyDescent="0.3">
      <c r="H1644" s="7" t="str">
        <f>IF(B1644&lt;&gt;"Silicone","",IFERROR(XLOOKUP(D1644,#REF!,#REF!),""))</f>
        <v/>
      </c>
      <c r="J1644" s="7" t="str">
        <f ca="1">IFERROR(XLOOKUP(D1644,'Spec_Single_H&amp;S'!B:B,'Spec_Single_H&amp;S'!E:E),
IFERROR(XLOOKUP(D1644,#REF!,#REF!),""))</f>
        <v/>
      </c>
      <c r="K1644" s="7" t="str">
        <f ca="1">IFERROR(XLOOKUP(D1644,'Spec_Single_H&amp;S'!B:B,'Spec_Single_H&amp;S'!F:F),
IFERROR(XLOOKUP(D1644,#REF!,#REF!),""))</f>
        <v/>
      </c>
      <c r="L1644" s="7" t="str">
        <f t="shared" ca="1" si="47"/>
        <v/>
      </c>
    </row>
    <row r="1645" spans="8:12" x14ac:dyDescent="0.3">
      <c r="H1645" s="7" t="str">
        <f>IF(B1645&lt;&gt;"Silicone","",IFERROR(XLOOKUP(D1645,#REF!,#REF!),""))</f>
        <v/>
      </c>
      <c r="J1645" s="7" t="str">
        <f ca="1">IFERROR(XLOOKUP(D1645,'Spec_Single_H&amp;S'!B:B,'Spec_Single_H&amp;S'!E:E),
IFERROR(XLOOKUP(D1645,#REF!,#REF!),""))</f>
        <v/>
      </c>
      <c r="K1645" s="7" t="str">
        <f ca="1">IFERROR(XLOOKUP(D1645,'Spec_Single_H&amp;S'!B:B,'Spec_Single_H&amp;S'!F:F),
IFERROR(XLOOKUP(D1645,#REF!,#REF!),""))</f>
        <v/>
      </c>
      <c r="L1645" s="7" t="str">
        <f t="shared" ca="1" si="47"/>
        <v/>
      </c>
    </row>
    <row r="1646" spans="8:12" x14ac:dyDescent="0.3">
      <c r="H1646" s="7" t="str">
        <f>IF(B1646&lt;&gt;"Silicone","",IFERROR(XLOOKUP(D1646,#REF!,#REF!),""))</f>
        <v/>
      </c>
      <c r="J1646" s="7" t="str">
        <f ca="1">IFERROR(XLOOKUP(D1646,'Spec_Single_H&amp;S'!B:B,'Spec_Single_H&amp;S'!E:E),
IFERROR(XLOOKUP(D1646,#REF!,#REF!),""))</f>
        <v/>
      </c>
      <c r="K1646" s="7" t="str">
        <f ca="1">IFERROR(XLOOKUP(D1646,'Spec_Single_H&amp;S'!B:B,'Spec_Single_H&amp;S'!F:F),
IFERROR(XLOOKUP(D1646,#REF!,#REF!),""))</f>
        <v/>
      </c>
      <c r="L1646" s="7" t="str">
        <f t="shared" ca="1" si="47"/>
        <v/>
      </c>
    </row>
    <row r="1647" spans="8:12" x14ac:dyDescent="0.3">
      <c r="H1647" s="7" t="str">
        <f>IF(B1647&lt;&gt;"Silicone","",IFERROR(XLOOKUP(D1647,#REF!,#REF!),""))</f>
        <v/>
      </c>
      <c r="J1647" s="7" t="str">
        <f ca="1">IFERROR(XLOOKUP(D1647,'Spec_Single_H&amp;S'!B:B,'Spec_Single_H&amp;S'!E:E),
IFERROR(XLOOKUP(D1647,#REF!,#REF!),""))</f>
        <v/>
      </c>
      <c r="K1647" s="7" t="str">
        <f ca="1">IFERROR(XLOOKUP(D1647,'Spec_Single_H&amp;S'!B:B,'Spec_Single_H&amp;S'!F:F),
IFERROR(XLOOKUP(D1647,#REF!,#REF!),""))</f>
        <v/>
      </c>
      <c r="L1647" s="7" t="str">
        <f t="shared" ca="1" si="47"/>
        <v/>
      </c>
    </row>
    <row r="1648" spans="8:12" x14ac:dyDescent="0.3">
      <c r="H1648" s="7" t="str">
        <f>IF(B1648&lt;&gt;"Silicone","",IFERROR(XLOOKUP(D1648,#REF!,#REF!),""))</f>
        <v/>
      </c>
      <c r="J1648" s="7" t="str">
        <f ca="1">IFERROR(XLOOKUP(D1648,'Spec_Single_H&amp;S'!B:B,'Spec_Single_H&amp;S'!E:E),
IFERROR(XLOOKUP(D1648,#REF!,#REF!),""))</f>
        <v/>
      </c>
      <c r="K1648" s="7" t="str">
        <f ca="1">IFERROR(XLOOKUP(D1648,'Spec_Single_H&amp;S'!B:B,'Spec_Single_H&amp;S'!F:F),
IFERROR(XLOOKUP(D1648,#REF!,#REF!),""))</f>
        <v/>
      </c>
      <c r="L1648" s="7" t="str">
        <f t="shared" ca="1" si="47"/>
        <v/>
      </c>
    </row>
    <row r="1649" spans="8:12" x14ac:dyDescent="0.3">
      <c r="H1649" s="7" t="str">
        <f>IF(B1649&lt;&gt;"Silicone","",IFERROR(XLOOKUP(D1649,#REF!,#REF!),""))</f>
        <v/>
      </c>
      <c r="J1649" s="7" t="str">
        <f ca="1">IFERROR(XLOOKUP(D1649,'Spec_Single_H&amp;S'!B:B,'Spec_Single_H&amp;S'!E:E),
IFERROR(XLOOKUP(D1649,#REF!,#REF!),""))</f>
        <v/>
      </c>
      <c r="K1649" s="7" t="str">
        <f ca="1">IFERROR(XLOOKUP(D1649,'Spec_Single_H&amp;S'!B:B,'Spec_Single_H&amp;S'!F:F),
IFERROR(XLOOKUP(D1649,#REF!,#REF!),""))</f>
        <v/>
      </c>
      <c r="L1649" s="7" t="str">
        <f t="shared" ca="1" si="47"/>
        <v/>
      </c>
    </row>
    <row r="1650" spans="8:12" x14ac:dyDescent="0.3">
      <c r="H1650" s="7" t="str">
        <f>IF(B1650&lt;&gt;"Silicone","",IFERROR(XLOOKUP(D1650,#REF!,#REF!),""))</f>
        <v/>
      </c>
      <c r="J1650" s="7" t="str">
        <f ca="1">IFERROR(XLOOKUP(D1650,'Spec_Single_H&amp;S'!B:B,'Spec_Single_H&amp;S'!E:E),
IFERROR(XLOOKUP(D1650,#REF!,#REF!),""))</f>
        <v/>
      </c>
      <c r="K1650" s="7" t="str">
        <f ca="1">IFERROR(XLOOKUP(D1650,'Spec_Single_H&amp;S'!B:B,'Spec_Single_H&amp;S'!F:F),
IFERROR(XLOOKUP(D1650,#REF!,#REF!),""))</f>
        <v/>
      </c>
      <c r="L1650" s="7" t="str">
        <f t="shared" ca="1" si="47"/>
        <v/>
      </c>
    </row>
    <row r="1651" spans="8:12" x14ac:dyDescent="0.3">
      <c r="H1651" s="7" t="str">
        <f>IF(B1651&lt;&gt;"Silicone","",IFERROR(XLOOKUP(D1651,#REF!,#REF!),""))</f>
        <v/>
      </c>
      <c r="J1651" s="7" t="str">
        <f ca="1">IFERROR(XLOOKUP(D1651,'Spec_Single_H&amp;S'!B:B,'Spec_Single_H&amp;S'!E:E),
IFERROR(XLOOKUP(D1651,#REF!,#REF!),""))</f>
        <v/>
      </c>
      <c r="K1651" s="7" t="str">
        <f ca="1">IFERROR(XLOOKUP(D1651,'Spec_Single_H&amp;S'!B:B,'Spec_Single_H&amp;S'!F:F),
IFERROR(XLOOKUP(D1651,#REF!,#REF!),""))</f>
        <v/>
      </c>
      <c r="L1651" s="7" t="str">
        <f t="shared" ca="1" si="47"/>
        <v/>
      </c>
    </row>
    <row r="1652" spans="8:12" x14ac:dyDescent="0.3">
      <c r="H1652" s="7" t="str">
        <f>IF(B1652&lt;&gt;"Silicone","",IFERROR(XLOOKUP(D1652,#REF!,#REF!),""))</f>
        <v/>
      </c>
      <c r="J1652" s="7" t="str">
        <f ca="1">IFERROR(XLOOKUP(D1652,'Spec_Single_H&amp;S'!B:B,'Spec_Single_H&amp;S'!E:E),
IFERROR(XLOOKUP(D1652,#REF!,#REF!),""))</f>
        <v/>
      </c>
      <c r="K1652" s="7" t="str">
        <f ca="1">IFERROR(XLOOKUP(D1652,'Spec_Single_H&amp;S'!B:B,'Spec_Single_H&amp;S'!F:F),
IFERROR(XLOOKUP(D1652,#REF!,#REF!),""))</f>
        <v/>
      </c>
      <c r="L1652" s="7" t="str">
        <f t="shared" ca="1" si="47"/>
        <v/>
      </c>
    </row>
    <row r="1653" spans="8:12" x14ac:dyDescent="0.3">
      <c r="H1653" s="7" t="str">
        <f>IF(B1653&lt;&gt;"Silicone","",IFERROR(XLOOKUP(D1653,#REF!,#REF!),""))</f>
        <v/>
      </c>
      <c r="J1653" s="7" t="str">
        <f ca="1">IFERROR(XLOOKUP(D1653,'Spec_Single_H&amp;S'!B:B,'Spec_Single_H&amp;S'!E:E),
IFERROR(XLOOKUP(D1653,#REF!,#REF!),""))</f>
        <v/>
      </c>
      <c r="K1653" s="7" t="str">
        <f ca="1">IFERROR(XLOOKUP(D1653,'Spec_Single_H&amp;S'!B:B,'Spec_Single_H&amp;S'!F:F),
IFERROR(XLOOKUP(D1653,#REF!,#REF!),""))</f>
        <v/>
      </c>
      <c r="L1653" s="7" t="str">
        <f t="shared" ca="1" si="47"/>
        <v/>
      </c>
    </row>
    <row r="1654" spans="8:12" x14ac:dyDescent="0.3">
      <c r="H1654" s="7" t="str">
        <f>IF(B1654&lt;&gt;"Silicone","",IFERROR(XLOOKUP(D1654,#REF!,#REF!),""))</f>
        <v/>
      </c>
      <c r="J1654" s="7" t="str">
        <f ca="1">IFERROR(XLOOKUP(D1654,'Spec_Single_H&amp;S'!B:B,'Spec_Single_H&amp;S'!E:E),
IFERROR(XLOOKUP(D1654,#REF!,#REF!),""))</f>
        <v/>
      </c>
      <c r="K1654" s="7" t="str">
        <f ca="1">IFERROR(XLOOKUP(D1654,'Spec_Single_H&amp;S'!B:B,'Spec_Single_H&amp;S'!F:F),
IFERROR(XLOOKUP(D1654,#REF!,#REF!),""))</f>
        <v/>
      </c>
      <c r="L1654" s="7" t="str">
        <f t="shared" ca="1" si="47"/>
        <v/>
      </c>
    </row>
    <row r="1655" spans="8:12" x14ac:dyDescent="0.3">
      <c r="H1655" s="7" t="str">
        <f>IF(B1655&lt;&gt;"Silicone","",IFERROR(XLOOKUP(D1655,#REF!,#REF!),""))</f>
        <v/>
      </c>
      <c r="J1655" s="7" t="str">
        <f ca="1">IFERROR(XLOOKUP(D1655,'Spec_Single_H&amp;S'!B:B,'Spec_Single_H&amp;S'!E:E),
IFERROR(XLOOKUP(D1655,#REF!,#REF!),""))</f>
        <v/>
      </c>
      <c r="K1655" s="7" t="str">
        <f ca="1">IFERROR(XLOOKUP(D1655,'Spec_Single_H&amp;S'!B:B,'Spec_Single_H&amp;S'!F:F),
IFERROR(XLOOKUP(D1655,#REF!,#REF!),""))</f>
        <v/>
      </c>
      <c r="L1655" s="7" t="str">
        <f t="shared" ca="1" si="47"/>
        <v/>
      </c>
    </row>
    <row r="1656" spans="8:12" x14ac:dyDescent="0.3">
      <c r="H1656" s="7" t="str">
        <f>IF(B1656&lt;&gt;"Silicone","",IFERROR(XLOOKUP(D1656,#REF!,#REF!),""))</f>
        <v/>
      </c>
      <c r="J1656" s="7" t="str">
        <f ca="1">IFERROR(XLOOKUP(D1656,'Spec_Single_H&amp;S'!B:B,'Spec_Single_H&amp;S'!E:E),
IFERROR(XLOOKUP(D1656,#REF!,#REF!),""))</f>
        <v/>
      </c>
      <c r="K1656" s="7" t="str">
        <f ca="1">IFERROR(XLOOKUP(D1656,'Spec_Single_H&amp;S'!B:B,'Spec_Single_H&amp;S'!F:F),
IFERROR(XLOOKUP(D1656,#REF!,#REF!),""))</f>
        <v/>
      </c>
      <c r="L1656" s="7" t="str">
        <f t="shared" ca="1" si="47"/>
        <v/>
      </c>
    </row>
    <row r="1657" spans="8:12" x14ac:dyDescent="0.3">
      <c r="H1657" s="7" t="str">
        <f>IF(B1657&lt;&gt;"Silicone","",IFERROR(XLOOKUP(D1657,#REF!,#REF!),""))</f>
        <v/>
      </c>
      <c r="J1657" s="7" t="str">
        <f ca="1">IFERROR(XLOOKUP(D1657,'Spec_Single_H&amp;S'!B:B,'Spec_Single_H&amp;S'!E:E),
IFERROR(XLOOKUP(D1657,#REF!,#REF!),""))</f>
        <v/>
      </c>
      <c r="K1657" s="7" t="str">
        <f ca="1">IFERROR(XLOOKUP(D1657,'Spec_Single_H&amp;S'!B:B,'Spec_Single_H&amp;S'!F:F),
IFERROR(XLOOKUP(D1657,#REF!,#REF!),""))</f>
        <v/>
      </c>
      <c r="L1657" s="7" t="str">
        <f t="shared" ca="1" si="47"/>
        <v/>
      </c>
    </row>
    <row r="1658" spans="8:12" x14ac:dyDescent="0.3">
      <c r="H1658" s="7" t="str">
        <f>IF(B1658&lt;&gt;"Silicone","",IFERROR(XLOOKUP(D1658,#REF!,#REF!),""))</f>
        <v/>
      </c>
      <c r="J1658" s="7" t="str">
        <f ca="1">IFERROR(XLOOKUP(D1658,'Spec_Single_H&amp;S'!B:B,'Spec_Single_H&amp;S'!E:E),
IFERROR(XLOOKUP(D1658,#REF!,#REF!),""))</f>
        <v/>
      </c>
      <c r="K1658" s="7" t="str">
        <f ca="1">IFERROR(XLOOKUP(D1658,'Spec_Single_H&amp;S'!B:B,'Spec_Single_H&amp;S'!F:F),
IFERROR(XLOOKUP(D1658,#REF!,#REF!),""))</f>
        <v/>
      </c>
      <c r="L1658" s="7" t="str">
        <f t="shared" ca="1" si="47"/>
        <v/>
      </c>
    </row>
    <row r="1659" spans="8:12" x14ac:dyDescent="0.3">
      <c r="H1659" s="7" t="str">
        <f>IF(B1659&lt;&gt;"Silicone","",IFERROR(XLOOKUP(D1659,#REF!,#REF!),""))</f>
        <v/>
      </c>
      <c r="J1659" s="7" t="str">
        <f ca="1">IFERROR(XLOOKUP(D1659,'Spec_Single_H&amp;S'!B:B,'Spec_Single_H&amp;S'!E:E),
IFERROR(XLOOKUP(D1659,#REF!,#REF!),""))</f>
        <v/>
      </c>
      <c r="K1659" s="7" t="str">
        <f ca="1">IFERROR(XLOOKUP(D1659,'Spec_Single_H&amp;S'!B:B,'Spec_Single_H&amp;S'!F:F),
IFERROR(XLOOKUP(D1659,#REF!,#REF!),""))</f>
        <v/>
      </c>
      <c r="L1659" s="7" t="str">
        <f t="shared" ca="1" si="47"/>
        <v/>
      </c>
    </row>
    <row r="1660" spans="8:12" x14ac:dyDescent="0.3">
      <c r="H1660" s="7" t="str">
        <f>IF(B1660&lt;&gt;"Silicone","",IFERROR(XLOOKUP(D1660,#REF!,#REF!),""))</f>
        <v/>
      </c>
      <c r="J1660" s="7" t="str">
        <f ca="1">IFERROR(XLOOKUP(D1660,'Spec_Single_H&amp;S'!B:B,'Spec_Single_H&amp;S'!E:E),
IFERROR(XLOOKUP(D1660,#REF!,#REF!),""))</f>
        <v/>
      </c>
      <c r="K1660" s="7" t="str">
        <f ca="1">IFERROR(XLOOKUP(D1660,'Spec_Single_H&amp;S'!B:B,'Spec_Single_H&amp;S'!F:F),
IFERROR(XLOOKUP(D1660,#REF!,#REF!),""))</f>
        <v/>
      </c>
      <c r="L1660" s="7" t="str">
        <f t="shared" ca="1" si="47"/>
        <v/>
      </c>
    </row>
    <row r="1661" spans="8:12" x14ac:dyDescent="0.3">
      <c r="H1661" s="7" t="str">
        <f>IF(B1661&lt;&gt;"Silicone","",IFERROR(XLOOKUP(D1661,#REF!,#REF!),""))</f>
        <v/>
      </c>
      <c r="J1661" s="7" t="str">
        <f ca="1">IFERROR(XLOOKUP(D1661,'Spec_Single_H&amp;S'!B:B,'Spec_Single_H&amp;S'!E:E),
IFERROR(XLOOKUP(D1661,#REF!,#REF!),""))</f>
        <v/>
      </c>
      <c r="K1661" s="7" t="str">
        <f ca="1">IFERROR(XLOOKUP(D1661,'Spec_Single_H&amp;S'!B:B,'Spec_Single_H&amp;S'!F:F),
IFERROR(XLOOKUP(D1661,#REF!,#REF!),""))</f>
        <v/>
      </c>
      <c r="L1661" s="7" t="str">
        <f t="shared" ca="1" si="47"/>
        <v/>
      </c>
    </row>
    <row r="1662" spans="8:12" x14ac:dyDescent="0.3">
      <c r="H1662" s="7" t="str">
        <f>IF(B1662&lt;&gt;"Silicone","",IFERROR(XLOOKUP(D1662,#REF!,#REF!),""))</f>
        <v/>
      </c>
      <c r="J1662" s="7" t="str">
        <f ca="1">IFERROR(XLOOKUP(D1662,'Spec_Single_H&amp;S'!B:B,'Spec_Single_H&amp;S'!E:E),
IFERROR(XLOOKUP(D1662,#REF!,#REF!),""))</f>
        <v/>
      </c>
      <c r="K1662" s="7" t="str">
        <f ca="1">IFERROR(XLOOKUP(D1662,'Spec_Single_H&amp;S'!B:B,'Spec_Single_H&amp;S'!F:F),
IFERROR(XLOOKUP(D1662,#REF!,#REF!),""))</f>
        <v/>
      </c>
      <c r="L1662" s="7" t="str">
        <f t="shared" ca="1" si="47"/>
        <v/>
      </c>
    </row>
    <row r="1663" spans="8:12" x14ac:dyDescent="0.3">
      <c r="H1663" s="7" t="str">
        <f>IF(B1663&lt;&gt;"Silicone","",IFERROR(XLOOKUP(D1663,#REF!,#REF!),""))</f>
        <v/>
      </c>
      <c r="J1663" s="7" t="str">
        <f ca="1">IFERROR(XLOOKUP(D1663,'Spec_Single_H&amp;S'!B:B,'Spec_Single_H&amp;S'!E:E),
IFERROR(XLOOKUP(D1663,#REF!,#REF!),""))</f>
        <v/>
      </c>
      <c r="K1663" s="7" t="str">
        <f ca="1">IFERROR(XLOOKUP(D1663,'Spec_Single_H&amp;S'!B:B,'Spec_Single_H&amp;S'!F:F),
IFERROR(XLOOKUP(D1663,#REF!,#REF!),""))</f>
        <v/>
      </c>
      <c r="L1663" s="7" t="str">
        <f t="shared" ca="1" si="47"/>
        <v/>
      </c>
    </row>
    <row r="1664" spans="8:12" x14ac:dyDescent="0.3">
      <c r="H1664" s="7" t="str">
        <f>IF(B1664&lt;&gt;"Silicone","",IFERROR(XLOOKUP(D1664,#REF!,#REF!),""))</f>
        <v/>
      </c>
      <c r="J1664" s="7" t="str">
        <f ca="1">IFERROR(XLOOKUP(D1664,'Spec_Single_H&amp;S'!B:B,'Spec_Single_H&amp;S'!E:E),
IFERROR(XLOOKUP(D1664,#REF!,#REF!),""))</f>
        <v/>
      </c>
      <c r="K1664" s="7" t="str">
        <f ca="1">IFERROR(XLOOKUP(D1664,'Spec_Single_H&amp;S'!B:B,'Spec_Single_H&amp;S'!F:F),
IFERROR(XLOOKUP(D1664,#REF!,#REF!),""))</f>
        <v/>
      </c>
      <c r="L1664" s="7" t="str">
        <f t="shared" ca="1" si="47"/>
        <v/>
      </c>
    </row>
    <row r="1665" spans="8:12" x14ac:dyDescent="0.3">
      <c r="H1665" s="7" t="str">
        <f>IF(B1665&lt;&gt;"Silicone","",IFERROR(XLOOKUP(D1665,#REF!,#REF!),""))</f>
        <v/>
      </c>
      <c r="J1665" s="7" t="str">
        <f ca="1">IFERROR(XLOOKUP(D1665,'Spec_Single_H&amp;S'!B:B,'Spec_Single_H&amp;S'!E:E),
IFERROR(XLOOKUP(D1665,#REF!,#REF!),""))</f>
        <v/>
      </c>
      <c r="K1665" s="7" t="str">
        <f ca="1">IFERROR(XLOOKUP(D1665,'Spec_Single_H&amp;S'!B:B,'Spec_Single_H&amp;S'!F:F),
IFERROR(XLOOKUP(D1665,#REF!,#REF!),""))</f>
        <v/>
      </c>
      <c r="L1665" s="7" t="str">
        <f t="shared" ca="1" si="47"/>
        <v/>
      </c>
    </row>
    <row r="1666" spans="8:12" x14ac:dyDescent="0.3">
      <c r="H1666" s="7" t="str">
        <f>IF(B1666&lt;&gt;"Silicone","",IFERROR(XLOOKUP(D1666,#REF!,#REF!),""))</f>
        <v/>
      </c>
      <c r="J1666" s="7" t="str">
        <f ca="1">IFERROR(XLOOKUP(D1666,'Spec_Single_H&amp;S'!B:B,'Spec_Single_H&amp;S'!E:E),
IFERROR(XLOOKUP(D1666,#REF!,#REF!),""))</f>
        <v/>
      </c>
      <c r="K1666" s="7" t="str">
        <f ca="1">IFERROR(XLOOKUP(D1666,'Spec_Single_H&amp;S'!B:B,'Spec_Single_H&amp;S'!F:F),
IFERROR(XLOOKUP(D1666,#REF!,#REF!),""))</f>
        <v/>
      </c>
      <c r="L1666" s="7" t="str">
        <f t="shared" ca="1" si="47"/>
        <v/>
      </c>
    </row>
    <row r="1667" spans="8:12" x14ac:dyDescent="0.3">
      <c r="H1667" s="7" t="str">
        <f>IF(B1667&lt;&gt;"Silicone","",IFERROR(XLOOKUP(D1667,#REF!,#REF!),""))</f>
        <v/>
      </c>
      <c r="J1667" s="7" t="str">
        <f ca="1">IFERROR(XLOOKUP(D1667,'Spec_Single_H&amp;S'!B:B,'Spec_Single_H&amp;S'!E:E),
IFERROR(XLOOKUP(D1667,#REF!,#REF!),""))</f>
        <v/>
      </c>
      <c r="K1667" s="7" t="str">
        <f ca="1">IFERROR(XLOOKUP(D1667,'Spec_Single_H&amp;S'!B:B,'Spec_Single_H&amp;S'!F:F),
IFERROR(XLOOKUP(D1667,#REF!,#REF!),""))</f>
        <v/>
      </c>
      <c r="L1667" s="7" t="str">
        <f t="shared" ca="1" si="47"/>
        <v/>
      </c>
    </row>
    <row r="1668" spans="8:12" x14ac:dyDescent="0.3">
      <c r="H1668" s="7" t="str">
        <f>IF(B1668&lt;&gt;"Silicone","",IFERROR(XLOOKUP(D1668,#REF!,#REF!),""))</f>
        <v/>
      </c>
      <c r="J1668" s="7" t="str">
        <f ca="1">IFERROR(XLOOKUP(D1668,'Spec_Single_H&amp;S'!B:B,'Spec_Single_H&amp;S'!E:E),
IFERROR(XLOOKUP(D1668,#REF!,#REF!),""))</f>
        <v/>
      </c>
      <c r="K1668" s="7" t="str">
        <f ca="1">IFERROR(XLOOKUP(D1668,'Spec_Single_H&amp;S'!B:B,'Spec_Single_H&amp;S'!F:F),
IFERROR(XLOOKUP(D1668,#REF!,#REF!),""))</f>
        <v/>
      </c>
      <c r="L1668" s="7" t="str">
        <f t="shared" ca="1" si="47"/>
        <v/>
      </c>
    </row>
    <row r="1669" spans="8:12" x14ac:dyDescent="0.3">
      <c r="H1669" s="7" t="str">
        <f>IF(B1669&lt;&gt;"Silicone","",IFERROR(XLOOKUP(D1669,#REF!,#REF!),""))</f>
        <v/>
      </c>
      <c r="J1669" s="7" t="str">
        <f ca="1">IFERROR(XLOOKUP(D1669,'Spec_Single_H&amp;S'!B:B,'Spec_Single_H&amp;S'!E:E),
IFERROR(XLOOKUP(D1669,#REF!,#REF!),""))</f>
        <v/>
      </c>
      <c r="K1669" s="7" t="str">
        <f ca="1">IFERROR(XLOOKUP(D1669,'Spec_Single_H&amp;S'!B:B,'Spec_Single_H&amp;S'!F:F),
IFERROR(XLOOKUP(D1669,#REF!,#REF!),""))</f>
        <v/>
      </c>
      <c r="L1669" s="7" t="str">
        <f t="shared" ca="1" si="47"/>
        <v/>
      </c>
    </row>
    <row r="1670" spans="8:12" x14ac:dyDescent="0.3">
      <c r="H1670" s="7" t="str">
        <f>IF(B1670&lt;&gt;"Silicone","",IFERROR(XLOOKUP(D1670,#REF!,#REF!),""))</f>
        <v/>
      </c>
      <c r="J1670" s="7" t="str">
        <f ca="1">IFERROR(XLOOKUP(D1670,'Spec_Single_H&amp;S'!B:B,'Spec_Single_H&amp;S'!E:E),
IFERROR(XLOOKUP(D1670,#REF!,#REF!),""))</f>
        <v/>
      </c>
      <c r="K1670" s="7" t="str">
        <f ca="1">IFERROR(XLOOKUP(D1670,'Spec_Single_H&amp;S'!B:B,'Spec_Single_H&amp;S'!F:F),
IFERROR(XLOOKUP(D1670,#REF!,#REF!),""))</f>
        <v/>
      </c>
      <c r="L1670" s="7" t="str">
        <f t="shared" ca="1" si="47"/>
        <v/>
      </c>
    </row>
    <row r="1671" spans="8:12" x14ac:dyDescent="0.3">
      <c r="H1671" s="7" t="str">
        <f>IF(B1671&lt;&gt;"Silicone","",IFERROR(XLOOKUP(D1671,#REF!,#REF!),""))</f>
        <v/>
      </c>
      <c r="J1671" s="7" t="str">
        <f ca="1">IFERROR(XLOOKUP(D1671,'Spec_Single_H&amp;S'!B:B,'Spec_Single_H&amp;S'!E:E),
IFERROR(XLOOKUP(D1671,#REF!,#REF!),""))</f>
        <v/>
      </c>
      <c r="K1671" s="7" t="str">
        <f ca="1">IFERROR(XLOOKUP(D1671,'Spec_Single_H&amp;S'!B:B,'Spec_Single_H&amp;S'!F:F),
IFERROR(XLOOKUP(D1671,#REF!,#REF!),""))</f>
        <v/>
      </c>
      <c r="L1671" s="7" t="str">
        <f t="shared" ca="1" si="47"/>
        <v/>
      </c>
    </row>
    <row r="1672" spans="8:12" x14ac:dyDescent="0.3">
      <c r="H1672" s="7" t="str">
        <f>IF(B1672&lt;&gt;"Silicone","",IFERROR(XLOOKUP(D1672,#REF!,#REF!),""))</f>
        <v/>
      </c>
      <c r="J1672" s="7" t="str">
        <f ca="1">IFERROR(XLOOKUP(D1672,'Spec_Single_H&amp;S'!B:B,'Spec_Single_H&amp;S'!E:E),
IFERROR(XLOOKUP(D1672,#REF!,#REF!),""))</f>
        <v/>
      </c>
      <c r="K1672" s="7" t="str">
        <f ca="1">IFERROR(XLOOKUP(D1672,'Spec_Single_H&amp;S'!B:B,'Spec_Single_H&amp;S'!F:F),
IFERROR(XLOOKUP(D1672,#REF!,#REF!),""))</f>
        <v/>
      </c>
      <c r="L1672" s="7" t="str">
        <f t="shared" ref="L1672:L1735" ca="1" si="48">IF(AND(NOT(ISBLANK(I1672)),I1672&gt;=J1672,I1672&lt;=K1672),"적합",IF(ISBLANK(I1672),"", "부적합"))</f>
        <v/>
      </c>
    </row>
    <row r="1673" spans="8:12" x14ac:dyDescent="0.3">
      <c r="H1673" s="7" t="str">
        <f>IF(B1673&lt;&gt;"Silicone","",IFERROR(XLOOKUP(D1673,#REF!,#REF!),""))</f>
        <v/>
      </c>
      <c r="J1673" s="7" t="str">
        <f ca="1">IFERROR(XLOOKUP(D1673,'Spec_Single_H&amp;S'!B:B,'Spec_Single_H&amp;S'!E:E),
IFERROR(XLOOKUP(D1673,#REF!,#REF!),""))</f>
        <v/>
      </c>
      <c r="K1673" s="7" t="str">
        <f ca="1">IFERROR(XLOOKUP(D1673,'Spec_Single_H&amp;S'!B:B,'Spec_Single_H&amp;S'!F:F),
IFERROR(XLOOKUP(D1673,#REF!,#REF!),""))</f>
        <v/>
      </c>
      <c r="L1673" s="7" t="str">
        <f t="shared" ca="1" si="48"/>
        <v/>
      </c>
    </row>
    <row r="1674" spans="8:12" x14ac:dyDescent="0.3">
      <c r="H1674" s="7" t="str">
        <f>IF(B1674&lt;&gt;"Silicone","",IFERROR(XLOOKUP(D1674,#REF!,#REF!),""))</f>
        <v/>
      </c>
      <c r="J1674" s="7" t="str">
        <f ca="1">IFERROR(XLOOKUP(D1674,'Spec_Single_H&amp;S'!B:B,'Spec_Single_H&amp;S'!E:E),
IFERROR(XLOOKUP(D1674,#REF!,#REF!),""))</f>
        <v/>
      </c>
      <c r="K1674" s="7" t="str">
        <f ca="1">IFERROR(XLOOKUP(D1674,'Spec_Single_H&amp;S'!B:B,'Spec_Single_H&amp;S'!F:F),
IFERROR(XLOOKUP(D1674,#REF!,#REF!),""))</f>
        <v/>
      </c>
      <c r="L1674" s="7" t="str">
        <f t="shared" ca="1" si="48"/>
        <v/>
      </c>
    </row>
    <row r="1675" spans="8:12" x14ac:dyDescent="0.3">
      <c r="H1675" s="7" t="str">
        <f>IF(B1675&lt;&gt;"Silicone","",IFERROR(XLOOKUP(D1675,#REF!,#REF!),""))</f>
        <v/>
      </c>
      <c r="J1675" s="7" t="str">
        <f ca="1">IFERROR(XLOOKUP(D1675,'Spec_Single_H&amp;S'!B:B,'Spec_Single_H&amp;S'!E:E),
IFERROR(XLOOKUP(D1675,#REF!,#REF!),""))</f>
        <v/>
      </c>
      <c r="K1675" s="7" t="str">
        <f ca="1">IFERROR(XLOOKUP(D1675,'Spec_Single_H&amp;S'!B:B,'Spec_Single_H&amp;S'!F:F),
IFERROR(XLOOKUP(D1675,#REF!,#REF!),""))</f>
        <v/>
      </c>
      <c r="L1675" s="7" t="str">
        <f t="shared" ca="1" si="48"/>
        <v/>
      </c>
    </row>
    <row r="1676" spans="8:12" x14ac:dyDescent="0.3">
      <c r="H1676" s="7" t="str">
        <f>IF(B1676&lt;&gt;"Silicone","",IFERROR(XLOOKUP(D1676,#REF!,#REF!),""))</f>
        <v/>
      </c>
      <c r="J1676" s="7" t="str">
        <f ca="1">IFERROR(XLOOKUP(D1676,'Spec_Single_H&amp;S'!B:B,'Spec_Single_H&amp;S'!E:E),
IFERROR(XLOOKUP(D1676,#REF!,#REF!),""))</f>
        <v/>
      </c>
      <c r="K1676" s="7" t="str">
        <f ca="1">IFERROR(XLOOKUP(D1676,'Spec_Single_H&amp;S'!B:B,'Spec_Single_H&amp;S'!F:F),
IFERROR(XLOOKUP(D1676,#REF!,#REF!),""))</f>
        <v/>
      </c>
      <c r="L1676" s="7" t="str">
        <f t="shared" ca="1" si="48"/>
        <v/>
      </c>
    </row>
    <row r="1677" spans="8:12" x14ac:dyDescent="0.3">
      <c r="H1677" s="7" t="str">
        <f>IF(B1677&lt;&gt;"Silicone","",IFERROR(XLOOKUP(D1677,#REF!,#REF!),""))</f>
        <v/>
      </c>
      <c r="J1677" s="7" t="str">
        <f ca="1">IFERROR(XLOOKUP(D1677,'Spec_Single_H&amp;S'!B:B,'Spec_Single_H&amp;S'!E:E),
IFERROR(XLOOKUP(D1677,#REF!,#REF!),""))</f>
        <v/>
      </c>
      <c r="K1677" s="7" t="str">
        <f ca="1">IFERROR(XLOOKUP(D1677,'Spec_Single_H&amp;S'!B:B,'Spec_Single_H&amp;S'!F:F),
IFERROR(XLOOKUP(D1677,#REF!,#REF!),""))</f>
        <v/>
      </c>
      <c r="L1677" s="7" t="str">
        <f t="shared" ca="1" si="48"/>
        <v/>
      </c>
    </row>
    <row r="1678" spans="8:12" x14ac:dyDescent="0.3">
      <c r="H1678" s="7" t="str">
        <f>IF(B1678&lt;&gt;"Silicone","",IFERROR(XLOOKUP(D1678,#REF!,#REF!),""))</f>
        <v/>
      </c>
      <c r="J1678" s="7" t="str">
        <f ca="1">IFERROR(XLOOKUP(D1678,'Spec_Single_H&amp;S'!B:B,'Spec_Single_H&amp;S'!E:E),
IFERROR(XLOOKUP(D1678,#REF!,#REF!),""))</f>
        <v/>
      </c>
      <c r="K1678" s="7" t="str">
        <f ca="1">IFERROR(XLOOKUP(D1678,'Spec_Single_H&amp;S'!B:B,'Spec_Single_H&amp;S'!F:F),
IFERROR(XLOOKUP(D1678,#REF!,#REF!),""))</f>
        <v/>
      </c>
      <c r="L1678" s="7" t="str">
        <f t="shared" ca="1" si="48"/>
        <v/>
      </c>
    </row>
    <row r="1679" spans="8:12" x14ac:dyDescent="0.3">
      <c r="H1679" s="7" t="str">
        <f>IF(B1679&lt;&gt;"Silicone","",IFERROR(XLOOKUP(D1679,#REF!,#REF!),""))</f>
        <v/>
      </c>
      <c r="J1679" s="7" t="str">
        <f ca="1">IFERROR(XLOOKUP(D1679,'Spec_Single_H&amp;S'!B:B,'Spec_Single_H&amp;S'!E:E),
IFERROR(XLOOKUP(D1679,#REF!,#REF!),""))</f>
        <v/>
      </c>
      <c r="K1679" s="7" t="str">
        <f ca="1">IFERROR(XLOOKUP(D1679,'Spec_Single_H&amp;S'!B:B,'Spec_Single_H&amp;S'!F:F),
IFERROR(XLOOKUP(D1679,#REF!,#REF!),""))</f>
        <v/>
      </c>
      <c r="L1679" s="7" t="str">
        <f t="shared" ca="1" si="48"/>
        <v/>
      </c>
    </row>
    <row r="1680" spans="8:12" x14ac:dyDescent="0.3">
      <c r="H1680" s="7" t="str">
        <f>IF(B1680&lt;&gt;"Silicone","",IFERROR(XLOOKUP(D1680,#REF!,#REF!),""))</f>
        <v/>
      </c>
      <c r="J1680" s="7" t="str">
        <f ca="1">IFERROR(XLOOKUP(D1680,'Spec_Single_H&amp;S'!B:B,'Spec_Single_H&amp;S'!E:E),
IFERROR(XLOOKUP(D1680,#REF!,#REF!),""))</f>
        <v/>
      </c>
      <c r="K1680" s="7" t="str">
        <f ca="1">IFERROR(XLOOKUP(D1680,'Spec_Single_H&amp;S'!B:B,'Spec_Single_H&amp;S'!F:F),
IFERROR(XLOOKUP(D1680,#REF!,#REF!),""))</f>
        <v/>
      </c>
      <c r="L1680" s="7" t="str">
        <f t="shared" ca="1" si="48"/>
        <v/>
      </c>
    </row>
    <row r="1681" spans="8:12" x14ac:dyDescent="0.3">
      <c r="H1681" s="7" t="str">
        <f>IF(B1681&lt;&gt;"Silicone","",IFERROR(XLOOKUP(D1681,#REF!,#REF!),""))</f>
        <v/>
      </c>
      <c r="J1681" s="7" t="str">
        <f ca="1">IFERROR(XLOOKUP(D1681,'Spec_Single_H&amp;S'!B:B,'Spec_Single_H&amp;S'!E:E),
IFERROR(XLOOKUP(D1681,#REF!,#REF!),""))</f>
        <v/>
      </c>
      <c r="K1681" s="7" t="str">
        <f ca="1">IFERROR(XLOOKUP(D1681,'Spec_Single_H&amp;S'!B:B,'Spec_Single_H&amp;S'!F:F),
IFERROR(XLOOKUP(D1681,#REF!,#REF!),""))</f>
        <v/>
      </c>
      <c r="L1681" s="7" t="str">
        <f t="shared" ca="1" si="48"/>
        <v/>
      </c>
    </row>
    <row r="1682" spans="8:12" x14ac:dyDescent="0.3">
      <c r="H1682" s="7" t="str">
        <f>IF(B1682&lt;&gt;"Silicone","",IFERROR(XLOOKUP(D1682,#REF!,#REF!),""))</f>
        <v/>
      </c>
      <c r="J1682" s="7" t="str">
        <f ca="1">IFERROR(XLOOKUP(D1682,'Spec_Single_H&amp;S'!B:B,'Spec_Single_H&amp;S'!E:E),
IFERROR(XLOOKUP(D1682,#REF!,#REF!),""))</f>
        <v/>
      </c>
      <c r="K1682" s="7" t="str">
        <f ca="1">IFERROR(XLOOKUP(D1682,'Spec_Single_H&amp;S'!B:B,'Spec_Single_H&amp;S'!F:F),
IFERROR(XLOOKUP(D1682,#REF!,#REF!),""))</f>
        <v/>
      </c>
      <c r="L1682" s="7" t="str">
        <f t="shared" ca="1" si="48"/>
        <v/>
      </c>
    </row>
    <row r="1683" spans="8:12" x14ac:dyDescent="0.3">
      <c r="H1683" s="7" t="str">
        <f>IF(B1683&lt;&gt;"Silicone","",IFERROR(XLOOKUP(D1683,#REF!,#REF!),""))</f>
        <v/>
      </c>
      <c r="J1683" s="7" t="str">
        <f ca="1">IFERROR(XLOOKUP(D1683,'Spec_Single_H&amp;S'!B:B,'Spec_Single_H&amp;S'!E:E),
IFERROR(XLOOKUP(D1683,#REF!,#REF!),""))</f>
        <v/>
      </c>
      <c r="K1683" s="7" t="str">
        <f ca="1">IFERROR(XLOOKUP(D1683,'Spec_Single_H&amp;S'!B:B,'Spec_Single_H&amp;S'!F:F),
IFERROR(XLOOKUP(D1683,#REF!,#REF!),""))</f>
        <v/>
      </c>
      <c r="L1683" s="7" t="str">
        <f t="shared" ca="1" si="48"/>
        <v/>
      </c>
    </row>
    <row r="1684" spans="8:12" x14ac:dyDescent="0.3">
      <c r="H1684" s="7" t="str">
        <f>IF(B1684&lt;&gt;"Silicone","",IFERROR(XLOOKUP(D1684,#REF!,#REF!),""))</f>
        <v/>
      </c>
      <c r="J1684" s="7" t="str">
        <f ca="1">IFERROR(XLOOKUP(D1684,'Spec_Single_H&amp;S'!B:B,'Spec_Single_H&amp;S'!E:E),
IFERROR(XLOOKUP(D1684,#REF!,#REF!),""))</f>
        <v/>
      </c>
      <c r="K1684" s="7" t="str">
        <f ca="1">IFERROR(XLOOKUP(D1684,'Spec_Single_H&amp;S'!B:B,'Spec_Single_H&amp;S'!F:F),
IFERROR(XLOOKUP(D1684,#REF!,#REF!),""))</f>
        <v/>
      </c>
      <c r="L1684" s="7" t="str">
        <f t="shared" ca="1" si="48"/>
        <v/>
      </c>
    </row>
    <row r="1685" spans="8:12" x14ac:dyDescent="0.3">
      <c r="H1685" s="7" t="str">
        <f>IF(B1685&lt;&gt;"Silicone","",IFERROR(XLOOKUP(D1685,#REF!,#REF!),""))</f>
        <v/>
      </c>
      <c r="J1685" s="7" t="str">
        <f ca="1">IFERROR(XLOOKUP(D1685,'Spec_Single_H&amp;S'!B:B,'Spec_Single_H&amp;S'!E:E),
IFERROR(XLOOKUP(D1685,#REF!,#REF!),""))</f>
        <v/>
      </c>
      <c r="K1685" s="7" t="str">
        <f ca="1">IFERROR(XLOOKUP(D1685,'Spec_Single_H&amp;S'!B:B,'Spec_Single_H&amp;S'!F:F),
IFERROR(XLOOKUP(D1685,#REF!,#REF!),""))</f>
        <v/>
      </c>
      <c r="L1685" s="7" t="str">
        <f t="shared" ca="1" si="48"/>
        <v/>
      </c>
    </row>
    <row r="1686" spans="8:12" x14ac:dyDescent="0.3">
      <c r="H1686" s="7" t="str">
        <f>IF(B1686&lt;&gt;"Silicone","",IFERROR(XLOOKUP(D1686,#REF!,#REF!),""))</f>
        <v/>
      </c>
      <c r="J1686" s="7" t="str">
        <f ca="1">IFERROR(XLOOKUP(D1686,'Spec_Single_H&amp;S'!B:B,'Spec_Single_H&amp;S'!E:E),
IFERROR(XLOOKUP(D1686,#REF!,#REF!),""))</f>
        <v/>
      </c>
      <c r="K1686" s="7" t="str">
        <f ca="1">IFERROR(XLOOKUP(D1686,'Spec_Single_H&amp;S'!B:B,'Spec_Single_H&amp;S'!F:F),
IFERROR(XLOOKUP(D1686,#REF!,#REF!),""))</f>
        <v/>
      </c>
      <c r="L1686" s="7" t="str">
        <f t="shared" ca="1" si="48"/>
        <v/>
      </c>
    </row>
    <row r="1687" spans="8:12" x14ac:dyDescent="0.3">
      <c r="H1687" s="7" t="str">
        <f>IF(B1687&lt;&gt;"Silicone","",IFERROR(XLOOKUP(D1687,#REF!,#REF!),""))</f>
        <v/>
      </c>
      <c r="J1687" s="7" t="str">
        <f ca="1">IFERROR(XLOOKUP(D1687,'Spec_Single_H&amp;S'!B:B,'Spec_Single_H&amp;S'!E:E),
IFERROR(XLOOKUP(D1687,#REF!,#REF!),""))</f>
        <v/>
      </c>
      <c r="K1687" s="7" t="str">
        <f ca="1">IFERROR(XLOOKUP(D1687,'Spec_Single_H&amp;S'!B:B,'Spec_Single_H&amp;S'!F:F),
IFERROR(XLOOKUP(D1687,#REF!,#REF!),""))</f>
        <v/>
      </c>
      <c r="L1687" s="7" t="str">
        <f t="shared" ca="1" si="48"/>
        <v/>
      </c>
    </row>
    <row r="1688" spans="8:12" x14ac:dyDescent="0.3">
      <c r="H1688" s="7" t="str">
        <f>IF(B1688&lt;&gt;"Silicone","",IFERROR(XLOOKUP(D1688,#REF!,#REF!),""))</f>
        <v/>
      </c>
      <c r="J1688" s="7" t="str">
        <f ca="1">IFERROR(XLOOKUP(D1688,'Spec_Single_H&amp;S'!B:B,'Spec_Single_H&amp;S'!E:E),
IFERROR(XLOOKUP(D1688,#REF!,#REF!),""))</f>
        <v/>
      </c>
      <c r="K1688" s="7" t="str">
        <f ca="1">IFERROR(XLOOKUP(D1688,'Spec_Single_H&amp;S'!B:B,'Spec_Single_H&amp;S'!F:F),
IFERROR(XLOOKUP(D1688,#REF!,#REF!),""))</f>
        <v/>
      </c>
      <c r="L1688" s="7" t="str">
        <f t="shared" ca="1" si="48"/>
        <v/>
      </c>
    </row>
    <row r="1689" spans="8:12" x14ac:dyDescent="0.3">
      <c r="H1689" s="7" t="str">
        <f>IF(B1689&lt;&gt;"Silicone","",IFERROR(XLOOKUP(D1689,#REF!,#REF!),""))</f>
        <v/>
      </c>
      <c r="J1689" s="7" t="str">
        <f ca="1">IFERROR(XLOOKUP(D1689,'Spec_Single_H&amp;S'!B:B,'Spec_Single_H&amp;S'!E:E),
IFERROR(XLOOKUP(D1689,#REF!,#REF!),""))</f>
        <v/>
      </c>
      <c r="K1689" s="7" t="str">
        <f ca="1">IFERROR(XLOOKUP(D1689,'Spec_Single_H&amp;S'!B:B,'Spec_Single_H&amp;S'!F:F),
IFERROR(XLOOKUP(D1689,#REF!,#REF!),""))</f>
        <v/>
      </c>
      <c r="L1689" s="7" t="str">
        <f t="shared" ca="1" si="48"/>
        <v/>
      </c>
    </row>
    <row r="1690" spans="8:12" x14ac:dyDescent="0.3">
      <c r="H1690" s="7" t="str">
        <f>IF(B1690&lt;&gt;"Silicone","",IFERROR(XLOOKUP(D1690,#REF!,#REF!),""))</f>
        <v/>
      </c>
      <c r="J1690" s="7" t="str">
        <f ca="1">IFERROR(XLOOKUP(D1690,'Spec_Single_H&amp;S'!B:B,'Spec_Single_H&amp;S'!E:E),
IFERROR(XLOOKUP(D1690,#REF!,#REF!),""))</f>
        <v/>
      </c>
      <c r="K1690" s="7" t="str">
        <f ca="1">IFERROR(XLOOKUP(D1690,'Spec_Single_H&amp;S'!B:B,'Spec_Single_H&amp;S'!F:F),
IFERROR(XLOOKUP(D1690,#REF!,#REF!),""))</f>
        <v/>
      </c>
      <c r="L1690" s="7" t="str">
        <f t="shared" ca="1" si="48"/>
        <v/>
      </c>
    </row>
    <row r="1691" spans="8:12" x14ac:dyDescent="0.3">
      <c r="H1691" s="7" t="str">
        <f>IF(B1691&lt;&gt;"Silicone","",IFERROR(XLOOKUP(D1691,#REF!,#REF!),""))</f>
        <v/>
      </c>
      <c r="J1691" s="7" t="str">
        <f ca="1">IFERROR(XLOOKUP(D1691,'Spec_Single_H&amp;S'!B:B,'Spec_Single_H&amp;S'!E:E),
IFERROR(XLOOKUP(D1691,#REF!,#REF!),""))</f>
        <v/>
      </c>
      <c r="K1691" s="7" t="str">
        <f ca="1">IFERROR(XLOOKUP(D1691,'Spec_Single_H&amp;S'!B:B,'Spec_Single_H&amp;S'!F:F),
IFERROR(XLOOKUP(D1691,#REF!,#REF!),""))</f>
        <v/>
      </c>
      <c r="L1691" s="7" t="str">
        <f t="shared" ca="1" si="48"/>
        <v/>
      </c>
    </row>
    <row r="1692" spans="8:12" x14ac:dyDescent="0.3">
      <c r="H1692" s="7" t="str">
        <f>IF(B1692&lt;&gt;"Silicone","",IFERROR(XLOOKUP(D1692,#REF!,#REF!),""))</f>
        <v/>
      </c>
      <c r="J1692" s="7" t="str">
        <f ca="1">IFERROR(XLOOKUP(D1692,'Spec_Single_H&amp;S'!B:B,'Spec_Single_H&amp;S'!E:E),
IFERROR(XLOOKUP(D1692,#REF!,#REF!),""))</f>
        <v/>
      </c>
      <c r="K1692" s="7" t="str">
        <f ca="1">IFERROR(XLOOKUP(D1692,'Spec_Single_H&amp;S'!B:B,'Spec_Single_H&amp;S'!F:F),
IFERROR(XLOOKUP(D1692,#REF!,#REF!),""))</f>
        <v/>
      </c>
      <c r="L1692" s="7" t="str">
        <f t="shared" ca="1" si="48"/>
        <v/>
      </c>
    </row>
    <row r="1693" spans="8:12" x14ac:dyDescent="0.3">
      <c r="H1693" s="7" t="str">
        <f>IF(B1693&lt;&gt;"Silicone","",IFERROR(XLOOKUP(D1693,#REF!,#REF!),""))</f>
        <v/>
      </c>
      <c r="J1693" s="7" t="str">
        <f ca="1">IFERROR(XLOOKUP(D1693,'Spec_Single_H&amp;S'!B:B,'Spec_Single_H&amp;S'!E:E),
IFERROR(XLOOKUP(D1693,#REF!,#REF!),""))</f>
        <v/>
      </c>
      <c r="K1693" s="7" t="str">
        <f ca="1">IFERROR(XLOOKUP(D1693,'Spec_Single_H&amp;S'!B:B,'Spec_Single_H&amp;S'!F:F),
IFERROR(XLOOKUP(D1693,#REF!,#REF!),""))</f>
        <v/>
      </c>
      <c r="L1693" s="7" t="str">
        <f t="shared" ca="1" si="48"/>
        <v/>
      </c>
    </row>
    <row r="1694" spans="8:12" x14ac:dyDescent="0.3">
      <c r="H1694" s="7" t="str">
        <f>IF(B1694&lt;&gt;"Silicone","",IFERROR(XLOOKUP(D1694,#REF!,#REF!),""))</f>
        <v/>
      </c>
      <c r="J1694" s="7" t="str">
        <f ca="1">IFERROR(XLOOKUP(D1694,'Spec_Single_H&amp;S'!B:B,'Spec_Single_H&amp;S'!E:E),
IFERROR(XLOOKUP(D1694,#REF!,#REF!),""))</f>
        <v/>
      </c>
      <c r="K1694" s="7" t="str">
        <f ca="1">IFERROR(XLOOKUP(D1694,'Spec_Single_H&amp;S'!B:B,'Spec_Single_H&amp;S'!F:F),
IFERROR(XLOOKUP(D1694,#REF!,#REF!),""))</f>
        <v/>
      </c>
      <c r="L1694" s="7" t="str">
        <f t="shared" ca="1" si="48"/>
        <v/>
      </c>
    </row>
    <row r="1695" spans="8:12" x14ac:dyDescent="0.3">
      <c r="H1695" s="7" t="str">
        <f>IF(B1695&lt;&gt;"Silicone","",IFERROR(XLOOKUP(D1695,#REF!,#REF!),""))</f>
        <v/>
      </c>
      <c r="J1695" s="7" t="str">
        <f ca="1">IFERROR(XLOOKUP(D1695,'Spec_Single_H&amp;S'!B:B,'Spec_Single_H&amp;S'!E:E),
IFERROR(XLOOKUP(D1695,#REF!,#REF!),""))</f>
        <v/>
      </c>
      <c r="K1695" s="7" t="str">
        <f ca="1">IFERROR(XLOOKUP(D1695,'Spec_Single_H&amp;S'!B:B,'Spec_Single_H&amp;S'!F:F),
IFERROR(XLOOKUP(D1695,#REF!,#REF!),""))</f>
        <v/>
      </c>
      <c r="L1695" s="7" t="str">
        <f t="shared" ca="1" si="48"/>
        <v/>
      </c>
    </row>
    <row r="1696" spans="8:12" x14ac:dyDescent="0.3">
      <c r="H1696" s="7" t="str">
        <f>IF(B1696&lt;&gt;"Silicone","",IFERROR(XLOOKUP(D1696,#REF!,#REF!),""))</f>
        <v/>
      </c>
      <c r="J1696" s="7" t="str">
        <f ca="1">IFERROR(XLOOKUP(D1696,'Spec_Single_H&amp;S'!B:B,'Spec_Single_H&amp;S'!E:E),
IFERROR(XLOOKUP(D1696,#REF!,#REF!),""))</f>
        <v/>
      </c>
      <c r="K1696" s="7" t="str">
        <f ca="1">IFERROR(XLOOKUP(D1696,'Spec_Single_H&amp;S'!B:B,'Spec_Single_H&amp;S'!F:F),
IFERROR(XLOOKUP(D1696,#REF!,#REF!),""))</f>
        <v/>
      </c>
      <c r="L1696" s="7" t="str">
        <f t="shared" ca="1" si="48"/>
        <v/>
      </c>
    </row>
    <row r="1697" spans="8:12" x14ac:dyDescent="0.3">
      <c r="H1697" s="7" t="str">
        <f>IF(B1697&lt;&gt;"Silicone","",IFERROR(XLOOKUP(D1697,#REF!,#REF!),""))</f>
        <v/>
      </c>
      <c r="J1697" s="7" t="str">
        <f ca="1">IFERROR(XLOOKUP(D1697,'Spec_Single_H&amp;S'!B:B,'Spec_Single_H&amp;S'!E:E),
IFERROR(XLOOKUP(D1697,#REF!,#REF!),""))</f>
        <v/>
      </c>
      <c r="K1697" s="7" t="str">
        <f ca="1">IFERROR(XLOOKUP(D1697,'Spec_Single_H&amp;S'!B:B,'Spec_Single_H&amp;S'!F:F),
IFERROR(XLOOKUP(D1697,#REF!,#REF!),""))</f>
        <v/>
      </c>
      <c r="L1697" s="7" t="str">
        <f t="shared" ca="1" si="48"/>
        <v/>
      </c>
    </row>
    <row r="1698" spans="8:12" x14ac:dyDescent="0.3">
      <c r="H1698" s="7" t="str">
        <f>IF(B1698&lt;&gt;"Silicone","",IFERROR(XLOOKUP(D1698,#REF!,#REF!),""))</f>
        <v/>
      </c>
      <c r="J1698" s="7" t="str">
        <f ca="1">IFERROR(XLOOKUP(D1698,'Spec_Single_H&amp;S'!B:B,'Spec_Single_H&amp;S'!E:E),
IFERROR(XLOOKUP(D1698,#REF!,#REF!),""))</f>
        <v/>
      </c>
      <c r="K1698" s="7" t="str">
        <f ca="1">IFERROR(XLOOKUP(D1698,'Spec_Single_H&amp;S'!B:B,'Spec_Single_H&amp;S'!F:F),
IFERROR(XLOOKUP(D1698,#REF!,#REF!),""))</f>
        <v/>
      </c>
      <c r="L1698" s="7" t="str">
        <f t="shared" ca="1" si="48"/>
        <v/>
      </c>
    </row>
    <row r="1699" spans="8:12" x14ac:dyDescent="0.3">
      <c r="H1699" s="7" t="str">
        <f>IF(B1699&lt;&gt;"Silicone","",IFERROR(XLOOKUP(D1699,#REF!,#REF!),""))</f>
        <v/>
      </c>
      <c r="J1699" s="7" t="str">
        <f ca="1">IFERROR(XLOOKUP(D1699,'Spec_Single_H&amp;S'!B:B,'Spec_Single_H&amp;S'!E:E),
IFERROR(XLOOKUP(D1699,#REF!,#REF!),""))</f>
        <v/>
      </c>
      <c r="K1699" s="7" t="str">
        <f ca="1">IFERROR(XLOOKUP(D1699,'Spec_Single_H&amp;S'!B:B,'Spec_Single_H&amp;S'!F:F),
IFERROR(XLOOKUP(D1699,#REF!,#REF!),""))</f>
        <v/>
      </c>
      <c r="L1699" s="7" t="str">
        <f t="shared" ca="1" si="48"/>
        <v/>
      </c>
    </row>
    <row r="1700" spans="8:12" x14ac:dyDescent="0.3">
      <c r="H1700" s="7" t="str">
        <f>IF(B1700&lt;&gt;"Silicone","",IFERROR(XLOOKUP(D1700,#REF!,#REF!),""))</f>
        <v/>
      </c>
      <c r="J1700" s="7" t="str">
        <f ca="1">IFERROR(XLOOKUP(D1700,'Spec_Single_H&amp;S'!B:B,'Spec_Single_H&amp;S'!E:E),
IFERROR(XLOOKUP(D1700,#REF!,#REF!),""))</f>
        <v/>
      </c>
      <c r="K1700" s="7" t="str">
        <f ca="1">IFERROR(XLOOKUP(D1700,'Spec_Single_H&amp;S'!B:B,'Spec_Single_H&amp;S'!F:F),
IFERROR(XLOOKUP(D1700,#REF!,#REF!),""))</f>
        <v/>
      </c>
      <c r="L1700" s="7" t="str">
        <f t="shared" ca="1" si="48"/>
        <v/>
      </c>
    </row>
    <row r="1701" spans="8:12" x14ac:dyDescent="0.3">
      <c r="H1701" s="7" t="str">
        <f>IF(B1701&lt;&gt;"Silicone","",IFERROR(XLOOKUP(D1701,#REF!,#REF!),""))</f>
        <v/>
      </c>
      <c r="J1701" s="7" t="str">
        <f ca="1">IFERROR(XLOOKUP(D1701,'Spec_Single_H&amp;S'!B:B,'Spec_Single_H&amp;S'!E:E),
IFERROR(XLOOKUP(D1701,#REF!,#REF!),""))</f>
        <v/>
      </c>
      <c r="K1701" s="7" t="str">
        <f ca="1">IFERROR(XLOOKUP(D1701,'Spec_Single_H&amp;S'!B:B,'Spec_Single_H&amp;S'!F:F),
IFERROR(XLOOKUP(D1701,#REF!,#REF!),""))</f>
        <v/>
      </c>
      <c r="L1701" s="7" t="str">
        <f t="shared" ca="1" si="48"/>
        <v/>
      </c>
    </row>
    <row r="1702" spans="8:12" x14ac:dyDescent="0.3">
      <c r="H1702" s="7" t="str">
        <f>IF(B1702&lt;&gt;"Silicone","",IFERROR(XLOOKUP(D1702,#REF!,#REF!),""))</f>
        <v/>
      </c>
      <c r="J1702" s="7" t="str">
        <f ca="1">IFERROR(XLOOKUP(D1702,'Spec_Single_H&amp;S'!B:B,'Spec_Single_H&amp;S'!E:E),
IFERROR(XLOOKUP(D1702,#REF!,#REF!),""))</f>
        <v/>
      </c>
      <c r="K1702" s="7" t="str">
        <f ca="1">IFERROR(XLOOKUP(D1702,'Spec_Single_H&amp;S'!B:B,'Spec_Single_H&amp;S'!F:F),
IFERROR(XLOOKUP(D1702,#REF!,#REF!),""))</f>
        <v/>
      </c>
      <c r="L1702" s="7" t="str">
        <f t="shared" ca="1" si="48"/>
        <v/>
      </c>
    </row>
    <row r="1703" spans="8:12" x14ac:dyDescent="0.3">
      <c r="H1703" s="7" t="str">
        <f>IF(B1703&lt;&gt;"Silicone","",IFERROR(XLOOKUP(D1703,#REF!,#REF!),""))</f>
        <v/>
      </c>
      <c r="J1703" s="7" t="str">
        <f ca="1">IFERROR(XLOOKUP(D1703,'Spec_Single_H&amp;S'!B:B,'Spec_Single_H&amp;S'!E:E),
IFERROR(XLOOKUP(D1703,#REF!,#REF!),""))</f>
        <v/>
      </c>
      <c r="K1703" s="7" t="str">
        <f ca="1">IFERROR(XLOOKUP(D1703,'Spec_Single_H&amp;S'!B:B,'Spec_Single_H&amp;S'!F:F),
IFERROR(XLOOKUP(D1703,#REF!,#REF!),""))</f>
        <v/>
      </c>
      <c r="L1703" s="7" t="str">
        <f t="shared" ca="1" si="48"/>
        <v/>
      </c>
    </row>
    <row r="1704" spans="8:12" x14ac:dyDescent="0.3">
      <c r="H1704" s="7" t="str">
        <f>IF(B1704&lt;&gt;"Silicone","",IFERROR(XLOOKUP(D1704,#REF!,#REF!),""))</f>
        <v/>
      </c>
      <c r="J1704" s="7" t="str">
        <f ca="1">IFERROR(XLOOKUP(D1704,'Spec_Single_H&amp;S'!B:B,'Spec_Single_H&amp;S'!E:E),
IFERROR(XLOOKUP(D1704,#REF!,#REF!),""))</f>
        <v/>
      </c>
      <c r="K1704" s="7" t="str">
        <f ca="1">IFERROR(XLOOKUP(D1704,'Spec_Single_H&amp;S'!B:B,'Spec_Single_H&amp;S'!F:F),
IFERROR(XLOOKUP(D1704,#REF!,#REF!),""))</f>
        <v/>
      </c>
      <c r="L1704" s="7" t="str">
        <f t="shared" ca="1" si="48"/>
        <v/>
      </c>
    </row>
    <row r="1705" spans="8:12" x14ac:dyDescent="0.3">
      <c r="H1705" s="7" t="str">
        <f>IF(B1705&lt;&gt;"Silicone","",IFERROR(XLOOKUP(D1705,#REF!,#REF!),""))</f>
        <v/>
      </c>
      <c r="J1705" s="7" t="str">
        <f ca="1">IFERROR(XLOOKUP(D1705,'Spec_Single_H&amp;S'!B:B,'Spec_Single_H&amp;S'!E:E),
IFERROR(XLOOKUP(D1705,#REF!,#REF!),""))</f>
        <v/>
      </c>
      <c r="K1705" s="7" t="str">
        <f ca="1">IFERROR(XLOOKUP(D1705,'Spec_Single_H&amp;S'!B:B,'Spec_Single_H&amp;S'!F:F),
IFERROR(XLOOKUP(D1705,#REF!,#REF!),""))</f>
        <v/>
      </c>
      <c r="L1705" s="7" t="str">
        <f t="shared" ca="1" si="48"/>
        <v/>
      </c>
    </row>
    <row r="1706" spans="8:12" x14ac:dyDescent="0.3">
      <c r="H1706" s="7" t="str">
        <f>IF(B1706&lt;&gt;"Silicone","",IFERROR(XLOOKUP(D1706,#REF!,#REF!),""))</f>
        <v/>
      </c>
      <c r="J1706" s="7" t="str">
        <f ca="1">IFERROR(XLOOKUP(D1706,'Spec_Single_H&amp;S'!B:B,'Spec_Single_H&amp;S'!E:E),
IFERROR(XLOOKUP(D1706,#REF!,#REF!),""))</f>
        <v/>
      </c>
      <c r="K1706" s="7" t="str">
        <f ca="1">IFERROR(XLOOKUP(D1706,'Spec_Single_H&amp;S'!B:B,'Spec_Single_H&amp;S'!F:F),
IFERROR(XLOOKUP(D1706,#REF!,#REF!),""))</f>
        <v/>
      </c>
      <c r="L1706" s="7" t="str">
        <f t="shared" ca="1" si="48"/>
        <v/>
      </c>
    </row>
    <row r="1707" spans="8:12" x14ac:dyDescent="0.3">
      <c r="H1707" s="7" t="str">
        <f>IF(B1707&lt;&gt;"Silicone","",IFERROR(XLOOKUP(D1707,#REF!,#REF!),""))</f>
        <v/>
      </c>
      <c r="J1707" s="7" t="str">
        <f ca="1">IFERROR(XLOOKUP(D1707,'Spec_Single_H&amp;S'!B:B,'Spec_Single_H&amp;S'!E:E),
IFERROR(XLOOKUP(D1707,#REF!,#REF!),""))</f>
        <v/>
      </c>
      <c r="K1707" s="7" t="str">
        <f ca="1">IFERROR(XLOOKUP(D1707,'Spec_Single_H&amp;S'!B:B,'Spec_Single_H&amp;S'!F:F),
IFERROR(XLOOKUP(D1707,#REF!,#REF!),""))</f>
        <v/>
      </c>
      <c r="L1707" s="7" t="str">
        <f t="shared" ca="1" si="48"/>
        <v/>
      </c>
    </row>
    <row r="1708" spans="8:12" x14ac:dyDescent="0.3">
      <c r="H1708" s="7" t="str">
        <f>IF(B1708&lt;&gt;"Silicone","",IFERROR(XLOOKUP(D1708,#REF!,#REF!),""))</f>
        <v/>
      </c>
      <c r="J1708" s="7" t="str">
        <f ca="1">IFERROR(XLOOKUP(D1708,'Spec_Single_H&amp;S'!B:B,'Spec_Single_H&amp;S'!E:E),
IFERROR(XLOOKUP(D1708,#REF!,#REF!),""))</f>
        <v/>
      </c>
      <c r="K1708" s="7" t="str">
        <f ca="1">IFERROR(XLOOKUP(D1708,'Spec_Single_H&amp;S'!B:B,'Spec_Single_H&amp;S'!F:F),
IFERROR(XLOOKUP(D1708,#REF!,#REF!),""))</f>
        <v/>
      </c>
      <c r="L1708" s="7" t="str">
        <f t="shared" ca="1" si="48"/>
        <v/>
      </c>
    </row>
    <row r="1709" spans="8:12" x14ac:dyDescent="0.3">
      <c r="H1709" s="7" t="str">
        <f>IF(B1709&lt;&gt;"Silicone","",IFERROR(XLOOKUP(D1709,#REF!,#REF!),""))</f>
        <v/>
      </c>
      <c r="J1709" s="7" t="str">
        <f ca="1">IFERROR(XLOOKUP(D1709,'Spec_Single_H&amp;S'!B:B,'Spec_Single_H&amp;S'!E:E),
IFERROR(XLOOKUP(D1709,#REF!,#REF!),""))</f>
        <v/>
      </c>
      <c r="K1709" s="7" t="str">
        <f ca="1">IFERROR(XLOOKUP(D1709,'Spec_Single_H&amp;S'!B:B,'Spec_Single_H&amp;S'!F:F),
IFERROR(XLOOKUP(D1709,#REF!,#REF!),""))</f>
        <v/>
      </c>
      <c r="L1709" s="7" t="str">
        <f t="shared" ca="1" si="48"/>
        <v/>
      </c>
    </row>
    <row r="1710" spans="8:12" x14ac:dyDescent="0.3">
      <c r="H1710" s="7" t="str">
        <f>IF(B1710&lt;&gt;"Silicone","",IFERROR(XLOOKUP(D1710,#REF!,#REF!),""))</f>
        <v/>
      </c>
      <c r="J1710" s="7" t="str">
        <f ca="1">IFERROR(XLOOKUP(D1710,'Spec_Single_H&amp;S'!B:B,'Spec_Single_H&amp;S'!E:E),
IFERROR(XLOOKUP(D1710,#REF!,#REF!),""))</f>
        <v/>
      </c>
      <c r="K1710" s="7" t="str">
        <f ca="1">IFERROR(XLOOKUP(D1710,'Spec_Single_H&amp;S'!B:B,'Spec_Single_H&amp;S'!F:F),
IFERROR(XLOOKUP(D1710,#REF!,#REF!),""))</f>
        <v/>
      </c>
      <c r="L1710" s="7" t="str">
        <f t="shared" ca="1" si="48"/>
        <v/>
      </c>
    </row>
    <row r="1711" spans="8:12" x14ac:dyDescent="0.3">
      <c r="H1711" s="7" t="str">
        <f>IF(B1711&lt;&gt;"Silicone","",IFERROR(XLOOKUP(D1711,#REF!,#REF!),""))</f>
        <v/>
      </c>
      <c r="J1711" s="7" t="str">
        <f ca="1">IFERROR(XLOOKUP(D1711,'Spec_Single_H&amp;S'!B:B,'Spec_Single_H&amp;S'!E:E),
IFERROR(XLOOKUP(D1711,#REF!,#REF!),""))</f>
        <v/>
      </c>
      <c r="K1711" s="7" t="str">
        <f ca="1">IFERROR(XLOOKUP(D1711,'Spec_Single_H&amp;S'!B:B,'Spec_Single_H&amp;S'!F:F),
IFERROR(XLOOKUP(D1711,#REF!,#REF!),""))</f>
        <v/>
      </c>
      <c r="L1711" s="7" t="str">
        <f t="shared" ca="1" si="48"/>
        <v/>
      </c>
    </row>
    <row r="1712" spans="8:12" x14ac:dyDescent="0.3">
      <c r="H1712" s="7" t="str">
        <f>IF(B1712&lt;&gt;"Silicone","",IFERROR(XLOOKUP(D1712,#REF!,#REF!),""))</f>
        <v/>
      </c>
      <c r="J1712" s="7" t="str">
        <f ca="1">IFERROR(XLOOKUP(D1712,'Spec_Single_H&amp;S'!B:B,'Spec_Single_H&amp;S'!E:E),
IFERROR(XLOOKUP(D1712,#REF!,#REF!),""))</f>
        <v/>
      </c>
      <c r="K1712" s="7" t="str">
        <f ca="1">IFERROR(XLOOKUP(D1712,'Spec_Single_H&amp;S'!B:B,'Spec_Single_H&amp;S'!F:F),
IFERROR(XLOOKUP(D1712,#REF!,#REF!),""))</f>
        <v/>
      </c>
      <c r="L1712" s="7" t="str">
        <f t="shared" ca="1" si="48"/>
        <v/>
      </c>
    </row>
    <row r="1713" spans="8:12" x14ac:dyDescent="0.3">
      <c r="H1713" s="7" t="str">
        <f>IF(B1713&lt;&gt;"Silicone","",IFERROR(XLOOKUP(D1713,#REF!,#REF!),""))</f>
        <v/>
      </c>
      <c r="J1713" s="7" t="str">
        <f ca="1">IFERROR(XLOOKUP(D1713,'Spec_Single_H&amp;S'!B:B,'Spec_Single_H&amp;S'!E:E),
IFERROR(XLOOKUP(D1713,#REF!,#REF!),""))</f>
        <v/>
      </c>
      <c r="K1713" s="7" t="str">
        <f ca="1">IFERROR(XLOOKUP(D1713,'Spec_Single_H&amp;S'!B:B,'Spec_Single_H&amp;S'!F:F),
IFERROR(XLOOKUP(D1713,#REF!,#REF!),""))</f>
        <v/>
      </c>
      <c r="L1713" s="7" t="str">
        <f t="shared" ca="1" si="48"/>
        <v/>
      </c>
    </row>
    <row r="1714" spans="8:12" x14ac:dyDescent="0.3">
      <c r="H1714" s="7" t="str">
        <f>IF(B1714&lt;&gt;"Silicone","",IFERROR(XLOOKUP(D1714,#REF!,#REF!),""))</f>
        <v/>
      </c>
      <c r="J1714" s="7" t="str">
        <f ca="1">IFERROR(XLOOKUP(D1714,'Spec_Single_H&amp;S'!B:B,'Spec_Single_H&amp;S'!E:E),
IFERROR(XLOOKUP(D1714,#REF!,#REF!),""))</f>
        <v/>
      </c>
      <c r="K1714" s="7" t="str">
        <f ca="1">IFERROR(XLOOKUP(D1714,'Spec_Single_H&amp;S'!B:B,'Spec_Single_H&amp;S'!F:F),
IFERROR(XLOOKUP(D1714,#REF!,#REF!),""))</f>
        <v/>
      </c>
      <c r="L1714" s="7" t="str">
        <f t="shared" ca="1" si="48"/>
        <v/>
      </c>
    </row>
    <row r="1715" spans="8:12" x14ac:dyDescent="0.3">
      <c r="H1715" s="7" t="str">
        <f>IF(B1715&lt;&gt;"Silicone","",IFERROR(XLOOKUP(D1715,#REF!,#REF!),""))</f>
        <v/>
      </c>
      <c r="J1715" s="7" t="str">
        <f ca="1">IFERROR(XLOOKUP(D1715,'Spec_Single_H&amp;S'!B:B,'Spec_Single_H&amp;S'!E:E),
IFERROR(XLOOKUP(D1715,#REF!,#REF!),""))</f>
        <v/>
      </c>
      <c r="K1715" s="7" t="str">
        <f ca="1">IFERROR(XLOOKUP(D1715,'Spec_Single_H&amp;S'!B:B,'Spec_Single_H&amp;S'!F:F),
IFERROR(XLOOKUP(D1715,#REF!,#REF!),""))</f>
        <v/>
      </c>
      <c r="L1715" s="7" t="str">
        <f t="shared" ca="1" si="48"/>
        <v/>
      </c>
    </row>
    <row r="1716" spans="8:12" x14ac:dyDescent="0.3">
      <c r="H1716" s="7" t="str">
        <f>IF(B1716&lt;&gt;"Silicone","",IFERROR(XLOOKUP(D1716,#REF!,#REF!),""))</f>
        <v/>
      </c>
      <c r="J1716" s="7" t="str">
        <f ca="1">IFERROR(XLOOKUP(D1716,'Spec_Single_H&amp;S'!B:B,'Spec_Single_H&amp;S'!E:E),
IFERROR(XLOOKUP(D1716,#REF!,#REF!),""))</f>
        <v/>
      </c>
      <c r="K1716" s="7" t="str">
        <f ca="1">IFERROR(XLOOKUP(D1716,'Spec_Single_H&amp;S'!B:B,'Spec_Single_H&amp;S'!F:F),
IFERROR(XLOOKUP(D1716,#REF!,#REF!),""))</f>
        <v/>
      </c>
      <c r="L1716" s="7" t="str">
        <f t="shared" ca="1" si="48"/>
        <v/>
      </c>
    </row>
    <row r="1717" spans="8:12" x14ac:dyDescent="0.3">
      <c r="H1717" s="7" t="str">
        <f>IF(B1717&lt;&gt;"Silicone","",IFERROR(XLOOKUP(D1717,#REF!,#REF!),""))</f>
        <v/>
      </c>
      <c r="J1717" s="7" t="str">
        <f ca="1">IFERROR(XLOOKUP(D1717,'Spec_Single_H&amp;S'!B:B,'Spec_Single_H&amp;S'!E:E),
IFERROR(XLOOKUP(D1717,#REF!,#REF!),""))</f>
        <v/>
      </c>
      <c r="K1717" s="7" t="str">
        <f ca="1">IFERROR(XLOOKUP(D1717,'Spec_Single_H&amp;S'!B:B,'Spec_Single_H&amp;S'!F:F),
IFERROR(XLOOKUP(D1717,#REF!,#REF!),""))</f>
        <v/>
      </c>
      <c r="L1717" s="7" t="str">
        <f t="shared" ca="1" si="48"/>
        <v/>
      </c>
    </row>
    <row r="1718" spans="8:12" x14ac:dyDescent="0.3">
      <c r="H1718" s="7" t="str">
        <f>IF(B1718&lt;&gt;"Silicone","",IFERROR(XLOOKUP(D1718,#REF!,#REF!),""))</f>
        <v/>
      </c>
      <c r="J1718" s="7" t="str">
        <f ca="1">IFERROR(XLOOKUP(D1718,'Spec_Single_H&amp;S'!B:B,'Spec_Single_H&amp;S'!E:E),
IFERROR(XLOOKUP(D1718,#REF!,#REF!),""))</f>
        <v/>
      </c>
      <c r="K1718" s="7" t="str">
        <f ca="1">IFERROR(XLOOKUP(D1718,'Spec_Single_H&amp;S'!B:B,'Spec_Single_H&amp;S'!F:F),
IFERROR(XLOOKUP(D1718,#REF!,#REF!),""))</f>
        <v/>
      </c>
      <c r="L1718" s="7" t="str">
        <f t="shared" ca="1" si="48"/>
        <v/>
      </c>
    </row>
    <row r="1719" spans="8:12" x14ac:dyDescent="0.3">
      <c r="H1719" s="7" t="str">
        <f>IF(B1719&lt;&gt;"Silicone","",IFERROR(XLOOKUP(D1719,#REF!,#REF!),""))</f>
        <v/>
      </c>
      <c r="J1719" s="7" t="str">
        <f ca="1">IFERROR(XLOOKUP(D1719,'Spec_Single_H&amp;S'!B:B,'Spec_Single_H&amp;S'!E:E),
IFERROR(XLOOKUP(D1719,#REF!,#REF!),""))</f>
        <v/>
      </c>
      <c r="K1719" s="7" t="str">
        <f ca="1">IFERROR(XLOOKUP(D1719,'Spec_Single_H&amp;S'!B:B,'Spec_Single_H&amp;S'!F:F),
IFERROR(XLOOKUP(D1719,#REF!,#REF!),""))</f>
        <v/>
      </c>
      <c r="L1719" s="7" t="str">
        <f t="shared" ca="1" si="48"/>
        <v/>
      </c>
    </row>
    <row r="1720" spans="8:12" x14ac:dyDescent="0.3">
      <c r="H1720" s="7" t="str">
        <f>IF(B1720&lt;&gt;"Silicone","",IFERROR(XLOOKUP(D1720,#REF!,#REF!),""))</f>
        <v/>
      </c>
      <c r="J1720" s="7" t="str">
        <f ca="1">IFERROR(XLOOKUP(D1720,'Spec_Single_H&amp;S'!B:B,'Spec_Single_H&amp;S'!E:E),
IFERROR(XLOOKUP(D1720,#REF!,#REF!),""))</f>
        <v/>
      </c>
      <c r="K1720" s="7" t="str">
        <f ca="1">IFERROR(XLOOKUP(D1720,'Spec_Single_H&amp;S'!B:B,'Spec_Single_H&amp;S'!F:F),
IFERROR(XLOOKUP(D1720,#REF!,#REF!),""))</f>
        <v/>
      </c>
      <c r="L1720" s="7" t="str">
        <f t="shared" ca="1" si="48"/>
        <v/>
      </c>
    </row>
    <row r="1721" spans="8:12" x14ac:dyDescent="0.3">
      <c r="H1721" s="7" t="str">
        <f>IF(B1721&lt;&gt;"Silicone","",IFERROR(XLOOKUP(D1721,#REF!,#REF!),""))</f>
        <v/>
      </c>
      <c r="J1721" s="7" t="str">
        <f ca="1">IFERROR(XLOOKUP(D1721,'Spec_Single_H&amp;S'!B:B,'Spec_Single_H&amp;S'!E:E),
IFERROR(XLOOKUP(D1721,#REF!,#REF!),""))</f>
        <v/>
      </c>
      <c r="K1721" s="7" t="str">
        <f ca="1">IFERROR(XLOOKUP(D1721,'Spec_Single_H&amp;S'!B:B,'Spec_Single_H&amp;S'!F:F),
IFERROR(XLOOKUP(D1721,#REF!,#REF!),""))</f>
        <v/>
      </c>
      <c r="L1721" s="7" t="str">
        <f t="shared" ca="1" si="48"/>
        <v/>
      </c>
    </row>
    <row r="1722" spans="8:12" x14ac:dyDescent="0.3">
      <c r="H1722" s="7" t="str">
        <f>IF(B1722&lt;&gt;"Silicone","",IFERROR(XLOOKUP(D1722,#REF!,#REF!),""))</f>
        <v/>
      </c>
      <c r="J1722" s="7" t="str">
        <f ca="1">IFERROR(XLOOKUP(D1722,'Spec_Single_H&amp;S'!B:B,'Spec_Single_H&amp;S'!E:E),
IFERROR(XLOOKUP(D1722,#REF!,#REF!),""))</f>
        <v/>
      </c>
      <c r="K1722" s="7" t="str">
        <f ca="1">IFERROR(XLOOKUP(D1722,'Spec_Single_H&amp;S'!B:B,'Spec_Single_H&amp;S'!F:F),
IFERROR(XLOOKUP(D1722,#REF!,#REF!),""))</f>
        <v/>
      </c>
      <c r="L1722" s="7" t="str">
        <f t="shared" ca="1" si="48"/>
        <v/>
      </c>
    </row>
    <row r="1723" spans="8:12" x14ac:dyDescent="0.3">
      <c r="H1723" s="7" t="str">
        <f>IF(B1723&lt;&gt;"Silicone","",IFERROR(XLOOKUP(D1723,#REF!,#REF!),""))</f>
        <v/>
      </c>
      <c r="J1723" s="7" t="str">
        <f ca="1">IFERROR(XLOOKUP(D1723,'Spec_Single_H&amp;S'!B:B,'Spec_Single_H&amp;S'!E:E),
IFERROR(XLOOKUP(D1723,#REF!,#REF!),""))</f>
        <v/>
      </c>
      <c r="K1723" s="7" t="str">
        <f ca="1">IFERROR(XLOOKUP(D1723,'Spec_Single_H&amp;S'!B:B,'Spec_Single_H&amp;S'!F:F),
IFERROR(XLOOKUP(D1723,#REF!,#REF!),""))</f>
        <v/>
      </c>
      <c r="L1723" s="7" t="str">
        <f t="shared" ca="1" si="48"/>
        <v/>
      </c>
    </row>
    <row r="1724" spans="8:12" x14ac:dyDescent="0.3">
      <c r="H1724" s="7" t="str">
        <f>IF(B1724&lt;&gt;"Silicone","",IFERROR(XLOOKUP(D1724,#REF!,#REF!),""))</f>
        <v/>
      </c>
      <c r="J1724" s="7" t="str">
        <f ca="1">IFERROR(XLOOKUP(D1724,'Spec_Single_H&amp;S'!B:B,'Spec_Single_H&amp;S'!E:E),
IFERROR(XLOOKUP(D1724,#REF!,#REF!),""))</f>
        <v/>
      </c>
      <c r="K1724" s="7" t="str">
        <f ca="1">IFERROR(XLOOKUP(D1724,'Spec_Single_H&amp;S'!B:B,'Spec_Single_H&amp;S'!F:F),
IFERROR(XLOOKUP(D1724,#REF!,#REF!),""))</f>
        <v/>
      </c>
      <c r="L1724" s="7" t="str">
        <f t="shared" ca="1" si="48"/>
        <v/>
      </c>
    </row>
    <row r="1725" spans="8:12" x14ac:dyDescent="0.3">
      <c r="H1725" s="7" t="str">
        <f>IF(B1725&lt;&gt;"Silicone","",IFERROR(XLOOKUP(D1725,#REF!,#REF!),""))</f>
        <v/>
      </c>
      <c r="J1725" s="7" t="str">
        <f ca="1">IFERROR(XLOOKUP(D1725,'Spec_Single_H&amp;S'!B:B,'Spec_Single_H&amp;S'!E:E),
IFERROR(XLOOKUP(D1725,#REF!,#REF!),""))</f>
        <v/>
      </c>
      <c r="K1725" s="7" t="str">
        <f ca="1">IFERROR(XLOOKUP(D1725,'Spec_Single_H&amp;S'!B:B,'Spec_Single_H&amp;S'!F:F),
IFERROR(XLOOKUP(D1725,#REF!,#REF!),""))</f>
        <v/>
      </c>
      <c r="L1725" s="7" t="str">
        <f t="shared" ca="1" si="48"/>
        <v/>
      </c>
    </row>
    <row r="1726" spans="8:12" x14ac:dyDescent="0.3">
      <c r="H1726" s="7" t="str">
        <f>IF(B1726&lt;&gt;"Silicone","",IFERROR(XLOOKUP(D1726,#REF!,#REF!),""))</f>
        <v/>
      </c>
      <c r="J1726" s="7" t="str">
        <f ca="1">IFERROR(XLOOKUP(D1726,'Spec_Single_H&amp;S'!B:B,'Spec_Single_H&amp;S'!E:E),
IFERROR(XLOOKUP(D1726,#REF!,#REF!),""))</f>
        <v/>
      </c>
      <c r="K1726" s="7" t="str">
        <f ca="1">IFERROR(XLOOKUP(D1726,'Spec_Single_H&amp;S'!B:B,'Spec_Single_H&amp;S'!F:F),
IFERROR(XLOOKUP(D1726,#REF!,#REF!),""))</f>
        <v/>
      </c>
      <c r="L1726" s="7" t="str">
        <f t="shared" ca="1" si="48"/>
        <v/>
      </c>
    </row>
    <row r="1727" spans="8:12" x14ac:dyDescent="0.3">
      <c r="H1727" s="7" t="str">
        <f>IF(B1727&lt;&gt;"Silicone","",IFERROR(XLOOKUP(D1727,#REF!,#REF!),""))</f>
        <v/>
      </c>
      <c r="J1727" s="7" t="str">
        <f ca="1">IFERROR(XLOOKUP(D1727,'Spec_Single_H&amp;S'!B:B,'Spec_Single_H&amp;S'!E:E),
IFERROR(XLOOKUP(D1727,#REF!,#REF!),""))</f>
        <v/>
      </c>
      <c r="K1727" s="7" t="str">
        <f ca="1">IFERROR(XLOOKUP(D1727,'Spec_Single_H&amp;S'!B:B,'Spec_Single_H&amp;S'!F:F),
IFERROR(XLOOKUP(D1727,#REF!,#REF!),""))</f>
        <v/>
      </c>
      <c r="L1727" s="7" t="str">
        <f t="shared" ca="1" si="48"/>
        <v/>
      </c>
    </row>
    <row r="1728" spans="8:12" x14ac:dyDescent="0.3">
      <c r="H1728" s="7" t="str">
        <f>IF(B1728&lt;&gt;"Silicone","",IFERROR(XLOOKUP(D1728,#REF!,#REF!),""))</f>
        <v/>
      </c>
      <c r="J1728" s="7" t="str">
        <f ca="1">IFERROR(XLOOKUP(D1728,'Spec_Single_H&amp;S'!B:B,'Spec_Single_H&amp;S'!E:E),
IFERROR(XLOOKUP(D1728,#REF!,#REF!),""))</f>
        <v/>
      </c>
      <c r="K1728" s="7" t="str">
        <f ca="1">IFERROR(XLOOKUP(D1728,'Spec_Single_H&amp;S'!B:B,'Spec_Single_H&amp;S'!F:F),
IFERROR(XLOOKUP(D1728,#REF!,#REF!),""))</f>
        <v/>
      </c>
      <c r="L1728" s="7" t="str">
        <f t="shared" ca="1" si="48"/>
        <v/>
      </c>
    </row>
    <row r="1729" spans="8:12" x14ac:dyDescent="0.3">
      <c r="H1729" s="7" t="str">
        <f>IF(B1729&lt;&gt;"Silicone","",IFERROR(XLOOKUP(D1729,#REF!,#REF!),""))</f>
        <v/>
      </c>
      <c r="J1729" s="7" t="str">
        <f ca="1">IFERROR(XLOOKUP(D1729,'Spec_Single_H&amp;S'!B:B,'Spec_Single_H&amp;S'!E:E),
IFERROR(XLOOKUP(D1729,#REF!,#REF!),""))</f>
        <v/>
      </c>
      <c r="K1729" s="7" t="str">
        <f ca="1">IFERROR(XLOOKUP(D1729,'Spec_Single_H&amp;S'!B:B,'Spec_Single_H&amp;S'!F:F),
IFERROR(XLOOKUP(D1729,#REF!,#REF!),""))</f>
        <v/>
      </c>
      <c r="L1729" s="7" t="str">
        <f t="shared" ca="1" si="48"/>
        <v/>
      </c>
    </row>
    <row r="1730" spans="8:12" x14ac:dyDescent="0.3">
      <c r="H1730" s="7" t="str">
        <f>IF(B1730&lt;&gt;"Silicone","",IFERROR(XLOOKUP(D1730,#REF!,#REF!),""))</f>
        <v/>
      </c>
      <c r="J1730" s="7" t="str">
        <f ca="1">IFERROR(XLOOKUP(D1730,'Spec_Single_H&amp;S'!B:B,'Spec_Single_H&amp;S'!E:E),
IFERROR(XLOOKUP(D1730,#REF!,#REF!),""))</f>
        <v/>
      </c>
      <c r="K1730" s="7" t="str">
        <f ca="1">IFERROR(XLOOKUP(D1730,'Spec_Single_H&amp;S'!B:B,'Spec_Single_H&amp;S'!F:F),
IFERROR(XLOOKUP(D1730,#REF!,#REF!),""))</f>
        <v/>
      </c>
      <c r="L1730" s="7" t="str">
        <f t="shared" ca="1" si="48"/>
        <v/>
      </c>
    </row>
    <row r="1731" spans="8:12" x14ac:dyDescent="0.3">
      <c r="H1731" s="7" t="str">
        <f>IF(B1731&lt;&gt;"Silicone","",IFERROR(XLOOKUP(D1731,#REF!,#REF!),""))</f>
        <v/>
      </c>
      <c r="J1731" s="7" t="str">
        <f ca="1">IFERROR(XLOOKUP(D1731,'Spec_Single_H&amp;S'!B:B,'Spec_Single_H&amp;S'!E:E),
IFERROR(XLOOKUP(D1731,#REF!,#REF!),""))</f>
        <v/>
      </c>
      <c r="K1731" s="7" t="str">
        <f ca="1">IFERROR(XLOOKUP(D1731,'Spec_Single_H&amp;S'!B:B,'Spec_Single_H&amp;S'!F:F),
IFERROR(XLOOKUP(D1731,#REF!,#REF!),""))</f>
        <v/>
      </c>
      <c r="L1731" s="7" t="str">
        <f t="shared" ca="1" si="48"/>
        <v/>
      </c>
    </row>
    <row r="1732" spans="8:12" x14ac:dyDescent="0.3">
      <c r="H1732" s="7" t="str">
        <f>IF(B1732&lt;&gt;"Silicone","",IFERROR(XLOOKUP(D1732,#REF!,#REF!),""))</f>
        <v/>
      </c>
      <c r="J1732" s="7" t="str">
        <f ca="1">IFERROR(XLOOKUP(D1732,'Spec_Single_H&amp;S'!B:B,'Spec_Single_H&amp;S'!E:E),
IFERROR(XLOOKUP(D1732,#REF!,#REF!),""))</f>
        <v/>
      </c>
      <c r="K1732" s="7" t="str">
        <f ca="1">IFERROR(XLOOKUP(D1732,'Spec_Single_H&amp;S'!B:B,'Spec_Single_H&amp;S'!F:F),
IFERROR(XLOOKUP(D1732,#REF!,#REF!),""))</f>
        <v/>
      </c>
      <c r="L1732" s="7" t="str">
        <f t="shared" ca="1" si="48"/>
        <v/>
      </c>
    </row>
    <row r="1733" spans="8:12" x14ac:dyDescent="0.3">
      <c r="H1733" s="7" t="str">
        <f>IF(B1733&lt;&gt;"Silicone","",IFERROR(XLOOKUP(D1733,#REF!,#REF!),""))</f>
        <v/>
      </c>
      <c r="J1733" s="7" t="str">
        <f ca="1">IFERROR(XLOOKUP(D1733,'Spec_Single_H&amp;S'!B:B,'Spec_Single_H&amp;S'!E:E),
IFERROR(XLOOKUP(D1733,#REF!,#REF!),""))</f>
        <v/>
      </c>
      <c r="K1733" s="7" t="str">
        <f ca="1">IFERROR(XLOOKUP(D1733,'Spec_Single_H&amp;S'!B:B,'Spec_Single_H&amp;S'!F:F),
IFERROR(XLOOKUP(D1733,#REF!,#REF!),""))</f>
        <v/>
      </c>
      <c r="L1733" s="7" t="str">
        <f t="shared" ca="1" si="48"/>
        <v/>
      </c>
    </row>
    <row r="1734" spans="8:12" x14ac:dyDescent="0.3">
      <c r="H1734" s="7" t="str">
        <f>IF(B1734&lt;&gt;"Silicone","",IFERROR(XLOOKUP(D1734,#REF!,#REF!),""))</f>
        <v/>
      </c>
      <c r="J1734" s="7" t="str">
        <f ca="1">IFERROR(XLOOKUP(D1734,'Spec_Single_H&amp;S'!B:B,'Spec_Single_H&amp;S'!E:E),
IFERROR(XLOOKUP(D1734,#REF!,#REF!),""))</f>
        <v/>
      </c>
      <c r="K1734" s="7" t="str">
        <f ca="1">IFERROR(XLOOKUP(D1734,'Spec_Single_H&amp;S'!B:B,'Spec_Single_H&amp;S'!F:F),
IFERROR(XLOOKUP(D1734,#REF!,#REF!),""))</f>
        <v/>
      </c>
      <c r="L1734" s="7" t="str">
        <f t="shared" ca="1" si="48"/>
        <v/>
      </c>
    </row>
    <row r="1735" spans="8:12" x14ac:dyDescent="0.3">
      <c r="H1735" s="7" t="str">
        <f>IF(B1735&lt;&gt;"Silicone","",IFERROR(XLOOKUP(D1735,#REF!,#REF!),""))</f>
        <v/>
      </c>
      <c r="J1735" s="7" t="str">
        <f ca="1">IFERROR(XLOOKUP(D1735,'Spec_Single_H&amp;S'!B:B,'Spec_Single_H&amp;S'!E:E),
IFERROR(XLOOKUP(D1735,#REF!,#REF!),""))</f>
        <v/>
      </c>
      <c r="K1735" s="7" t="str">
        <f ca="1">IFERROR(XLOOKUP(D1735,'Spec_Single_H&amp;S'!B:B,'Spec_Single_H&amp;S'!F:F),
IFERROR(XLOOKUP(D1735,#REF!,#REF!),""))</f>
        <v/>
      </c>
      <c r="L1735" s="7" t="str">
        <f t="shared" ca="1" si="48"/>
        <v/>
      </c>
    </row>
    <row r="1736" spans="8:12" x14ac:dyDescent="0.3">
      <c r="H1736" s="7" t="str">
        <f>IF(B1736&lt;&gt;"Silicone","",IFERROR(XLOOKUP(D1736,#REF!,#REF!),""))</f>
        <v/>
      </c>
      <c r="J1736" s="7" t="str">
        <f ca="1">IFERROR(XLOOKUP(D1736,'Spec_Single_H&amp;S'!B:B,'Spec_Single_H&amp;S'!E:E),
IFERROR(XLOOKUP(D1736,#REF!,#REF!),""))</f>
        <v/>
      </c>
      <c r="K1736" s="7" t="str">
        <f ca="1">IFERROR(XLOOKUP(D1736,'Spec_Single_H&amp;S'!B:B,'Spec_Single_H&amp;S'!F:F),
IFERROR(XLOOKUP(D1736,#REF!,#REF!),""))</f>
        <v/>
      </c>
      <c r="L1736" s="7" t="str">
        <f t="shared" ref="L1736:L1799" ca="1" si="49">IF(AND(NOT(ISBLANK(I1736)),I1736&gt;=J1736,I1736&lt;=K1736),"적합",IF(ISBLANK(I1736),"", "부적합"))</f>
        <v/>
      </c>
    </row>
    <row r="1737" spans="8:12" x14ac:dyDescent="0.3">
      <c r="H1737" s="7" t="str">
        <f>IF(B1737&lt;&gt;"Silicone","",IFERROR(XLOOKUP(D1737,#REF!,#REF!),""))</f>
        <v/>
      </c>
      <c r="J1737" s="7" t="str">
        <f ca="1">IFERROR(XLOOKUP(D1737,'Spec_Single_H&amp;S'!B:B,'Spec_Single_H&amp;S'!E:E),
IFERROR(XLOOKUP(D1737,#REF!,#REF!),""))</f>
        <v/>
      </c>
      <c r="K1737" s="7" t="str">
        <f ca="1">IFERROR(XLOOKUP(D1737,'Spec_Single_H&amp;S'!B:B,'Spec_Single_H&amp;S'!F:F),
IFERROR(XLOOKUP(D1737,#REF!,#REF!),""))</f>
        <v/>
      </c>
      <c r="L1737" s="7" t="str">
        <f t="shared" ca="1" si="49"/>
        <v/>
      </c>
    </row>
    <row r="1738" spans="8:12" x14ac:dyDescent="0.3">
      <c r="H1738" s="7" t="str">
        <f>IF(B1738&lt;&gt;"Silicone","",IFERROR(XLOOKUP(D1738,#REF!,#REF!),""))</f>
        <v/>
      </c>
      <c r="J1738" s="7" t="str">
        <f ca="1">IFERROR(XLOOKUP(D1738,'Spec_Single_H&amp;S'!B:B,'Spec_Single_H&amp;S'!E:E),
IFERROR(XLOOKUP(D1738,#REF!,#REF!),""))</f>
        <v/>
      </c>
      <c r="K1738" s="7" t="str">
        <f ca="1">IFERROR(XLOOKUP(D1738,'Spec_Single_H&amp;S'!B:B,'Spec_Single_H&amp;S'!F:F),
IFERROR(XLOOKUP(D1738,#REF!,#REF!),""))</f>
        <v/>
      </c>
      <c r="L1738" s="7" t="str">
        <f t="shared" ca="1" si="49"/>
        <v/>
      </c>
    </row>
    <row r="1739" spans="8:12" x14ac:dyDescent="0.3">
      <c r="H1739" s="7" t="str">
        <f>IF(B1739&lt;&gt;"Silicone","",IFERROR(XLOOKUP(D1739,#REF!,#REF!),""))</f>
        <v/>
      </c>
      <c r="J1739" s="7" t="str">
        <f ca="1">IFERROR(XLOOKUP(D1739,'Spec_Single_H&amp;S'!B:B,'Spec_Single_H&amp;S'!E:E),
IFERROR(XLOOKUP(D1739,#REF!,#REF!),""))</f>
        <v/>
      </c>
      <c r="K1739" s="7" t="str">
        <f ca="1">IFERROR(XLOOKUP(D1739,'Spec_Single_H&amp;S'!B:B,'Spec_Single_H&amp;S'!F:F),
IFERROR(XLOOKUP(D1739,#REF!,#REF!),""))</f>
        <v/>
      </c>
      <c r="L1739" s="7" t="str">
        <f t="shared" ca="1" si="49"/>
        <v/>
      </c>
    </row>
    <row r="1740" spans="8:12" x14ac:dyDescent="0.3">
      <c r="H1740" s="7" t="str">
        <f>IF(B1740&lt;&gt;"Silicone","",IFERROR(XLOOKUP(D1740,#REF!,#REF!),""))</f>
        <v/>
      </c>
      <c r="J1740" s="7" t="str">
        <f ca="1">IFERROR(XLOOKUP(D1740,'Spec_Single_H&amp;S'!B:B,'Spec_Single_H&amp;S'!E:E),
IFERROR(XLOOKUP(D1740,#REF!,#REF!),""))</f>
        <v/>
      </c>
      <c r="K1740" s="7" t="str">
        <f ca="1">IFERROR(XLOOKUP(D1740,'Spec_Single_H&amp;S'!B:B,'Spec_Single_H&amp;S'!F:F),
IFERROR(XLOOKUP(D1740,#REF!,#REF!),""))</f>
        <v/>
      </c>
      <c r="L1740" s="7" t="str">
        <f t="shared" ca="1" si="49"/>
        <v/>
      </c>
    </row>
    <row r="1741" spans="8:12" x14ac:dyDescent="0.3">
      <c r="H1741" s="7" t="str">
        <f>IF(B1741&lt;&gt;"Silicone","",IFERROR(XLOOKUP(D1741,#REF!,#REF!),""))</f>
        <v/>
      </c>
      <c r="J1741" s="7" t="str">
        <f ca="1">IFERROR(XLOOKUP(D1741,'Spec_Single_H&amp;S'!B:B,'Spec_Single_H&amp;S'!E:E),
IFERROR(XLOOKUP(D1741,#REF!,#REF!),""))</f>
        <v/>
      </c>
      <c r="K1741" s="7" t="str">
        <f ca="1">IFERROR(XLOOKUP(D1741,'Spec_Single_H&amp;S'!B:B,'Spec_Single_H&amp;S'!F:F),
IFERROR(XLOOKUP(D1741,#REF!,#REF!),""))</f>
        <v/>
      </c>
      <c r="L1741" s="7" t="str">
        <f t="shared" ca="1" si="49"/>
        <v/>
      </c>
    </row>
    <row r="1742" spans="8:12" x14ac:dyDescent="0.3">
      <c r="H1742" s="7" t="str">
        <f>IF(B1742&lt;&gt;"Silicone","",IFERROR(XLOOKUP(D1742,#REF!,#REF!),""))</f>
        <v/>
      </c>
      <c r="J1742" s="7" t="str">
        <f ca="1">IFERROR(XLOOKUP(D1742,'Spec_Single_H&amp;S'!B:B,'Spec_Single_H&amp;S'!E:E),
IFERROR(XLOOKUP(D1742,#REF!,#REF!),""))</f>
        <v/>
      </c>
      <c r="K1742" s="7" t="str">
        <f ca="1">IFERROR(XLOOKUP(D1742,'Spec_Single_H&amp;S'!B:B,'Spec_Single_H&amp;S'!F:F),
IFERROR(XLOOKUP(D1742,#REF!,#REF!),""))</f>
        <v/>
      </c>
      <c r="L1742" s="7" t="str">
        <f t="shared" ca="1" si="49"/>
        <v/>
      </c>
    </row>
    <row r="1743" spans="8:12" x14ac:dyDescent="0.3">
      <c r="H1743" s="7" t="str">
        <f>IF(B1743&lt;&gt;"Silicone","",IFERROR(XLOOKUP(D1743,#REF!,#REF!),""))</f>
        <v/>
      </c>
      <c r="J1743" s="7" t="str">
        <f ca="1">IFERROR(XLOOKUP(D1743,'Spec_Single_H&amp;S'!B:B,'Spec_Single_H&amp;S'!E:E),
IFERROR(XLOOKUP(D1743,#REF!,#REF!),""))</f>
        <v/>
      </c>
      <c r="K1743" s="7" t="str">
        <f ca="1">IFERROR(XLOOKUP(D1743,'Spec_Single_H&amp;S'!B:B,'Spec_Single_H&amp;S'!F:F),
IFERROR(XLOOKUP(D1743,#REF!,#REF!),""))</f>
        <v/>
      </c>
      <c r="L1743" s="7" t="str">
        <f t="shared" ca="1" si="49"/>
        <v/>
      </c>
    </row>
    <row r="1744" spans="8:12" x14ac:dyDescent="0.3">
      <c r="H1744" s="7" t="str">
        <f>IF(B1744&lt;&gt;"Silicone","",IFERROR(XLOOKUP(D1744,#REF!,#REF!),""))</f>
        <v/>
      </c>
      <c r="J1744" s="7" t="str">
        <f ca="1">IFERROR(XLOOKUP(D1744,'Spec_Single_H&amp;S'!B:B,'Spec_Single_H&amp;S'!E:E),
IFERROR(XLOOKUP(D1744,#REF!,#REF!),""))</f>
        <v/>
      </c>
      <c r="K1744" s="7" t="str">
        <f ca="1">IFERROR(XLOOKUP(D1744,'Spec_Single_H&amp;S'!B:B,'Spec_Single_H&amp;S'!F:F),
IFERROR(XLOOKUP(D1744,#REF!,#REF!),""))</f>
        <v/>
      </c>
      <c r="L1744" s="7" t="str">
        <f t="shared" ca="1" si="49"/>
        <v/>
      </c>
    </row>
    <row r="1745" spans="8:12" x14ac:dyDescent="0.3">
      <c r="H1745" s="7" t="str">
        <f>IF(B1745&lt;&gt;"Silicone","",IFERROR(XLOOKUP(D1745,#REF!,#REF!),""))</f>
        <v/>
      </c>
      <c r="J1745" s="7" t="str">
        <f ca="1">IFERROR(XLOOKUP(D1745,'Spec_Single_H&amp;S'!B:B,'Spec_Single_H&amp;S'!E:E),
IFERROR(XLOOKUP(D1745,#REF!,#REF!),""))</f>
        <v/>
      </c>
      <c r="K1745" s="7" t="str">
        <f ca="1">IFERROR(XLOOKUP(D1745,'Spec_Single_H&amp;S'!B:B,'Spec_Single_H&amp;S'!F:F),
IFERROR(XLOOKUP(D1745,#REF!,#REF!),""))</f>
        <v/>
      </c>
      <c r="L1745" s="7" t="str">
        <f t="shared" ca="1" si="49"/>
        <v/>
      </c>
    </row>
    <row r="1746" spans="8:12" x14ac:dyDescent="0.3">
      <c r="H1746" s="7" t="str">
        <f>IF(B1746&lt;&gt;"Silicone","",IFERROR(XLOOKUP(D1746,#REF!,#REF!),""))</f>
        <v/>
      </c>
      <c r="J1746" s="7" t="str">
        <f ca="1">IFERROR(XLOOKUP(D1746,'Spec_Single_H&amp;S'!B:B,'Spec_Single_H&amp;S'!E:E),
IFERROR(XLOOKUP(D1746,#REF!,#REF!),""))</f>
        <v/>
      </c>
      <c r="K1746" s="7" t="str">
        <f ca="1">IFERROR(XLOOKUP(D1746,'Spec_Single_H&amp;S'!B:B,'Spec_Single_H&amp;S'!F:F),
IFERROR(XLOOKUP(D1746,#REF!,#REF!),""))</f>
        <v/>
      </c>
      <c r="L1746" s="7" t="str">
        <f t="shared" ca="1" si="49"/>
        <v/>
      </c>
    </row>
    <row r="1747" spans="8:12" x14ac:dyDescent="0.3">
      <c r="H1747" s="7" t="str">
        <f>IF(B1747&lt;&gt;"Silicone","",IFERROR(XLOOKUP(D1747,#REF!,#REF!),""))</f>
        <v/>
      </c>
      <c r="J1747" s="7" t="str">
        <f ca="1">IFERROR(XLOOKUP(D1747,'Spec_Single_H&amp;S'!B:B,'Spec_Single_H&amp;S'!E:E),
IFERROR(XLOOKUP(D1747,#REF!,#REF!),""))</f>
        <v/>
      </c>
      <c r="K1747" s="7" t="str">
        <f ca="1">IFERROR(XLOOKUP(D1747,'Spec_Single_H&amp;S'!B:B,'Spec_Single_H&amp;S'!F:F),
IFERROR(XLOOKUP(D1747,#REF!,#REF!),""))</f>
        <v/>
      </c>
      <c r="L1747" s="7" t="str">
        <f t="shared" ca="1" si="49"/>
        <v/>
      </c>
    </row>
    <row r="1748" spans="8:12" x14ac:dyDescent="0.3">
      <c r="H1748" s="7" t="str">
        <f>IF(B1748&lt;&gt;"Silicone","",IFERROR(XLOOKUP(D1748,#REF!,#REF!),""))</f>
        <v/>
      </c>
      <c r="J1748" s="7" t="str">
        <f ca="1">IFERROR(XLOOKUP(D1748,'Spec_Single_H&amp;S'!B:B,'Spec_Single_H&amp;S'!E:E),
IFERROR(XLOOKUP(D1748,#REF!,#REF!),""))</f>
        <v/>
      </c>
      <c r="K1748" s="7" t="str">
        <f ca="1">IFERROR(XLOOKUP(D1748,'Spec_Single_H&amp;S'!B:B,'Spec_Single_H&amp;S'!F:F),
IFERROR(XLOOKUP(D1748,#REF!,#REF!),""))</f>
        <v/>
      </c>
      <c r="L1748" s="7" t="str">
        <f t="shared" ca="1" si="49"/>
        <v/>
      </c>
    </row>
    <row r="1749" spans="8:12" x14ac:dyDescent="0.3">
      <c r="H1749" s="7" t="str">
        <f>IF(B1749&lt;&gt;"Silicone","",IFERROR(XLOOKUP(D1749,#REF!,#REF!),""))</f>
        <v/>
      </c>
      <c r="J1749" s="7" t="str">
        <f ca="1">IFERROR(XLOOKUP(D1749,'Spec_Single_H&amp;S'!B:B,'Spec_Single_H&amp;S'!E:E),
IFERROR(XLOOKUP(D1749,#REF!,#REF!),""))</f>
        <v/>
      </c>
      <c r="K1749" s="7" t="str">
        <f ca="1">IFERROR(XLOOKUP(D1749,'Spec_Single_H&amp;S'!B:B,'Spec_Single_H&amp;S'!F:F),
IFERROR(XLOOKUP(D1749,#REF!,#REF!),""))</f>
        <v/>
      </c>
      <c r="L1749" s="7" t="str">
        <f t="shared" ca="1" si="49"/>
        <v/>
      </c>
    </row>
    <row r="1750" spans="8:12" x14ac:dyDescent="0.3">
      <c r="H1750" s="7" t="str">
        <f>IF(B1750&lt;&gt;"Silicone","",IFERROR(XLOOKUP(D1750,#REF!,#REF!),""))</f>
        <v/>
      </c>
      <c r="J1750" s="7" t="str">
        <f ca="1">IFERROR(XLOOKUP(D1750,'Spec_Single_H&amp;S'!B:B,'Spec_Single_H&amp;S'!E:E),
IFERROR(XLOOKUP(D1750,#REF!,#REF!),""))</f>
        <v/>
      </c>
      <c r="K1750" s="7" t="str">
        <f ca="1">IFERROR(XLOOKUP(D1750,'Spec_Single_H&amp;S'!B:B,'Spec_Single_H&amp;S'!F:F),
IFERROR(XLOOKUP(D1750,#REF!,#REF!),""))</f>
        <v/>
      </c>
      <c r="L1750" s="7" t="str">
        <f t="shared" ca="1" si="49"/>
        <v/>
      </c>
    </row>
    <row r="1751" spans="8:12" x14ac:dyDescent="0.3">
      <c r="H1751" s="7" t="str">
        <f>IF(B1751&lt;&gt;"Silicone","",IFERROR(XLOOKUP(D1751,#REF!,#REF!),""))</f>
        <v/>
      </c>
      <c r="J1751" s="7" t="str">
        <f ca="1">IFERROR(XLOOKUP(D1751,'Spec_Single_H&amp;S'!B:B,'Spec_Single_H&amp;S'!E:E),
IFERROR(XLOOKUP(D1751,#REF!,#REF!),""))</f>
        <v/>
      </c>
      <c r="K1751" s="7" t="str">
        <f ca="1">IFERROR(XLOOKUP(D1751,'Spec_Single_H&amp;S'!B:B,'Spec_Single_H&amp;S'!F:F),
IFERROR(XLOOKUP(D1751,#REF!,#REF!),""))</f>
        <v/>
      </c>
      <c r="L1751" s="7" t="str">
        <f t="shared" ca="1" si="49"/>
        <v/>
      </c>
    </row>
    <row r="1752" spans="8:12" x14ac:dyDescent="0.3">
      <c r="H1752" s="7" t="str">
        <f>IF(B1752&lt;&gt;"Silicone","",IFERROR(XLOOKUP(D1752,#REF!,#REF!),""))</f>
        <v/>
      </c>
      <c r="J1752" s="7" t="str">
        <f ca="1">IFERROR(XLOOKUP(D1752,'Spec_Single_H&amp;S'!B:B,'Spec_Single_H&amp;S'!E:E),
IFERROR(XLOOKUP(D1752,#REF!,#REF!),""))</f>
        <v/>
      </c>
      <c r="K1752" s="7" t="str">
        <f ca="1">IFERROR(XLOOKUP(D1752,'Spec_Single_H&amp;S'!B:B,'Spec_Single_H&amp;S'!F:F),
IFERROR(XLOOKUP(D1752,#REF!,#REF!),""))</f>
        <v/>
      </c>
      <c r="L1752" s="7" t="str">
        <f t="shared" ca="1" si="49"/>
        <v/>
      </c>
    </row>
    <row r="1753" spans="8:12" x14ac:dyDescent="0.3">
      <c r="H1753" s="7" t="str">
        <f>IF(B1753&lt;&gt;"Silicone","",IFERROR(XLOOKUP(D1753,#REF!,#REF!),""))</f>
        <v/>
      </c>
      <c r="J1753" s="7" t="str">
        <f ca="1">IFERROR(XLOOKUP(D1753,'Spec_Single_H&amp;S'!B:B,'Spec_Single_H&amp;S'!E:E),
IFERROR(XLOOKUP(D1753,#REF!,#REF!),""))</f>
        <v/>
      </c>
      <c r="K1753" s="7" t="str">
        <f ca="1">IFERROR(XLOOKUP(D1753,'Spec_Single_H&amp;S'!B:B,'Spec_Single_H&amp;S'!F:F),
IFERROR(XLOOKUP(D1753,#REF!,#REF!),""))</f>
        <v/>
      </c>
      <c r="L1753" s="7" t="str">
        <f t="shared" ca="1" si="49"/>
        <v/>
      </c>
    </row>
    <row r="1754" spans="8:12" x14ac:dyDescent="0.3">
      <c r="H1754" s="7" t="str">
        <f>IF(B1754&lt;&gt;"Silicone","",IFERROR(XLOOKUP(D1754,#REF!,#REF!),""))</f>
        <v/>
      </c>
      <c r="J1754" s="7" t="str">
        <f ca="1">IFERROR(XLOOKUP(D1754,'Spec_Single_H&amp;S'!B:B,'Spec_Single_H&amp;S'!E:E),
IFERROR(XLOOKUP(D1754,#REF!,#REF!),""))</f>
        <v/>
      </c>
      <c r="K1754" s="7" t="str">
        <f ca="1">IFERROR(XLOOKUP(D1754,'Spec_Single_H&amp;S'!B:B,'Spec_Single_H&amp;S'!F:F),
IFERROR(XLOOKUP(D1754,#REF!,#REF!),""))</f>
        <v/>
      </c>
      <c r="L1754" s="7" t="str">
        <f t="shared" ca="1" si="49"/>
        <v/>
      </c>
    </row>
    <row r="1755" spans="8:12" x14ac:dyDescent="0.3">
      <c r="H1755" s="7" t="str">
        <f>IF(B1755&lt;&gt;"Silicone","",IFERROR(XLOOKUP(D1755,#REF!,#REF!),""))</f>
        <v/>
      </c>
      <c r="J1755" s="7" t="str">
        <f ca="1">IFERROR(XLOOKUP(D1755,'Spec_Single_H&amp;S'!B:B,'Spec_Single_H&amp;S'!E:E),
IFERROR(XLOOKUP(D1755,#REF!,#REF!),""))</f>
        <v/>
      </c>
      <c r="K1755" s="7" t="str">
        <f ca="1">IFERROR(XLOOKUP(D1755,'Spec_Single_H&amp;S'!B:B,'Spec_Single_H&amp;S'!F:F),
IFERROR(XLOOKUP(D1755,#REF!,#REF!),""))</f>
        <v/>
      </c>
      <c r="L1755" s="7" t="str">
        <f t="shared" ca="1" si="49"/>
        <v/>
      </c>
    </row>
    <row r="1756" spans="8:12" x14ac:dyDescent="0.3">
      <c r="H1756" s="7" t="str">
        <f>IF(B1756&lt;&gt;"Silicone","",IFERROR(XLOOKUP(D1756,#REF!,#REF!),""))</f>
        <v/>
      </c>
      <c r="J1756" s="7" t="str">
        <f ca="1">IFERROR(XLOOKUP(D1756,'Spec_Single_H&amp;S'!B:B,'Spec_Single_H&amp;S'!E:E),
IFERROR(XLOOKUP(D1756,#REF!,#REF!),""))</f>
        <v/>
      </c>
      <c r="K1756" s="7" t="str">
        <f ca="1">IFERROR(XLOOKUP(D1756,'Spec_Single_H&amp;S'!B:B,'Spec_Single_H&amp;S'!F:F),
IFERROR(XLOOKUP(D1756,#REF!,#REF!),""))</f>
        <v/>
      </c>
      <c r="L1756" s="7" t="str">
        <f t="shared" ca="1" si="49"/>
        <v/>
      </c>
    </row>
    <row r="1757" spans="8:12" x14ac:dyDescent="0.3">
      <c r="H1757" s="7" t="str">
        <f>IF(B1757&lt;&gt;"Silicone","",IFERROR(XLOOKUP(D1757,#REF!,#REF!),""))</f>
        <v/>
      </c>
      <c r="J1757" s="7" t="str">
        <f ca="1">IFERROR(XLOOKUP(D1757,'Spec_Single_H&amp;S'!B:B,'Spec_Single_H&amp;S'!E:E),
IFERROR(XLOOKUP(D1757,#REF!,#REF!),""))</f>
        <v/>
      </c>
      <c r="K1757" s="7" t="str">
        <f ca="1">IFERROR(XLOOKUP(D1757,'Spec_Single_H&amp;S'!B:B,'Spec_Single_H&amp;S'!F:F),
IFERROR(XLOOKUP(D1757,#REF!,#REF!),""))</f>
        <v/>
      </c>
      <c r="L1757" s="7" t="str">
        <f t="shared" ca="1" si="49"/>
        <v/>
      </c>
    </row>
    <row r="1758" spans="8:12" x14ac:dyDescent="0.3">
      <c r="H1758" s="7" t="str">
        <f>IF(B1758&lt;&gt;"Silicone","",IFERROR(XLOOKUP(D1758,#REF!,#REF!),""))</f>
        <v/>
      </c>
      <c r="J1758" s="7" t="str">
        <f ca="1">IFERROR(XLOOKUP(D1758,'Spec_Single_H&amp;S'!B:B,'Spec_Single_H&amp;S'!E:E),
IFERROR(XLOOKUP(D1758,#REF!,#REF!),""))</f>
        <v/>
      </c>
      <c r="K1758" s="7" t="str">
        <f ca="1">IFERROR(XLOOKUP(D1758,'Spec_Single_H&amp;S'!B:B,'Spec_Single_H&amp;S'!F:F),
IFERROR(XLOOKUP(D1758,#REF!,#REF!),""))</f>
        <v/>
      </c>
      <c r="L1758" s="7" t="str">
        <f t="shared" ca="1" si="49"/>
        <v/>
      </c>
    </row>
    <row r="1759" spans="8:12" x14ac:dyDescent="0.3">
      <c r="H1759" s="7" t="str">
        <f>IF(B1759&lt;&gt;"Silicone","",IFERROR(XLOOKUP(D1759,#REF!,#REF!),""))</f>
        <v/>
      </c>
      <c r="J1759" s="7" t="str">
        <f ca="1">IFERROR(XLOOKUP(D1759,'Spec_Single_H&amp;S'!B:B,'Spec_Single_H&amp;S'!E:E),
IFERROR(XLOOKUP(D1759,#REF!,#REF!),""))</f>
        <v/>
      </c>
      <c r="K1759" s="7" t="str">
        <f ca="1">IFERROR(XLOOKUP(D1759,'Spec_Single_H&amp;S'!B:B,'Spec_Single_H&amp;S'!F:F),
IFERROR(XLOOKUP(D1759,#REF!,#REF!),""))</f>
        <v/>
      </c>
      <c r="L1759" s="7" t="str">
        <f t="shared" ca="1" si="49"/>
        <v/>
      </c>
    </row>
    <row r="1760" spans="8:12" x14ac:dyDescent="0.3">
      <c r="H1760" s="7" t="str">
        <f>IF(B1760&lt;&gt;"Silicone","",IFERROR(XLOOKUP(D1760,#REF!,#REF!),""))</f>
        <v/>
      </c>
      <c r="J1760" s="7" t="str">
        <f ca="1">IFERROR(XLOOKUP(D1760,'Spec_Single_H&amp;S'!B:B,'Spec_Single_H&amp;S'!E:E),
IFERROR(XLOOKUP(D1760,#REF!,#REF!),""))</f>
        <v/>
      </c>
      <c r="K1760" s="7" t="str">
        <f ca="1">IFERROR(XLOOKUP(D1760,'Spec_Single_H&amp;S'!B:B,'Spec_Single_H&amp;S'!F:F),
IFERROR(XLOOKUP(D1760,#REF!,#REF!),""))</f>
        <v/>
      </c>
      <c r="L1760" s="7" t="str">
        <f t="shared" ca="1" si="49"/>
        <v/>
      </c>
    </row>
    <row r="1761" spans="8:12" x14ac:dyDescent="0.3">
      <c r="H1761" s="7" t="str">
        <f>IF(B1761&lt;&gt;"Silicone","",IFERROR(XLOOKUP(D1761,#REF!,#REF!),""))</f>
        <v/>
      </c>
      <c r="J1761" s="7" t="str">
        <f ca="1">IFERROR(XLOOKUP(D1761,'Spec_Single_H&amp;S'!B:B,'Spec_Single_H&amp;S'!E:E),
IFERROR(XLOOKUP(D1761,#REF!,#REF!),""))</f>
        <v/>
      </c>
      <c r="K1761" s="7" t="str">
        <f ca="1">IFERROR(XLOOKUP(D1761,'Spec_Single_H&amp;S'!B:B,'Spec_Single_H&amp;S'!F:F),
IFERROR(XLOOKUP(D1761,#REF!,#REF!),""))</f>
        <v/>
      </c>
      <c r="L1761" s="7" t="str">
        <f t="shared" ca="1" si="49"/>
        <v/>
      </c>
    </row>
    <row r="1762" spans="8:12" x14ac:dyDescent="0.3">
      <c r="H1762" s="7" t="str">
        <f>IF(B1762&lt;&gt;"Silicone","",IFERROR(XLOOKUP(D1762,#REF!,#REF!),""))</f>
        <v/>
      </c>
      <c r="J1762" s="7" t="str">
        <f ca="1">IFERROR(XLOOKUP(D1762,'Spec_Single_H&amp;S'!B:B,'Spec_Single_H&amp;S'!E:E),
IFERROR(XLOOKUP(D1762,#REF!,#REF!),""))</f>
        <v/>
      </c>
      <c r="K1762" s="7" t="str">
        <f ca="1">IFERROR(XLOOKUP(D1762,'Spec_Single_H&amp;S'!B:B,'Spec_Single_H&amp;S'!F:F),
IFERROR(XLOOKUP(D1762,#REF!,#REF!),""))</f>
        <v/>
      </c>
      <c r="L1762" s="7" t="str">
        <f t="shared" ca="1" si="49"/>
        <v/>
      </c>
    </row>
    <row r="1763" spans="8:12" x14ac:dyDescent="0.3">
      <c r="H1763" s="7" t="str">
        <f>IF(B1763&lt;&gt;"Silicone","",IFERROR(XLOOKUP(D1763,#REF!,#REF!),""))</f>
        <v/>
      </c>
      <c r="J1763" s="7" t="str">
        <f ca="1">IFERROR(XLOOKUP(D1763,'Spec_Single_H&amp;S'!B:B,'Spec_Single_H&amp;S'!E:E),
IFERROR(XLOOKUP(D1763,#REF!,#REF!),""))</f>
        <v/>
      </c>
      <c r="K1763" s="7" t="str">
        <f ca="1">IFERROR(XLOOKUP(D1763,'Spec_Single_H&amp;S'!B:B,'Spec_Single_H&amp;S'!F:F),
IFERROR(XLOOKUP(D1763,#REF!,#REF!),""))</f>
        <v/>
      </c>
      <c r="L1763" s="7" t="str">
        <f t="shared" ca="1" si="49"/>
        <v/>
      </c>
    </row>
    <row r="1764" spans="8:12" x14ac:dyDescent="0.3">
      <c r="H1764" s="7" t="str">
        <f>IF(B1764&lt;&gt;"Silicone","",IFERROR(XLOOKUP(D1764,#REF!,#REF!),""))</f>
        <v/>
      </c>
      <c r="J1764" s="7" t="str">
        <f ca="1">IFERROR(XLOOKUP(D1764,'Spec_Single_H&amp;S'!B:B,'Spec_Single_H&amp;S'!E:E),
IFERROR(XLOOKUP(D1764,#REF!,#REF!),""))</f>
        <v/>
      </c>
      <c r="K1764" s="7" t="str">
        <f ca="1">IFERROR(XLOOKUP(D1764,'Spec_Single_H&amp;S'!B:B,'Spec_Single_H&amp;S'!F:F),
IFERROR(XLOOKUP(D1764,#REF!,#REF!),""))</f>
        <v/>
      </c>
      <c r="L1764" s="7" t="str">
        <f t="shared" ca="1" si="49"/>
        <v/>
      </c>
    </row>
    <row r="1765" spans="8:12" x14ac:dyDescent="0.3">
      <c r="H1765" s="7" t="str">
        <f>IF(B1765&lt;&gt;"Silicone","",IFERROR(XLOOKUP(D1765,#REF!,#REF!),""))</f>
        <v/>
      </c>
      <c r="J1765" s="7" t="str">
        <f ca="1">IFERROR(XLOOKUP(D1765,'Spec_Single_H&amp;S'!B:B,'Spec_Single_H&amp;S'!E:E),
IFERROR(XLOOKUP(D1765,#REF!,#REF!),""))</f>
        <v/>
      </c>
      <c r="K1765" s="7" t="str">
        <f ca="1">IFERROR(XLOOKUP(D1765,'Spec_Single_H&amp;S'!B:B,'Spec_Single_H&amp;S'!F:F),
IFERROR(XLOOKUP(D1765,#REF!,#REF!),""))</f>
        <v/>
      </c>
      <c r="L1765" s="7" t="str">
        <f t="shared" ca="1" si="49"/>
        <v/>
      </c>
    </row>
    <row r="1766" spans="8:12" x14ac:dyDescent="0.3">
      <c r="H1766" s="7" t="str">
        <f>IF(B1766&lt;&gt;"Silicone","",IFERROR(XLOOKUP(D1766,#REF!,#REF!),""))</f>
        <v/>
      </c>
      <c r="J1766" s="7" t="str">
        <f ca="1">IFERROR(XLOOKUP(D1766,'Spec_Single_H&amp;S'!B:B,'Spec_Single_H&amp;S'!E:E),
IFERROR(XLOOKUP(D1766,#REF!,#REF!),""))</f>
        <v/>
      </c>
      <c r="K1766" s="7" t="str">
        <f ca="1">IFERROR(XLOOKUP(D1766,'Spec_Single_H&amp;S'!B:B,'Spec_Single_H&amp;S'!F:F),
IFERROR(XLOOKUP(D1766,#REF!,#REF!),""))</f>
        <v/>
      </c>
      <c r="L1766" s="7" t="str">
        <f t="shared" ca="1" si="49"/>
        <v/>
      </c>
    </row>
    <row r="1767" spans="8:12" x14ac:dyDescent="0.3">
      <c r="H1767" s="7" t="str">
        <f>IF(B1767&lt;&gt;"Silicone","",IFERROR(XLOOKUP(D1767,#REF!,#REF!),""))</f>
        <v/>
      </c>
      <c r="J1767" s="7" t="str">
        <f ca="1">IFERROR(XLOOKUP(D1767,'Spec_Single_H&amp;S'!B:B,'Spec_Single_H&amp;S'!E:E),
IFERROR(XLOOKUP(D1767,#REF!,#REF!),""))</f>
        <v/>
      </c>
      <c r="K1767" s="7" t="str">
        <f ca="1">IFERROR(XLOOKUP(D1767,'Spec_Single_H&amp;S'!B:B,'Spec_Single_H&amp;S'!F:F),
IFERROR(XLOOKUP(D1767,#REF!,#REF!),""))</f>
        <v/>
      </c>
      <c r="L1767" s="7" t="str">
        <f t="shared" ca="1" si="49"/>
        <v/>
      </c>
    </row>
    <row r="1768" spans="8:12" x14ac:dyDescent="0.3">
      <c r="H1768" s="7" t="str">
        <f>IF(B1768&lt;&gt;"Silicone","",IFERROR(XLOOKUP(D1768,#REF!,#REF!),""))</f>
        <v/>
      </c>
      <c r="J1768" s="7" t="str">
        <f ca="1">IFERROR(XLOOKUP(D1768,'Spec_Single_H&amp;S'!B:B,'Spec_Single_H&amp;S'!E:E),
IFERROR(XLOOKUP(D1768,#REF!,#REF!),""))</f>
        <v/>
      </c>
      <c r="K1768" s="7" t="str">
        <f ca="1">IFERROR(XLOOKUP(D1768,'Spec_Single_H&amp;S'!B:B,'Spec_Single_H&amp;S'!F:F),
IFERROR(XLOOKUP(D1768,#REF!,#REF!),""))</f>
        <v/>
      </c>
      <c r="L1768" s="7" t="str">
        <f t="shared" ca="1" si="49"/>
        <v/>
      </c>
    </row>
    <row r="1769" spans="8:12" x14ac:dyDescent="0.3">
      <c r="H1769" s="7" t="str">
        <f>IF(B1769&lt;&gt;"Silicone","",IFERROR(XLOOKUP(D1769,#REF!,#REF!),""))</f>
        <v/>
      </c>
      <c r="J1769" s="7" t="str">
        <f ca="1">IFERROR(XLOOKUP(D1769,'Spec_Single_H&amp;S'!B:B,'Spec_Single_H&amp;S'!E:E),
IFERROR(XLOOKUP(D1769,#REF!,#REF!),""))</f>
        <v/>
      </c>
      <c r="K1769" s="7" t="str">
        <f ca="1">IFERROR(XLOOKUP(D1769,'Spec_Single_H&amp;S'!B:B,'Spec_Single_H&amp;S'!F:F),
IFERROR(XLOOKUP(D1769,#REF!,#REF!),""))</f>
        <v/>
      </c>
      <c r="L1769" s="7" t="str">
        <f t="shared" ca="1" si="49"/>
        <v/>
      </c>
    </row>
    <row r="1770" spans="8:12" x14ac:dyDescent="0.3">
      <c r="H1770" s="7" t="str">
        <f>IF(B1770&lt;&gt;"Silicone","",IFERROR(XLOOKUP(D1770,#REF!,#REF!),""))</f>
        <v/>
      </c>
      <c r="J1770" s="7" t="str">
        <f ca="1">IFERROR(XLOOKUP(D1770,'Spec_Single_H&amp;S'!B:B,'Spec_Single_H&amp;S'!E:E),
IFERROR(XLOOKUP(D1770,#REF!,#REF!),""))</f>
        <v/>
      </c>
      <c r="K1770" s="7" t="str">
        <f ca="1">IFERROR(XLOOKUP(D1770,'Spec_Single_H&amp;S'!B:B,'Spec_Single_H&amp;S'!F:F),
IFERROR(XLOOKUP(D1770,#REF!,#REF!),""))</f>
        <v/>
      </c>
      <c r="L1770" s="7" t="str">
        <f t="shared" ca="1" si="49"/>
        <v/>
      </c>
    </row>
    <row r="1771" spans="8:12" x14ac:dyDescent="0.3">
      <c r="H1771" s="7" t="str">
        <f>IF(B1771&lt;&gt;"Silicone","",IFERROR(XLOOKUP(D1771,#REF!,#REF!),""))</f>
        <v/>
      </c>
      <c r="J1771" s="7" t="str">
        <f ca="1">IFERROR(XLOOKUP(D1771,'Spec_Single_H&amp;S'!B:B,'Spec_Single_H&amp;S'!E:E),
IFERROR(XLOOKUP(D1771,#REF!,#REF!),""))</f>
        <v/>
      </c>
      <c r="K1771" s="7" t="str">
        <f ca="1">IFERROR(XLOOKUP(D1771,'Spec_Single_H&amp;S'!B:B,'Spec_Single_H&amp;S'!F:F),
IFERROR(XLOOKUP(D1771,#REF!,#REF!),""))</f>
        <v/>
      </c>
      <c r="L1771" s="7" t="str">
        <f t="shared" ca="1" si="49"/>
        <v/>
      </c>
    </row>
    <row r="1772" spans="8:12" x14ac:dyDescent="0.3">
      <c r="H1772" s="7" t="str">
        <f>IF(B1772&lt;&gt;"Silicone","",IFERROR(XLOOKUP(D1772,#REF!,#REF!),""))</f>
        <v/>
      </c>
      <c r="J1772" s="7" t="str">
        <f ca="1">IFERROR(XLOOKUP(D1772,'Spec_Single_H&amp;S'!B:B,'Spec_Single_H&amp;S'!E:E),
IFERROR(XLOOKUP(D1772,#REF!,#REF!),""))</f>
        <v/>
      </c>
      <c r="K1772" s="7" t="str">
        <f ca="1">IFERROR(XLOOKUP(D1772,'Spec_Single_H&amp;S'!B:B,'Spec_Single_H&amp;S'!F:F),
IFERROR(XLOOKUP(D1772,#REF!,#REF!),""))</f>
        <v/>
      </c>
      <c r="L1772" s="7" t="str">
        <f t="shared" ca="1" si="49"/>
        <v/>
      </c>
    </row>
    <row r="1773" spans="8:12" x14ac:dyDescent="0.3">
      <c r="H1773" s="7" t="str">
        <f>IF(B1773&lt;&gt;"Silicone","",IFERROR(XLOOKUP(D1773,#REF!,#REF!),""))</f>
        <v/>
      </c>
      <c r="J1773" s="7" t="str">
        <f ca="1">IFERROR(XLOOKUP(D1773,'Spec_Single_H&amp;S'!B:B,'Spec_Single_H&amp;S'!E:E),
IFERROR(XLOOKUP(D1773,#REF!,#REF!),""))</f>
        <v/>
      </c>
      <c r="K1773" s="7" t="str">
        <f ca="1">IFERROR(XLOOKUP(D1773,'Spec_Single_H&amp;S'!B:B,'Spec_Single_H&amp;S'!F:F),
IFERROR(XLOOKUP(D1773,#REF!,#REF!),""))</f>
        <v/>
      </c>
      <c r="L1773" s="7" t="str">
        <f t="shared" ca="1" si="49"/>
        <v/>
      </c>
    </row>
    <row r="1774" spans="8:12" x14ac:dyDescent="0.3">
      <c r="H1774" s="7" t="str">
        <f>IF(B1774&lt;&gt;"Silicone","",IFERROR(XLOOKUP(D1774,#REF!,#REF!),""))</f>
        <v/>
      </c>
      <c r="J1774" s="7" t="str">
        <f ca="1">IFERROR(XLOOKUP(D1774,'Spec_Single_H&amp;S'!B:B,'Spec_Single_H&amp;S'!E:E),
IFERROR(XLOOKUP(D1774,#REF!,#REF!),""))</f>
        <v/>
      </c>
      <c r="K1774" s="7" t="str">
        <f ca="1">IFERROR(XLOOKUP(D1774,'Spec_Single_H&amp;S'!B:B,'Spec_Single_H&amp;S'!F:F),
IFERROR(XLOOKUP(D1774,#REF!,#REF!),""))</f>
        <v/>
      </c>
      <c r="L1774" s="7" t="str">
        <f t="shared" ca="1" si="49"/>
        <v/>
      </c>
    </row>
    <row r="1775" spans="8:12" x14ac:dyDescent="0.3">
      <c r="H1775" s="7" t="str">
        <f>IF(B1775&lt;&gt;"Silicone","",IFERROR(XLOOKUP(D1775,#REF!,#REF!),""))</f>
        <v/>
      </c>
      <c r="J1775" s="7" t="str">
        <f ca="1">IFERROR(XLOOKUP(D1775,'Spec_Single_H&amp;S'!B:B,'Spec_Single_H&amp;S'!E:E),
IFERROR(XLOOKUP(D1775,#REF!,#REF!),""))</f>
        <v/>
      </c>
      <c r="K1775" s="7" t="str">
        <f ca="1">IFERROR(XLOOKUP(D1775,'Spec_Single_H&amp;S'!B:B,'Spec_Single_H&amp;S'!F:F),
IFERROR(XLOOKUP(D1775,#REF!,#REF!),""))</f>
        <v/>
      </c>
      <c r="L1775" s="7" t="str">
        <f t="shared" ca="1" si="49"/>
        <v/>
      </c>
    </row>
    <row r="1776" spans="8:12" x14ac:dyDescent="0.3">
      <c r="H1776" s="7" t="str">
        <f>IF(B1776&lt;&gt;"Silicone","",IFERROR(XLOOKUP(D1776,#REF!,#REF!),""))</f>
        <v/>
      </c>
      <c r="J1776" s="7" t="str">
        <f ca="1">IFERROR(XLOOKUP(D1776,'Spec_Single_H&amp;S'!B:B,'Spec_Single_H&amp;S'!E:E),
IFERROR(XLOOKUP(D1776,#REF!,#REF!),""))</f>
        <v/>
      </c>
      <c r="K1776" s="7" t="str">
        <f ca="1">IFERROR(XLOOKUP(D1776,'Spec_Single_H&amp;S'!B:B,'Spec_Single_H&amp;S'!F:F),
IFERROR(XLOOKUP(D1776,#REF!,#REF!),""))</f>
        <v/>
      </c>
      <c r="L1776" s="7" t="str">
        <f t="shared" ca="1" si="49"/>
        <v/>
      </c>
    </row>
    <row r="1777" spans="8:12" x14ac:dyDescent="0.3">
      <c r="H1777" s="7" t="str">
        <f>IF(B1777&lt;&gt;"Silicone","",IFERROR(XLOOKUP(D1777,#REF!,#REF!),""))</f>
        <v/>
      </c>
      <c r="J1777" s="7" t="str">
        <f ca="1">IFERROR(XLOOKUP(D1777,'Spec_Single_H&amp;S'!B:B,'Spec_Single_H&amp;S'!E:E),
IFERROR(XLOOKUP(D1777,#REF!,#REF!),""))</f>
        <v/>
      </c>
      <c r="K1777" s="7" t="str">
        <f ca="1">IFERROR(XLOOKUP(D1777,'Spec_Single_H&amp;S'!B:B,'Spec_Single_H&amp;S'!F:F),
IFERROR(XLOOKUP(D1777,#REF!,#REF!),""))</f>
        <v/>
      </c>
      <c r="L1777" s="7" t="str">
        <f t="shared" ca="1" si="49"/>
        <v/>
      </c>
    </row>
    <row r="1778" spans="8:12" x14ac:dyDescent="0.3">
      <c r="H1778" s="7" t="str">
        <f>IF(B1778&lt;&gt;"Silicone","",IFERROR(XLOOKUP(D1778,#REF!,#REF!),""))</f>
        <v/>
      </c>
      <c r="J1778" s="7" t="str">
        <f ca="1">IFERROR(XLOOKUP(D1778,'Spec_Single_H&amp;S'!B:B,'Spec_Single_H&amp;S'!E:E),
IFERROR(XLOOKUP(D1778,#REF!,#REF!),""))</f>
        <v/>
      </c>
      <c r="K1778" s="7" t="str">
        <f ca="1">IFERROR(XLOOKUP(D1778,'Spec_Single_H&amp;S'!B:B,'Spec_Single_H&amp;S'!F:F),
IFERROR(XLOOKUP(D1778,#REF!,#REF!),""))</f>
        <v/>
      </c>
      <c r="L1778" s="7" t="str">
        <f t="shared" ca="1" si="49"/>
        <v/>
      </c>
    </row>
    <row r="1779" spans="8:12" x14ac:dyDescent="0.3">
      <c r="H1779" s="7" t="str">
        <f>IF(B1779&lt;&gt;"Silicone","",IFERROR(XLOOKUP(D1779,#REF!,#REF!),""))</f>
        <v/>
      </c>
      <c r="J1779" s="7" t="str">
        <f ca="1">IFERROR(XLOOKUP(D1779,'Spec_Single_H&amp;S'!B:B,'Spec_Single_H&amp;S'!E:E),
IFERROR(XLOOKUP(D1779,#REF!,#REF!),""))</f>
        <v/>
      </c>
      <c r="K1779" s="7" t="str">
        <f ca="1">IFERROR(XLOOKUP(D1779,'Spec_Single_H&amp;S'!B:B,'Spec_Single_H&amp;S'!F:F),
IFERROR(XLOOKUP(D1779,#REF!,#REF!),""))</f>
        <v/>
      </c>
      <c r="L1779" s="7" t="str">
        <f t="shared" ca="1" si="49"/>
        <v/>
      </c>
    </row>
    <row r="1780" spans="8:12" x14ac:dyDescent="0.3">
      <c r="H1780" s="7" t="str">
        <f>IF(B1780&lt;&gt;"Silicone","",IFERROR(XLOOKUP(D1780,#REF!,#REF!),""))</f>
        <v/>
      </c>
      <c r="J1780" s="7" t="str">
        <f ca="1">IFERROR(XLOOKUP(D1780,'Spec_Single_H&amp;S'!B:B,'Spec_Single_H&amp;S'!E:E),
IFERROR(XLOOKUP(D1780,#REF!,#REF!),""))</f>
        <v/>
      </c>
      <c r="K1780" s="7" t="str">
        <f ca="1">IFERROR(XLOOKUP(D1780,'Spec_Single_H&amp;S'!B:B,'Spec_Single_H&amp;S'!F:F),
IFERROR(XLOOKUP(D1780,#REF!,#REF!),""))</f>
        <v/>
      </c>
      <c r="L1780" s="7" t="str">
        <f t="shared" ca="1" si="49"/>
        <v/>
      </c>
    </row>
    <row r="1781" spans="8:12" x14ac:dyDescent="0.3">
      <c r="H1781" s="7" t="str">
        <f>IF(B1781&lt;&gt;"Silicone","",IFERROR(XLOOKUP(D1781,#REF!,#REF!),""))</f>
        <v/>
      </c>
      <c r="J1781" s="7" t="str">
        <f ca="1">IFERROR(XLOOKUP(D1781,'Spec_Single_H&amp;S'!B:B,'Spec_Single_H&amp;S'!E:E),
IFERROR(XLOOKUP(D1781,#REF!,#REF!),""))</f>
        <v/>
      </c>
      <c r="K1781" s="7" t="str">
        <f ca="1">IFERROR(XLOOKUP(D1781,'Spec_Single_H&amp;S'!B:B,'Spec_Single_H&amp;S'!F:F),
IFERROR(XLOOKUP(D1781,#REF!,#REF!),""))</f>
        <v/>
      </c>
      <c r="L1781" s="7" t="str">
        <f t="shared" ca="1" si="49"/>
        <v/>
      </c>
    </row>
    <row r="1782" spans="8:12" x14ac:dyDescent="0.3">
      <c r="H1782" s="7" t="str">
        <f>IF(B1782&lt;&gt;"Silicone","",IFERROR(XLOOKUP(D1782,#REF!,#REF!),""))</f>
        <v/>
      </c>
      <c r="J1782" s="7" t="str">
        <f ca="1">IFERROR(XLOOKUP(D1782,'Spec_Single_H&amp;S'!B:B,'Spec_Single_H&amp;S'!E:E),
IFERROR(XLOOKUP(D1782,#REF!,#REF!),""))</f>
        <v/>
      </c>
      <c r="K1782" s="7" t="str">
        <f ca="1">IFERROR(XLOOKUP(D1782,'Spec_Single_H&amp;S'!B:B,'Spec_Single_H&amp;S'!F:F),
IFERROR(XLOOKUP(D1782,#REF!,#REF!),""))</f>
        <v/>
      </c>
      <c r="L1782" s="7" t="str">
        <f t="shared" ca="1" si="49"/>
        <v/>
      </c>
    </row>
    <row r="1783" spans="8:12" x14ac:dyDescent="0.3">
      <c r="H1783" s="7" t="str">
        <f>IF(B1783&lt;&gt;"Silicone","",IFERROR(XLOOKUP(D1783,#REF!,#REF!),""))</f>
        <v/>
      </c>
      <c r="J1783" s="7" t="str">
        <f ca="1">IFERROR(XLOOKUP(D1783,'Spec_Single_H&amp;S'!B:B,'Spec_Single_H&amp;S'!E:E),
IFERROR(XLOOKUP(D1783,#REF!,#REF!),""))</f>
        <v/>
      </c>
      <c r="K1783" s="7" t="str">
        <f ca="1">IFERROR(XLOOKUP(D1783,'Spec_Single_H&amp;S'!B:B,'Spec_Single_H&amp;S'!F:F),
IFERROR(XLOOKUP(D1783,#REF!,#REF!),""))</f>
        <v/>
      </c>
      <c r="L1783" s="7" t="str">
        <f t="shared" ca="1" si="49"/>
        <v/>
      </c>
    </row>
    <row r="1784" spans="8:12" x14ac:dyDescent="0.3">
      <c r="H1784" s="7" t="str">
        <f>IF(B1784&lt;&gt;"Silicone","",IFERROR(XLOOKUP(D1784,#REF!,#REF!),""))</f>
        <v/>
      </c>
      <c r="J1784" s="7" t="str">
        <f ca="1">IFERROR(XLOOKUP(D1784,'Spec_Single_H&amp;S'!B:B,'Spec_Single_H&amp;S'!E:E),
IFERROR(XLOOKUP(D1784,#REF!,#REF!),""))</f>
        <v/>
      </c>
      <c r="K1784" s="7" t="str">
        <f ca="1">IFERROR(XLOOKUP(D1784,'Spec_Single_H&amp;S'!B:B,'Spec_Single_H&amp;S'!F:F),
IFERROR(XLOOKUP(D1784,#REF!,#REF!),""))</f>
        <v/>
      </c>
      <c r="L1784" s="7" t="str">
        <f t="shared" ca="1" si="49"/>
        <v/>
      </c>
    </row>
    <row r="1785" spans="8:12" x14ac:dyDescent="0.3">
      <c r="H1785" s="7" t="str">
        <f>IF(B1785&lt;&gt;"Silicone","",IFERROR(XLOOKUP(D1785,#REF!,#REF!),""))</f>
        <v/>
      </c>
      <c r="J1785" s="7" t="str">
        <f ca="1">IFERROR(XLOOKUP(D1785,'Spec_Single_H&amp;S'!B:B,'Spec_Single_H&amp;S'!E:E),
IFERROR(XLOOKUP(D1785,#REF!,#REF!),""))</f>
        <v/>
      </c>
      <c r="K1785" s="7" t="str">
        <f ca="1">IFERROR(XLOOKUP(D1785,'Spec_Single_H&amp;S'!B:B,'Spec_Single_H&amp;S'!F:F),
IFERROR(XLOOKUP(D1785,#REF!,#REF!),""))</f>
        <v/>
      </c>
      <c r="L1785" s="7" t="str">
        <f t="shared" ca="1" si="49"/>
        <v/>
      </c>
    </row>
    <row r="1786" spans="8:12" x14ac:dyDescent="0.3">
      <c r="H1786" s="7" t="str">
        <f>IF(B1786&lt;&gt;"Silicone","",IFERROR(XLOOKUP(D1786,#REF!,#REF!),""))</f>
        <v/>
      </c>
      <c r="J1786" s="7" t="str">
        <f ca="1">IFERROR(XLOOKUP(D1786,'Spec_Single_H&amp;S'!B:B,'Spec_Single_H&amp;S'!E:E),
IFERROR(XLOOKUP(D1786,#REF!,#REF!),""))</f>
        <v/>
      </c>
      <c r="K1786" s="7" t="str">
        <f ca="1">IFERROR(XLOOKUP(D1786,'Spec_Single_H&amp;S'!B:B,'Spec_Single_H&amp;S'!F:F),
IFERROR(XLOOKUP(D1786,#REF!,#REF!),""))</f>
        <v/>
      </c>
      <c r="L1786" s="7" t="str">
        <f t="shared" ca="1" si="49"/>
        <v/>
      </c>
    </row>
    <row r="1787" spans="8:12" x14ac:dyDescent="0.3">
      <c r="H1787" s="7" t="str">
        <f>IF(B1787&lt;&gt;"Silicone","",IFERROR(XLOOKUP(D1787,#REF!,#REF!),""))</f>
        <v/>
      </c>
      <c r="J1787" s="7" t="str">
        <f ca="1">IFERROR(XLOOKUP(D1787,'Spec_Single_H&amp;S'!B:B,'Spec_Single_H&amp;S'!E:E),
IFERROR(XLOOKUP(D1787,#REF!,#REF!),""))</f>
        <v/>
      </c>
      <c r="K1787" s="7" t="str">
        <f ca="1">IFERROR(XLOOKUP(D1787,'Spec_Single_H&amp;S'!B:B,'Spec_Single_H&amp;S'!F:F),
IFERROR(XLOOKUP(D1787,#REF!,#REF!),""))</f>
        <v/>
      </c>
      <c r="L1787" s="7" t="str">
        <f t="shared" ca="1" si="49"/>
        <v/>
      </c>
    </row>
    <row r="1788" spans="8:12" x14ac:dyDescent="0.3">
      <c r="H1788" s="7" t="str">
        <f>IF(B1788&lt;&gt;"Silicone","",IFERROR(XLOOKUP(D1788,#REF!,#REF!),""))</f>
        <v/>
      </c>
      <c r="J1788" s="7" t="str">
        <f ca="1">IFERROR(XLOOKUP(D1788,'Spec_Single_H&amp;S'!B:B,'Spec_Single_H&amp;S'!E:E),
IFERROR(XLOOKUP(D1788,#REF!,#REF!),""))</f>
        <v/>
      </c>
      <c r="K1788" s="7" t="str">
        <f ca="1">IFERROR(XLOOKUP(D1788,'Spec_Single_H&amp;S'!B:B,'Spec_Single_H&amp;S'!F:F),
IFERROR(XLOOKUP(D1788,#REF!,#REF!),""))</f>
        <v/>
      </c>
      <c r="L1788" s="7" t="str">
        <f t="shared" ca="1" si="49"/>
        <v/>
      </c>
    </row>
    <row r="1789" spans="8:12" x14ac:dyDescent="0.3">
      <c r="H1789" s="7" t="str">
        <f>IF(B1789&lt;&gt;"Silicone","",IFERROR(XLOOKUP(D1789,#REF!,#REF!),""))</f>
        <v/>
      </c>
      <c r="J1789" s="7" t="str">
        <f ca="1">IFERROR(XLOOKUP(D1789,'Spec_Single_H&amp;S'!B:B,'Spec_Single_H&amp;S'!E:E),
IFERROR(XLOOKUP(D1789,#REF!,#REF!),""))</f>
        <v/>
      </c>
      <c r="K1789" s="7" t="str">
        <f ca="1">IFERROR(XLOOKUP(D1789,'Spec_Single_H&amp;S'!B:B,'Spec_Single_H&amp;S'!F:F),
IFERROR(XLOOKUP(D1789,#REF!,#REF!),""))</f>
        <v/>
      </c>
      <c r="L1789" s="7" t="str">
        <f t="shared" ca="1" si="49"/>
        <v/>
      </c>
    </row>
    <row r="1790" spans="8:12" x14ac:dyDescent="0.3">
      <c r="H1790" s="7" t="str">
        <f>IF(B1790&lt;&gt;"Silicone","",IFERROR(XLOOKUP(D1790,#REF!,#REF!),""))</f>
        <v/>
      </c>
      <c r="J1790" s="7" t="str">
        <f ca="1">IFERROR(XLOOKUP(D1790,'Spec_Single_H&amp;S'!B:B,'Spec_Single_H&amp;S'!E:E),
IFERROR(XLOOKUP(D1790,#REF!,#REF!),""))</f>
        <v/>
      </c>
      <c r="K1790" s="7" t="str">
        <f ca="1">IFERROR(XLOOKUP(D1790,'Spec_Single_H&amp;S'!B:B,'Spec_Single_H&amp;S'!F:F),
IFERROR(XLOOKUP(D1790,#REF!,#REF!),""))</f>
        <v/>
      </c>
      <c r="L1790" s="7" t="str">
        <f t="shared" ca="1" si="49"/>
        <v/>
      </c>
    </row>
    <row r="1791" spans="8:12" x14ac:dyDescent="0.3">
      <c r="H1791" s="7" t="str">
        <f>IF(B1791&lt;&gt;"Silicone","",IFERROR(XLOOKUP(D1791,#REF!,#REF!),""))</f>
        <v/>
      </c>
      <c r="J1791" s="7" t="str">
        <f ca="1">IFERROR(XLOOKUP(D1791,'Spec_Single_H&amp;S'!B:B,'Spec_Single_H&amp;S'!E:E),
IFERROR(XLOOKUP(D1791,#REF!,#REF!),""))</f>
        <v/>
      </c>
      <c r="K1791" s="7" t="str">
        <f ca="1">IFERROR(XLOOKUP(D1791,'Spec_Single_H&amp;S'!B:B,'Spec_Single_H&amp;S'!F:F),
IFERROR(XLOOKUP(D1791,#REF!,#REF!),""))</f>
        <v/>
      </c>
      <c r="L1791" s="7" t="str">
        <f t="shared" ca="1" si="49"/>
        <v/>
      </c>
    </row>
    <row r="1792" spans="8:12" x14ac:dyDescent="0.3">
      <c r="H1792" s="7" t="str">
        <f>IF(B1792&lt;&gt;"Silicone","",IFERROR(XLOOKUP(D1792,#REF!,#REF!),""))</f>
        <v/>
      </c>
      <c r="J1792" s="7" t="str">
        <f ca="1">IFERROR(XLOOKUP(D1792,'Spec_Single_H&amp;S'!B:B,'Spec_Single_H&amp;S'!E:E),
IFERROR(XLOOKUP(D1792,#REF!,#REF!),""))</f>
        <v/>
      </c>
      <c r="K1792" s="7" t="str">
        <f ca="1">IFERROR(XLOOKUP(D1792,'Spec_Single_H&amp;S'!B:B,'Spec_Single_H&amp;S'!F:F),
IFERROR(XLOOKUP(D1792,#REF!,#REF!),""))</f>
        <v/>
      </c>
      <c r="L1792" s="7" t="str">
        <f t="shared" ca="1" si="49"/>
        <v/>
      </c>
    </row>
    <row r="1793" spans="8:12" x14ac:dyDescent="0.3">
      <c r="H1793" s="7" t="str">
        <f>IF(B1793&lt;&gt;"Silicone","",IFERROR(XLOOKUP(D1793,#REF!,#REF!),""))</f>
        <v/>
      </c>
      <c r="J1793" s="7" t="str">
        <f ca="1">IFERROR(XLOOKUP(D1793,'Spec_Single_H&amp;S'!B:B,'Spec_Single_H&amp;S'!E:E),
IFERROR(XLOOKUP(D1793,#REF!,#REF!),""))</f>
        <v/>
      </c>
      <c r="K1793" s="7" t="str">
        <f ca="1">IFERROR(XLOOKUP(D1793,'Spec_Single_H&amp;S'!B:B,'Spec_Single_H&amp;S'!F:F),
IFERROR(XLOOKUP(D1793,#REF!,#REF!),""))</f>
        <v/>
      </c>
      <c r="L1793" s="7" t="str">
        <f t="shared" ca="1" si="49"/>
        <v/>
      </c>
    </row>
    <row r="1794" spans="8:12" x14ac:dyDescent="0.3">
      <c r="H1794" s="7" t="str">
        <f>IF(B1794&lt;&gt;"Silicone","",IFERROR(XLOOKUP(D1794,#REF!,#REF!),""))</f>
        <v/>
      </c>
      <c r="J1794" s="7" t="str">
        <f ca="1">IFERROR(XLOOKUP(D1794,'Spec_Single_H&amp;S'!B:B,'Spec_Single_H&amp;S'!E:E),
IFERROR(XLOOKUP(D1794,#REF!,#REF!),""))</f>
        <v/>
      </c>
      <c r="K1794" s="7" t="str">
        <f ca="1">IFERROR(XLOOKUP(D1794,'Spec_Single_H&amp;S'!B:B,'Spec_Single_H&amp;S'!F:F),
IFERROR(XLOOKUP(D1794,#REF!,#REF!),""))</f>
        <v/>
      </c>
      <c r="L1794" s="7" t="str">
        <f t="shared" ca="1" si="49"/>
        <v/>
      </c>
    </row>
    <row r="1795" spans="8:12" x14ac:dyDescent="0.3">
      <c r="H1795" s="7" t="str">
        <f>IF(B1795&lt;&gt;"Silicone","",IFERROR(XLOOKUP(D1795,#REF!,#REF!),""))</f>
        <v/>
      </c>
      <c r="J1795" s="7" t="str">
        <f ca="1">IFERROR(XLOOKUP(D1795,'Spec_Single_H&amp;S'!B:B,'Spec_Single_H&amp;S'!E:E),
IFERROR(XLOOKUP(D1795,#REF!,#REF!),""))</f>
        <v/>
      </c>
      <c r="K1795" s="7" t="str">
        <f ca="1">IFERROR(XLOOKUP(D1795,'Spec_Single_H&amp;S'!B:B,'Spec_Single_H&amp;S'!F:F),
IFERROR(XLOOKUP(D1795,#REF!,#REF!),""))</f>
        <v/>
      </c>
      <c r="L1795" s="7" t="str">
        <f t="shared" ca="1" si="49"/>
        <v/>
      </c>
    </row>
    <row r="1796" spans="8:12" x14ac:dyDescent="0.3">
      <c r="H1796" s="7" t="str">
        <f>IF(B1796&lt;&gt;"Silicone","",IFERROR(XLOOKUP(D1796,#REF!,#REF!),""))</f>
        <v/>
      </c>
      <c r="J1796" s="7" t="str">
        <f ca="1">IFERROR(XLOOKUP(D1796,'Spec_Single_H&amp;S'!B:B,'Spec_Single_H&amp;S'!E:E),
IFERROR(XLOOKUP(D1796,#REF!,#REF!),""))</f>
        <v/>
      </c>
      <c r="K1796" s="7" t="str">
        <f ca="1">IFERROR(XLOOKUP(D1796,'Spec_Single_H&amp;S'!B:B,'Spec_Single_H&amp;S'!F:F),
IFERROR(XLOOKUP(D1796,#REF!,#REF!),""))</f>
        <v/>
      </c>
      <c r="L1796" s="7" t="str">
        <f t="shared" ca="1" si="49"/>
        <v/>
      </c>
    </row>
    <row r="1797" spans="8:12" x14ac:dyDescent="0.3">
      <c r="H1797" s="7" t="str">
        <f>IF(B1797&lt;&gt;"Silicone","",IFERROR(XLOOKUP(D1797,#REF!,#REF!),""))</f>
        <v/>
      </c>
      <c r="J1797" s="7" t="str">
        <f ca="1">IFERROR(XLOOKUP(D1797,'Spec_Single_H&amp;S'!B:B,'Spec_Single_H&amp;S'!E:E),
IFERROR(XLOOKUP(D1797,#REF!,#REF!),""))</f>
        <v/>
      </c>
      <c r="K1797" s="7" t="str">
        <f ca="1">IFERROR(XLOOKUP(D1797,'Spec_Single_H&amp;S'!B:B,'Spec_Single_H&amp;S'!F:F),
IFERROR(XLOOKUP(D1797,#REF!,#REF!),""))</f>
        <v/>
      </c>
      <c r="L1797" s="7" t="str">
        <f t="shared" ca="1" si="49"/>
        <v/>
      </c>
    </row>
    <row r="1798" spans="8:12" x14ac:dyDescent="0.3">
      <c r="H1798" s="7" t="str">
        <f>IF(B1798&lt;&gt;"Silicone","",IFERROR(XLOOKUP(D1798,#REF!,#REF!),""))</f>
        <v/>
      </c>
      <c r="J1798" s="7" t="str">
        <f ca="1">IFERROR(XLOOKUP(D1798,'Spec_Single_H&amp;S'!B:B,'Spec_Single_H&amp;S'!E:E),
IFERROR(XLOOKUP(D1798,#REF!,#REF!),""))</f>
        <v/>
      </c>
      <c r="K1798" s="7" t="str">
        <f ca="1">IFERROR(XLOOKUP(D1798,'Spec_Single_H&amp;S'!B:B,'Spec_Single_H&amp;S'!F:F),
IFERROR(XLOOKUP(D1798,#REF!,#REF!),""))</f>
        <v/>
      </c>
      <c r="L1798" s="7" t="str">
        <f t="shared" ca="1" si="49"/>
        <v/>
      </c>
    </row>
    <row r="1799" spans="8:12" x14ac:dyDescent="0.3">
      <c r="H1799" s="7" t="str">
        <f>IF(B1799&lt;&gt;"Silicone","",IFERROR(XLOOKUP(D1799,#REF!,#REF!),""))</f>
        <v/>
      </c>
      <c r="J1799" s="7" t="str">
        <f ca="1">IFERROR(XLOOKUP(D1799,'Spec_Single_H&amp;S'!B:B,'Spec_Single_H&amp;S'!E:E),
IFERROR(XLOOKUP(D1799,#REF!,#REF!),""))</f>
        <v/>
      </c>
      <c r="K1799" s="7" t="str">
        <f ca="1">IFERROR(XLOOKUP(D1799,'Spec_Single_H&amp;S'!B:B,'Spec_Single_H&amp;S'!F:F),
IFERROR(XLOOKUP(D1799,#REF!,#REF!),""))</f>
        <v/>
      </c>
      <c r="L1799" s="7" t="str">
        <f t="shared" ca="1" si="49"/>
        <v/>
      </c>
    </row>
    <row r="1800" spans="8:12" x14ac:dyDescent="0.3">
      <c r="H1800" s="7" t="str">
        <f>IF(B1800&lt;&gt;"Silicone","",IFERROR(XLOOKUP(D1800,#REF!,#REF!),""))</f>
        <v/>
      </c>
      <c r="J1800" s="7" t="str">
        <f ca="1">IFERROR(XLOOKUP(D1800,'Spec_Single_H&amp;S'!B:B,'Spec_Single_H&amp;S'!E:E),
IFERROR(XLOOKUP(D1800,#REF!,#REF!),""))</f>
        <v/>
      </c>
      <c r="K1800" s="7" t="str">
        <f ca="1">IFERROR(XLOOKUP(D1800,'Spec_Single_H&amp;S'!B:B,'Spec_Single_H&amp;S'!F:F),
IFERROR(XLOOKUP(D1800,#REF!,#REF!),""))</f>
        <v/>
      </c>
      <c r="L1800" s="7" t="str">
        <f t="shared" ref="L1800:L1863" ca="1" si="50">IF(AND(NOT(ISBLANK(I1800)),I1800&gt;=J1800,I1800&lt;=K1800),"적합",IF(ISBLANK(I1800),"", "부적합"))</f>
        <v/>
      </c>
    </row>
    <row r="1801" spans="8:12" x14ac:dyDescent="0.3">
      <c r="H1801" s="7" t="str">
        <f>IF(B1801&lt;&gt;"Silicone","",IFERROR(XLOOKUP(D1801,#REF!,#REF!),""))</f>
        <v/>
      </c>
      <c r="J1801" s="7" t="str">
        <f ca="1">IFERROR(XLOOKUP(D1801,'Spec_Single_H&amp;S'!B:B,'Spec_Single_H&amp;S'!E:E),
IFERROR(XLOOKUP(D1801,#REF!,#REF!),""))</f>
        <v/>
      </c>
      <c r="K1801" s="7" t="str">
        <f ca="1">IFERROR(XLOOKUP(D1801,'Spec_Single_H&amp;S'!B:B,'Spec_Single_H&amp;S'!F:F),
IFERROR(XLOOKUP(D1801,#REF!,#REF!),""))</f>
        <v/>
      </c>
      <c r="L1801" s="7" t="str">
        <f t="shared" ca="1" si="50"/>
        <v/>
      </c>
    </row>
    <row r="1802" spans="8:12" x14ac:dyDescent="0.3">
      <c r="H1802" s="7" t="str">
        <f>IF(B1802&lt;&gt;"Silicone","",IFERROR(XLOOKUP(D1802,#REF!,#REF!),""))</f>
        <v/>
      </c>
      <c r="J1802" s="7" t="str">
        <f ca="1">IFERROR(XLOOKUP(D1802,'Spec_Single_H&amp;S'!B:B,'Spec_Single_H&amp;S'!E:E),
IFERROR(XLOOKUP(D1802,#REF!,#REF!),""))</f>
        <v/>
      </c>
      <c r="K1802" s="7" t="str">
        <f ca="1">IFERROR(XLOOKUP(D1802,'Spec_Single_H&amp;S'!B:B,'Spec_Single_H&amp;S'!F:F),
IFERROR(XLOOKUP(D1802,#REF!,#REF!),""))</f>
        <v/>
      </c>
      <c r="L1802" s="7" t="str">
        <f t="shared" ca="1" si="50"/>
        <v/>
      </c>
    </row>
    <row r="1803" spans="8:12" x14ac:dyDescent="0.3">
      <c r="H1803" s="7" t="str">
        <f>IF(B1803&lt;&gt;"Silicone","",IFERROR(XLOOKUP(D1803,#REF!,#REF!),""))</f>
        <v/>
      </c>
      <c r="J1803" s="7" t="str">
        <f ca="1">IFERROR(XLOOKUP(D1803,'Spec_Single_H&amp;S'!B:B,'Spec_Single_H&amp;S'!E:E),
IFERROR(XLOOKUP(D1803,#REF!,#REF!),""))</f>
        <v/>
      </c>
      <c r="K1803" s="7" t="str">
        <f ca="1">IFERROR(XLOOKUP(D1803,'Spec_Single_H&amp;S'!B:B,'Spec_Single_H&amp;S'!F:F),
IFERROR(XLOOKUP(D1803,#REF!,#REF!),""))</f>
        <v/>
      </c>
      <c r="L1803" s="7" t="str">
        <f t="shared" ca="1" si="50"/>
        <v/>
      </c>
    </row>
    <row r="1804" spans="8:12" x14ac:dyDescent="0.3">
      <c r="H1804" s="7" t="str">
        <f>IF(B1804&lt;&gt;"Silicone","",IFERROR(XLOOKUP(D1804,#REF!,#REF!),""))</f>
        <v/>
      </c>
      <c r="J1804" s="7" t="str">
        <f ca="1">IFERROR(XLOOKUP(D1804,'Spec_Single_H&amp;S'!B:B,'Spec_Single_H&amp;S'!E:E),
IFERROR(XLOOKUP(D1804,#REF!,#REF!),""))</f>
        <v/>
      </c>
      <c r="K1804" s="7" t="str">
        <f ca="1">IFERROR(XLOOKUP(D1804,'Spec_Single_H&amp;S'!B:B,'Spec_Single_H&amp;S'!F:F),
IFERROR(XLOOKUP(D1804,#REF!,#REF!),""))</f>
        <v/>
      </c>
      <c r="L1804" s="7" t="str">
        <f t="shared" ca="1" si="50"/>
        <v/>
      </c>
    </row>
    <row r="1805" spans="8:12" x14ac:dyDescent="0.3">
      <c r="H1805" s="7" t="str">
        <f>IF(B1805&lt;&gt;"Silicone","",IFERROR(XLOOKUP(D1805,#REF!,#REF!),""))</f>
        <v/>
      </c>
      <c r="J1805" s="7" t="str">
        <f ca="1">IFERROR(XLOOKUP(D1805,'Spec_Single_H&amp;S'!B:B,'Spec_Single_H&amp;S'!E:E),
IFERROR(XLOOKUP(D1805,#REF!,#REF!),""))</f>
        <v/>
      </c>
      <c r="K1805" s="7" t="str">
        <f ca="1">IFERROR(XLOOKUP(D1805,'Spec_Single_H&amp;S'!B:B,'Spec_Single_H&amp;S'!F:F),
IFERROR(XLOOKUP(D1805,#REF!,#REF!),""))</f>
        <v/>
      </c>
      <c r="L1805" s="7" t="str">
        <f t="shared" ca="1" si="50"/>
        <v/>
      </c>
    </row>
    <row r="1806" spans="8:12" x14ac:dyDescent="0.3">
      <c r="H1806" s="7" t="str">
        <f>IF(B1806&lt;&gt;"Silicone","",IFERROR(XLOOKUP(D1806,#REF!,#REF!),""))</f>
        <v/>
      </c>
      <c r="J1806" s="7" t="str">
        <f ca="1">IFERROR(XLOOKUP(D1806,'Spec_Single_H&amp;S'!B:B,'Spec_Single_H&amp;S'!E:E),
IFERROR(XLOOKUP(D1806,#REF!,#REF!),""))</f>
        <v/>
      </c>
      <c r="K1806" s="7" t="str">
        <f ca="1">IFERROR(XLOOKUP(D1806,'Spec_Single_H&amp;S'!B:B,'Spec_Single_H&amp;S'!F:F),
IFERROR(XLOOKUP(D1806,#REF!,#REF!),""))</f>
        <v/>
      </c>
      <c r="L1806" s="7" t="str">
        <f t="shared" ca="1" si="50"/>
        <v/>
      </c>
    </row>
    <row r="1807" spans="8:12" x14ac:dyDescent="0.3">
      <c r="H1807" s="7" t="str">
        <f>IF(B1807&lt;&gt;"Silicone","",IFERROR(XLOOKUP(D1807,#REF!,#REF!),""))</f>
        <v/>
      </c>
      <c r="J1807" s="7" t="str">
        <f ca="1">IFERROR(XLOOKUP(D1807,'Spec_Single_H&amp;S'!B:B,'Spec_Single_H&amp;S'!E:E),
IFERROR(XLOOKUP(D1807,#REF!,#REF!),""))</f>
        <v/>
      </c>
      <c r="K1807" s="7" t="str">
        <f ca="1">IFERROR(XLOOKUP(D1807,'Spec_Single_H&amp;S'!B:B,'Spec_Single_H&amp;S'!F:F),
IFERROR(XLOOKUP(D1807,#REF!,#REF!),""))</f>
        <v/>
      </c>
      <c r="L1807" s="7" t="str">
        <f t="shared" ca="1" si="50"/>
        <v/>
      </c>
    </row>
    <row r="1808" spans="8:12" x14ac:dyDescent="0.3">
      <c r="H1808" s="7" t="str">
        <f>IF(B1808&lt;&gt;"Silicone","",IFERROR(XLOOKUP(D1808,#REF!,#REF!),""))</f>
        <v/>
      </c>
      <c r="J1808" s="7" t="str">
        <f ca="1">IFERROR(XLOOKUP(D1808,'Spec_Single_H&amp;S'!B:B,'Spec_Single_H&amp;S'!E:E),
IFERROR(XLOOKUP(D1808,#REF!,#REF!),""))</f>
        <v/>
      </c>
      <c r="K1808" s="7" t="str">
        <f ca="1">IFERROR(XLOOKUP(D1808,'Spec_Single_H&amp;S'!B:B,'Spec_Single_H&amp;S'!F:F),
IFERROR(XLOOKUP(D1808,#REF!,#REF!),""))</f>
        <v/>
      </c>
      <c r="L1808" s="7" t="str">
        <f t="shared" ca="1" si="50"/>
        <v/>
      </c>
    </row>
    <row r="1809" spans="8:12" x14ac:dyDescent="0.3">
      <c r="H1809" s="7" t="str">
        <f>IF(B1809&lt;&gt;"Silicone","",IFERROR(XLOOKUP(D1809,#REF!,#REF!),""))</f>
        <v/>
      </c>
      <c r="J1809" s="7" t="str">
        <f ca="1">IFERROR(XLOOKUP(D1809,'Spec_Single_H&amp;S'!B:B,'Spec_Single_H&amp;S'!E:E),
IFERROR(XLOOKUP(D1809,#REF!,#REF!),""))</f>
        <v/>
      </c>
      <c r="K1809" s="7" t="str">
        <f ca="1">IFERROR(XLOOKUP(D1809,'Spec_Single_H&amp;S'!B:B,'Spec_Single_H&amp;S'!F:F),
IFERROR(XLOOKUP(D1809,#REF!,#REF!),""))</f>
        <v/>
      </c>
      <c r="L1809" s="7" t="str">
        <f t="shared" ca="1" si="50"/>
        <v/>
      </c>
    </row>
    <row r="1810" spans="8:12" x14ac:dyDescent="0.3">
      <c r="H1810" s="7" t="str">
        <f>IF(B1810&lt;&gt;"Silicone","",IFERROR(XLOOKUP(D1810,#REF!,#REF!),""))</f>
        <v/>
      </c>
      <c r="J1810" s="7" t="str">
        <f ca="1">IFERROR(XLOOKUP(D1810,'Spec_Single_H&amp;S'!B:B,'Spec_Single_H&amp;S'!E:E),
IFERROR(XLOOKUP(D1810,#REF!,#REF!),""))</f>
        <v/>
      </c>
      <c r="K1810" s="7" t="str">
        <f ca="1">IFERROR(XLOOKUP(D1810,'Spec_Single_H&amp;S'!B:B,'Spec_Single_H&amp;S'!F:F),
IFERROR(XLOOKUP(D1810,#REF!,#REF!),""))</f>
        <v/>
      </c>
      <c r="L1810" s="7" t="str">
        <f t="shared" ca="1" si="50"/>
        <v/>
      </c>
    </row>
    <row r="1811" spans="8:12" x14ac:dyDescent="0.3">
      <c r="H1811" s="7" t="str">
        <f>IF(B1811&lt;&gt;"Silicone","",IFERROR(XLOOKUP(D1811,#REF!,#REF!),""))</f>
        <v/>
      </c>
      <c r="J1811" s="7" t="str">
        <f ca="1">IFERROR(XLOOKUP(D1811,'Spec_Single_H&amp;S'!B:B,'Spec_Single_H&amp;S'!E:E),
IFERROR(XLOOKUP(D1811,#REF!,#REF!),""))</f>
        <v/>
      </c>
      <c r="K1811" s="7" t="str">
        <f ca="1">IFERROR(XLOOKUP(D1811,'Spec_Single_H&amp;S'!B:B,'Spec_Single_H&amp;S'!F:F),
IFERROR(XLOOKUP(D1811,#REF!,#REF!),""))</f>
        <v/>
      </c>
      <c r="L1811" s="7" t="str">
        <f t="shared" ca="1" si="50"/>
        <v/>
      </c>
    </row>
    <row r="1812" spans="8:12" x14ac:dyDescent="0.3">
      <c r="H1812" s="7" t="str">
        <f>IF(B1812&lt;&gt;"Silicone","",IFERROR(XLOOKUP(D1812,#REF!,#REF!),""))</f>
        <v/>
      </c>
      <c r="J1812" s="7" t="str">
        <f ca="1">IFERROR(XLOOKUP(D1812,'Spec_Single_H&amp;S'!B:B,'Spec_Single_H&amp;S'!E:E),
IFERROR(XLOOKUP(D1812,#REF!,#REF!),""))</f>
        <v/>
      </c>
      <c r="K1812" s="7" t="str">
        <f ca="1">IFERROR(XLOOKUP(D1812,'Spec_Single_H&amp;S'!B:B,'Spec_Single_H&amp;S'!F:F),
IFERROR(XLOOKUP(D1812,#REF!,#REF!),""))</f>
        <v/>
      </c>
      <c r="L1812" s="7" t="str">
        <f t="shared" ca="1" si="50"/>
        <v/>
      </c>
    </row>
    <row r="1813" spans="8:12" x14ac:dyDescent="0.3">
      <c r="H1813" s="7" t="str">
        <f>IF(B1813&lt;&gt;"Silicone","",IFERROR(XLOOKUP(D1813,#REF!,#REF!),""))</f>
        <v/>
      </c>
      <c r="J1813" s="7" t="str">
        <f ca="1">IFERROR(XLOOKUP(D1813,'Spec_Single_H&amp;S'!B:B,'Spec_Single_H&amp;S'!E:E),
IFERROR(XLOOKUP(D1813,#REF!,#REF!),""))</f>
        <v/>
      </c>
      <c r="K1813" s="7" t="str">
        <f ca="1">IFERROR(XLOOKUP(D1813,'Spec_Single_H&amp;S'!B:B,'Spec_Single_H&amp;S'!F:F),
IFERROR(XLOOKUP(D1813,#REF!,#REF!),""))</f>
        <v/>
      </c>
      <c r="L1813" s="7" t="str">
        <f t="shared" ca="1" si="50"/>
        <v/>
      </c>
    </row>
    <row r="1814" spans="8:12" x14ac:dyDescent="0.3">
      <c r="H1814" s="7" t="str">
        <f>IF(B1814&lt;&gt;"Silicone","",IFERROR(XLOOKUP(D1814,#REF!,#REF!),""))</f>
        <v/>
      </c>
      <c r="J1814" s="7" t="str">
        <f ca="1">IFERROR(XLOOKUP(D1814,'Spec_Single_H&amp;S'!B:B,'Spec_Single_H&amp;S'!E:E),
IFERROR(XLOOKUP(D1814,#REF!,#REF!),""))</f>
        <v/>
      </c>
      <c r="K1814" s="7" t="str">
        <f ca="1">IFERROR(XLOOKUP(D1814,'Spec_Single_H&amp;S'!B:B,'Spec_Single_H&amp;S'!F:F),
IFERROR(XLOOKUP(D1814,#REF!,#REF!),""))</f>
        <v/>
      </c>
      <c r="L1814" s="7" t="str">
        <f t="shared" ca="1" si="50"/>
        <v/>
      </c>
    </row>
    <row r="1815" spans="8:12" x14ac:dyDescent="0.3">
      <c r="H1815" s="7" t="str">
        <f>IF(B1815&lt;&gt;"Silicone","",IFERROR(XLOOKUP(D1815,#REF!,#REF!),""))</f>
        <v/>
      </c>
      <c r="J1815" s="7" t="str">
        <f ca="1">IFERROR(XLOOKUP(D1815,'Spec_Single_H&amp;S'!B:B,'Spec_Single_H&amp;S'!E:E),
IFERROR(XLOOKUP(D1815,#REF!,#REF!),""))</f>
        <v/>
      </c>
      <c r="K1815" s="7" t="str">
        <f ca="1">IFERROR(XLOOKUP(D1815,'Spec_Single_H&amp;S'!B:B,'Spec_Single_H&amp;S'!F:F),
IFERROR(XLOOKUP(D1815,#REF!,#REF!),""))</f>
        <v/>
      </c>
      <c r="L1815" s="7" t="str">
        <f t="shared" ca="1" si="50"/>
        <v/>
      </c>
    </row>
    <row r="1816" spans="8:12" x14ac:dyDescent="0.3">
      <c r="H1816" s="7" t="str">
        <f>IF(B1816&lt;&gt;"Silicone","",IFERROR(XLOOKUP(D1816,#REF!,#REF!),""))</f>
        <v/>
      </c>
      <c r="J1816" s="7" t="str">
        <f ca="1">IFERROR(XLOOKUP(D1816,'Spec_Single_H&amp;S'!B:B,'Spec_Single_H&amp;S'!E:E),
IFERROR(XLOOKUP(D1816,#REF!,#REF!),""))</f>
        <v/>
      </c>
      <c r="K1816" s="7" t="str">
        <f ca="1">IFERROR(XLOOKUP(D1816,'Spec_Single_H&amp;S'!B:B,'Spec_Single_H&amp;S'!F:F),
IFERROR(XLOOKUP(D1816,#REF!,#REF!),""))</f>
        <v/>
      </c>
      <c r="L1816" s="7" t="str">
        <f t="shared" ca="1" si="50"/>
        <v/>
      </c>
    </row>
    <row r="1817" spans="8:12" x14ac:dyDescent="0.3">
      <c r="H1817" s="7" t="str">
        <f>IF(B1817&lt;&gt;"Silicone","",IFERROR(XLOOKUP(D1817,#REF!,#REF!),""))</f>
        <v/>
      </c>
      <c r="J1817" s="7" t="str">
        <f ca="1">IFERROR(XLOOKUP(D1817,'Spec_Single_H&amp;S'!B:B,'Spec_Single_H&amp;S'!E:E),
IFERROR(XLOOKUP(D1817,#REF!,#REF!),""))</f>
        <v/>
      </c>
      <c r="K1817" s="7" t="str">
        <f ca="1">IFERROR(XLOOKUP(D1817,'Spec_Single_H&amp;S'!B:B,'Spec_Single_H&amp;S'!F:F),
IFERROR(XLOOKUP(D1817,#REF!,#REF!),""))</f>
        <v/>
      </c>
      <c r="L1817" s="7" t="str">
        <f t="shared" ca="1" si="50"/>
        <v/>
      </c>
    </row>
    <row r="1818" spans="8:12" x14ac:dyDescent="0.3">
      <c r="H1818" s="7" t="str">
        <f>IF(B1818&lt;&gt;"Silicone","",IFERROR(XLOOKUP(D1818,#REF!,#REF!),""))</f>
        <v/>
      </c>
      <c r="J1818" s="7" t="str">
        <f ca="1">IFERROR(XLOOKUP(D1818,'Spec_Single_H&amp;S'!B:B,'Spec_Single_H&amp;S'!E:E),
IFERROR(XLOOKUP(D1818,#REF!,#REF!),""))</f>
        <v/>
      </c>
      <c r="K1818" s="7" t="str">
        <f ca="1">IFERROR(XLOOKUP(D1818,'Spec_Single_H&amp;S'!B:B,'Spec_Single_H&amp;S'!F:F),
IFERROR(XLOOKUP(D1818,#REF!,#REF!),""))</f>
        <v/>
      </c>
      <c r="L1818" s="7" t="str">
        <f t="shared" ca="1" si="50"/>
        <v/>
      </c>
    </row>
    <row r="1819" spans="8:12" x14ac:dyDescent="0.3">
      <c r="H1819" s="7" t="str">
        <f>IF(B1819&lt;&gt;"Silicone","",IFERROR(XLOOKUP(D1819,#REF!,#REF!),""))</f>
        <v/>
      </c>
      <c r="J1819" s="7" t="str">
        <f ca="1">IFERROR(XLOOKUP(D1819,'Spec_Single_H&amp;S'!B:B,'Spec_Single_H&amp;S'!E:E),
IFERROR(XLOOKUP(D1819,#REF!,#REF!),""))</f>
        <v/>
      </c>
      <c r="K1819" s="7" t="str">
        <f ca="1">IFERROR(XLOOKUP(D1819,'Spec_Single_H&amp;S'!B:B,'Spec_Single_H&amp;S'!F:F),
IFERROR(XLOOKUP(D1819,#REF!,#REF!),""))</f>
        <v/>
      </c>
      <c r="L1819" s="7" t="str">
        <f t="shared" ca="1" si="50"/>
        <v/>
      </c>
    </row>
    <row r="1820" spans="8:12" x14ac:dyDescent="0.3">
      <c r="H1820" s="7" t="str">
        <f>IF(B1820&lt;&gt;"Silicone","",IFERROR(XLOOKUP(D1820,#REF!,#REF!),""))</f>
        <v/>
      </c>
      <c r="J1820" s="7" t="str">
        <f ca="1">IFERROR(XLOOKUP(D1820,'Spec_Single_H&amp;S'!B:B,'Spec_Single_H&amp;S'!E:E),
IFERROR(XLOOKUP(D1820,#REF!,#REF!),""))</f>
        <v/>
      </c>
      <c r="K1820" s="7" t="str">
        <f ca="1">IFERROR(XLOOKUP(D1820,'Spec_Single_H&amp;S'!B:B,'Spec_Single_H&amp;S'!F:F),
IFERROR(XLOOKUP(D1820,#REF!,#REF!),""))</f>
        <v/>
      </c>
      <c r="L1820" s="7" t="str">
        <f t="shared" ca="1" si="50"/>
        <v/>
      </c>
    </row>
    <row r="1821" spans="8:12" x14ac:dyDescent="0.3">
      <c r="H1821" s="7" t="str">
        <f>IF(B1821&lt;&gt;"Silicone","",IFERROR(XLOOKUP(D1821,#REF!,#REF!),""))</f>
        <v/>
      </c>
      <c r="J1821" s="7" t="str">
        <f ca="1">IFERROR(XLOOKUP(D1821,'Spec_Single_H&amp;S'!B:B,'Spec_Single_H&amp;S'!E:E),
IFERROR(XLOOKUP(D1821,#REF!,#REF!),""))</f>
        <v/>
      </c>
      <c r="K1821" s="7" t="str">
        <f ca="1">IFERROR(XLOOKUP(D1821,'Spec_Single_H&amp;S'!B:B,'Spec_Single_H&amp;S'!F:F),
IFERROR(XLOOKUP(D1821,#REF!,#REF!),""))</f>
        <v/>
      </c>
      <c r="L1821" s="7" t="str">
        <f t="shared" ca="1" si="50"/>
        <v/>
      </c>
    </row>
    <row r="1822" spans="8:12" x14ac:dyDescent="0.3">
      <c r="H1822" s="7" t="str">
        <f>IF(B1822&lt;&gt;"Silicone","",IFERROR(XLOOKUP(D1822,#REF!,#REF!),""))</f>
        <v/>
      </c>
      <c r="J1822" s="7" t="str">
        <f ca="1">IFERROR(XLOOKUP(D1822,'Spec_Single_H&amp;S'!B:B,'Spec_Single_H&amp;S'!E:E),
IFERROR(XLOOKUP(D1822,#REF!,#REF!),""))</f>
        <v/>
      </c>
      <c r="K1822" s="7" t="str">
        <f ca="1">IFERROR(XLOOKUP(D1822,'Spec_Single_H&amp;S'!B:B,'Spec_Single_H&amp;S'!F:F),
IFERROR(XLOOKUP(D1822,#REF!,#REF!),""))</f>
        <v/>
      </c>
      <c r="L1822" s="7" t="str">
        <f t="shared" ca="1" si="50"/>
        <v/>
      </c>
    </row>
    <row r="1823" spans="8:12" x14ac:dyDescent="0.3">
      <c r="H1823" s="7" t="str">
        <f>IF(B1823&lt;&gt;"Silicone","",IFERROR(XLOOKUP(D1823,#REF!,#REF!),""))</f>
        <v/>
      </c>
      <c r="J1823" s="7" t="str">
        <f ca="1">IFERROR(XLOOKUP(D1823,'Spec_Single_H&amp;S'!B:B,'Spec_Single_H&amp;S'!E:E),
IFERROR(XLOOKUP(D1823,#REF!,#REF!),""))</f>
        <v/>
      </c>
      <c r="K1823" s="7" t="str">
        <f ca="1">IFERROR(XLOOKUP(D1823,'Spec_Single_H&amp;S'!B:B,'Spec_Single_H&amp;S'!F:F),
IFERROR(XLOOKUP(D1823,#REF!,#REF!),""))</f>
        <v/>
      </c>
      <c r="L1823" s="7" t="str">
        <f t="shared" ca="1" si="50"/>
        <v/>
      </c>
    </row>
    <row r="1824" spans="8:12" x14ac:dyDescent="0.3">
      <c r="H1824" s="7" t="str">
        <f>IF(B1824&lt;&gt;"Silicone","",IFERROR(XLOOKUP(D1824,#REF!,#REF!),""))</f>
        <v/>
      </c>
      <c r="J1824" s="7" t="str">
        <f ca="1">IFERROR(XLOOKUP(D1824,'Spec_Single_H&amp;S'!B:B,'Spec_Single_H&amp;S'!E:E),
IFERROR(XLOOKUP(D1824,#REF!,#REF!),""))</f>
        <v/>
      </c>
      <c r="K1824" s="7" t="str">
        <f ca="1">IFERROR(XLOOKUP(D1824,'Spec_Single_H&amp;S'!B:B,'Spec_Single_H&amp;S'!F:F),
IFERROR(XLOOKUP(D1824,#REF!,#REF!),""))</f>
        <v/>
      </c>
      <c r="L1824" s="7" t="str">
        <f t="shared" ca="1" si="50"/>
        <v/>
      </c>
    </row>
    <row r="1825" spans="8:12" x14ac:dyDescent="0.3">
      <c r="H1825" s="7" t="str">
        <f>IF(B1825&lt;&gt;"Silicone","",IFERROR(XLOOKUP(D1825,#REF!,#REF!),""))</f>
        <v/>
      </c>
      <c r="J1825" s="7" t="str">
        <f ca="1">IFERROR(XLOOKUP(D1825,'Spec_Single_H&amp;S'!B:B,'Spec_Single_H&amp;S'!E:E),
IFERROR(XLOOKUP(D1825,#REF!,#REF!),""))</f>
        <v/>
      </c>
      <c r="K1825" s="7" t="str">
        <f ca="1">IFERROR(XLOOKUP(D1825,'Spec_Single_H&amp;S'!B:B,'Spec_Single_H&amp;S'!F:F),
IFERROR(XLOOKUP(D1825,#REF!,#REF!),""))</f>
        <v/>
      </c>
      <c r="L1825" s="7" t="str">
        <f t="shared" ca="1" si="50"/>
        <v/>
      </c>
    </row>
    <row r="1826" spans="8:12" x14ac:dyDescent="0.3">
      <c r="H1826" s="7" t="str">
        <f>IF(B1826&lt;&gt;"Silicone","",IFERROR(XLOOKUP(D1826,#REF!,#REF!),""))</f>
        <v/>
      </c>
      <c r="J1826" s="7" t="str">
        <f ca="1">IFERROR(XLOOKUP(D1826,'Spec_Single_H&amp;S'!B:B,'Spec_Single_H&amp;S'!E:E),
IFERROR(XLOOKUP(D1826,#REF!,#REF!),""))</f>
        <v/>
      </c>
      <c r="K1826" s="7" t="str">
        <f ca="1">IFERROR(XLOOKUP(D1826,'Spec_Single_H&amp;S'!B:B,'Spec_Single_H&amp;S'!F:F),
IFERROR(XLOOKUP(D1826,#REF!,#REF!),""))</f>
        <v/>
      </c>
      <c r="L1826" s="7" t="str">
        <f t="shared" ca="1" si="50"/>
        <v/>
      </c>
    </row>
    <row r="1827" spans="8:12" x14ac:dyDescent="0.3">
      <c r="H1827" s="7" t="str">
        <f>IF(B1827&lt;&gt;"Silicone","",IFERROR(XLOOKUP(D1827,#REF!,#REF!),""))</f>
        <v/>
      </c>
      <c r="J1827" s="7" t="str">
        <f ca="1">IFERROR(XLOOKUP(D1827,'Spec_Single_H&amp;S'!B:B,'Spec_Single_H&amp;S'!E:E),
IFERROR(XLOOKUP(D1827,#REF!,#REF!),""))</f>
        <v/>
      </c>
      <c r="K1827" s="7" t="str">
        <f ca="1">IFERROR(XLOOKUP(D1827,'Spec_Single_H&amp;S'!B:B,'Spec_Single_H&amp;S'!F:F),
IFERROR(XLOOKUP(D1827,#REF!,#REF!),""))</f>
        <v/>
      </c>
      <c r="L1827" s="7" t="str">
        <f t="shared" ca="1" si="50"/>
        <v/>
      </c>
    </row>
    <row r="1828" spans="8:12" x14ac:dyDescent="0.3">
      <c r="H1828" s="7" t="str">
        <f>IF(B1828&lt;&gt;"Silicone","",IFERROR(XLOOKUP(D1828,#REF!,#REF!),""))</f>
        <v/>
      </c>
      <c r="J1828" s="7" t="str">
        <f ca="1">IFERROR(XLOOKUP(D1828,'Spec_Single_H&amp;S'!B:B,'Spec_Single_H&amp;S'!E:E),
IFERROR(XLOOKUP(D1828,#REF!,#REF!),""))</f>
        <v/>
      </c>
      <c r="K1828" s="7" t="str">
        <f ca="1">IFERROR(XLOOKUP(D1828,'Spec_Single_H&amp;S'!B:B,'Spec_Single_H&amp;S'!F:F),
IFERROR(XLOOKUP(D1828,#REF!,#REF!),""))</f>
        <v/>
      </c>
      <c r="L1828" s="7" t="str">
        <f t="shared" ca="1" si="50"/>
        <v/>
      </c>
    </row>
    <row r="1829" spans="8:12" x14ac:dyDescent="0.3">
      <c r="H1829" s="7" t="str">
        <f>IF(B1829&lt;&gt;"Silicone","",IFERROR(XLOOKUP(D1829,#REF!,#REF!),""))</f>
        <v/>
      </c>
      <c r="J1829" s="7" t="str">
        <f ca="1">IFERROR(XLOOKUP(D1829,'Spec_Single_H&amp;S'!B:B,'Spec_Single_H&amp;S'!E:E),
IFERROR(XLOOKUP(D1829,#REF!,#REF!),""))</f>
        <v/>
      </c>
      <c r="K1829" s="7" t="str">
        <f ca="1">IFERROR(XLOOKUP(D1829,'Spec_Single_H&amp;S'!B:B,'Spec_Single_H&amp;S'!F:F),
IFERROR(XLOOKUP(D1829,#REF!,#REF!),""))</f>
        <v/>
      </c>
      <c r="L1829" s="7" t="str">
        <f t="shared" ca="1" si="50"/>
        <v/>
      </c>
    </row>
    <row r="1830" spans="8:12" x14ac:dyDescent="0.3">
      <c r="H1830" s="7" t="str">
        <f>IF(B1830&lt;&gt;"Silicone","",IFERROR(XLOOKUP(D1830,#REF!,#REF!),""))</f>
        <v/>
      </c>
      <c r="J1830" s="7" t="str">
        <f ca="1">IFERROR(XLOOKUP(D1830,'Spec_Single_H&amp;S'!B:B,'Spec_Single_H&amp;S'!E:E),
IFERROR(XLOOKUP(D1830,#REF!,#REF!),""))</f>
        <v/>
      </c>
      <c r="K1830" s="7" t="str">
        <f ca="1">IFERROR(XLOOKUP(D1830,'Spec_Single_H&amp;S'!B:B,'Spec_Single_H&amp;S'!F:F),
IFERROR(XLOOKUP(D1830,#REF!,#REF!),""))</f>
        <v/>
      </c>
      <c r="L1830" s="7" t="str">
        <f t="shared" ca="1" si="50"/>
        <v/>
      </c>
    </row>
    <row r="1831" spans="8:12" x14ac:dyDescent="0.3">
      <c r="H1831" s="7" t="str">
        <f>IF(B1831&lt;&gt;"Silicone","",IFERROR(XLOOKUP(D1831,#REF!,#REF!),""))</f>
        <v/>
      </c>
      <c r="J1831" s="7" t="str">
        <f ca="1">IFERROR(XLOOKUP(D1831,'Spec_Single_H&amp;S'!B:B,'Spec_Single_H&amp;S'!E:E),
IFERROR(XLOOKUP(D1831,#REF!,#REF!),""))</f>
        <v/>
      </c>
      <c r="K1831" s="7" t="str">
        <f ca="1">IFERROR(XLOOKUP(D1831,'Spec_Single_H&amp;S'!B:B,'Spec_Single_H&amp;S'!F:F),
IFERROR(XLOOKUP(D1831,#REF!,#REF!),""))</f>
        <v/>
      </c>
      <c r="L1831" s="7" t="str">
        <f t="shared" ca="1" si="50"/>
        <v/>
      </c>
    </row>
    <row r="1832" spans="8:12" x14ac:dyDescent="0.3">
      <c r="H1832" s="7" t="str">
        <f>IF(B1832&lt;&gt;"Silicone","",IFERROR(XLOOKUP(D1832,#REF!,#REF!),""))</f>
        <v/>
      </c>
      <c r="J1832" s="7" t="str">
        <f ca="1">IFERROR(XLOOKUP(D1832,'Spec_Single_H&amp;S'!B:B,'Spec_Single_H&amp;S'!E:E),
IFERROR(XLOOKUP(D1832,#REF!,#REF!),""))</f>
        <v/>
      </c>
      <c r="K1832" s="7" t="str">
        <f ca="1">IFERROR(XLOOKUP(D1832,'Spec_Single_H&amp;S'!B:B,'Spec_Single_H&amp;S'!F:F),
IFERROR(XLOOKUP(D1832,#REF!,#REF!),""))</f>
        <v/>
      </c>
      <c r="L1832" s="7" t="str">
        <f t="shared" ca="1" si="50"/>
        <v/>
      </c>
    </row>
    <row r="1833" spans="8:12" x14ac:dyDescent="0.3">
      <c r="H1833" s="7" t="str">
        <f>IF(B1833&lt;&gt;"Silicone","",IFERROR(XLOOKUP(D1833,#REF!,#REF!),""))</f>
        <v/>
      </c>
      <c r="J1833" s="7" t="str">
        <f ca="1">IFERROR(XLOOKUP(D1833,'Spec_Single_H&amp;S'!B:B,'Spec_Single_H&amp;S'!E:E),
IFERROR(XLOOKUP(D1833,#REF!,#REF!),""))</f>
        <v/>
      </c>
      <c r="K1833" s="7" t="str">
        <f ca="1">IFERROR(XLOOKUP(D1833,'Spec_Single_H&amp;S'!B:B,'Spec_Single_H&amp;S'!F:F),
IFERROR(XLOOKUP(D1833,#REF!,#REF!),""))</f>
        <v/>
      </c>
      <c r="L1833" s="7" t="str">
        <f t="shared" ca="1" si="50"/>
        <v/>
      </c>
    </row>
    <row r="1834" spans="8:12" x14ac:dyDescent="0.3">
      <c r="H1834" s="7" t="str">
        <f>IF(B1834&lt;&gt;"Silicone","",IFERROR(XLOOKUP(D1834,#REF!,#REF!),""))</f>
        <v/>
      </c>
      <c r="J1834" s="7" t="str">
        <f ca="1">IFERROR(XLOOKUP(D1834,'Spec_Single_H&amp;S'!B:B,'Spec_Single_H&amp;S'!E:E),
IFERROR(XLOOKUP(D1834,#REF!,#REF!),""))</f>
        <v/>
      </c>
      <c r="K1834" s="7" t="str">
        <f ca="1">IFERROR(XLOOKUP(D1834,'Spec_Single_H&amp;S'!B:B,'Spec_Single_H&amp;S'!F:F),
IFERROR(XLOOKUP(D1834,#REF!,#REF!),""))</f>
        <v/>
      </c>
      <c r="L1834" s="7" t="str">
        <f t="shared" ca="1" si="50"/>
        <v/>
      </c>
    </row>
    <row r="1835" spans="8:12" x14ac:dyDescent="0.3">
      <c r="H1835" s="7" t="str">
        <f>IF(B1835&lt;&gt;"Silicone","",IFERROR(XLOOKUP(D1835,#REF!,#REF!),""))</f>
        <v/>
      </c>
      <c r="J1835" s="7" t="str">
        <f ca="1">IFERROR(XLOOKUP(D1835,'Spec_Single_H&amp;S'!B:B,'Spec_Single_H&amp;S'!E:E),
IFERROR(XLOOKUP(D1835,#REF!,#REF!),""))</f>
        <v/>
      </c>
      <c r="K1835" s="7" t="str">
        <f ca="1">IFERROR(XLOOKUP(D1835,'Spec_Single_H&amp;S'!B:B,'Spec_Single_H&amp;S'!F:F),
IFERROR(XLOOKUP(D1835,#REF!,#REF!),""))</f>
        <v/>
      </c>
      <c r="L1835" s="7" t="str">
        <f t="shared" ca="1" si="50"/>
        <v/>
      </c>
    </row>
    <row r="1836" spans="8:12" x14ac:dyDescent="0.3">
      <c r="H1836" s="7" t="str">
        <f>IF(B1836&lt;&gt;"Silicone","",IFERROR(XLOOKUP(D1836,#REF!,#REF!),""))</f>
        <v/>
      </c>
      <c r="J1836" s="7" t="str">
        <f ca="1">IFERROR(XLOOKUP(D1836,'Spec_Single_H&amp;S'!B:B,'Spec_Single_H&amp;S'!E:E),
IFERROR(XLOOKUP(D1836,#REF!,#REF!),""))</f>
        <v/>
      </c>
      <c r="K1836" s="7" t="str">
        <f ca="1">IFERROR(XLOOKUP(D1836,'Spec_Single_H&amp;S'!B:B,'Spec_Single_H&amp;S'!F:F),
IFERROR(XLOOKUP(D1836,#REF!,#REF!),""))</f>
        <v/>
      </c>
      <c r="L1836" s="7" t="str">
        <f t="shared" ca="1" si="50"/>
        <v/>
      </c>
    </row>
    <row r="1837" spans="8:12" x14ac:dyDescent="0.3">
      <c r="H1837" s="7" t="str">
        <f>IF(B1837&lt;&gt;"Silicone","",IFERROR(XLOOKUP(D1837,#REF!,#REF!),""))</f>
        <v/>
      </c>
      <c r="J1837" s="7" t="str">
        <f ca="1">IFERROR(XLOOKUP(D1837,'Spec_Single_H&amp;S'!B:B,'Spec_Single_H&amp;S'!E:E),
IFERROR(XLOOKUP(D1837,#REF!,#REF!),""))</f>
        <v/>
      </c>
      <c r="K1837" s="7" t="str">
        <f ca="1">IFERROR(XLOOKUP(D1837,'Spec_Single_H&amp;S'!B:B,'Spec_Single_H&amp;S'!F:F),
IFERROR(XLOOKUP(D1837,#REF!,#REF!),""))</f>
        <v/>
      </c>
      <c r="L1837" s="7" t="str">
        <f t="shared" ca="1" si="50"/>
        <v/>
      </c>
    </row>
    <row r="1838" spans="8:12" x14ac:dyDescent="0.3">
      <c r="H1838" s="7" t="str">
        <f>IF(B1838&lt;&gt;"Silicone","",IFERROR(XLOOKUP(D1838,#REF!,#REF!),""))</f>
        <v/>
      </c>
      <c r="J1838" s="7" t="str">
        <f ca="1">IFERROR(XLOOKUP(D1838,'Spec_Single_H&amp;S'!B:B,'Spec_Single_H&amp;S'!E:E),
IFERROR(XLOOKUP(D1838,#REF!,#REF!),""))</f>
        <v/>
      </c>
      <c r="K1838" s="7" t="str">
        <f ca="1">IFERROR(XLOOKUP(D1838,'Spec_Single_H&amp;S'!B:B,'Spec_Single_H&amp;S'!F:F),
IFERROR(XLOOKUP(D1838,#REF!,#REF!),""))</f>
        <v/>
      </c>
      <c r="L1838" s="7" t="str">
        <f t="shared" ca="1" si="50"/>
        <v/>
      </c>
    </row>
    <row r="1839" spans="8:12" x14ac:dyDescent="0.3">
      <c r="H1839" s="7" t="str">
        <f>IF(B1839&lt;&gt;"Silicone","",IFERROR(XLOOKUP(D1839,#REF!,#REF!),""))</f>
        <v/>
      </c>
      <c r="J1839" s="7" t="str">
        <f ca="1">IFERROR(XLOOKUP(D1839,'Spec_Single_H&amp;S'!B:B,'Spec_Single_H&amp;S'!E:E),
IFERROR(XLOOKUP(D1839,#REF!,#REF!),""))</f>
        <v/>
      </c>
      <c r="K1839" s="7" t="str">
        <f ca="1">IFERROR(XLOOKUP(D1839,'Spec_Single_H&amp;S'!B:B,'Spec_Single_H&amp;S'!F:F),
IFERROR(XLOOKUP(D1839,#REF!,#REF!),""))</f>
        <v/>
      </c>
      <c r="L1839" s="7" t="str">
        <f t="shared" ca="1" si="50"/>
        <v/>
      </c>
    </row>
    <row r="1840" spans="8:12" x14ac:dyDescent="0.3">
      <c r="H1840" s="7" t="str">
        <f>IF(B1840&lt;&gt;"Silicone","",IFERROR(XLOOKUP(D1840,#REF!,#REF!),""))</f>
        <v/>
      </c>
      <c r="J1840" s="7" t="str">
        <f ca="1">IFERROR(XLOOKUP(D1840,'Spec_Single_H&amp;S'!B:B,'Spec_Single_H&amp;S'!E:E),
IFERROR(XLOOKUP(D1840,#REF!,#REF!),""))</f>
        <v/>
      </c>
      <c r="K1840" s="7" t="str">
        <f ca="1">IFERROR(XLOOKUP(D1840,'Spec_Single_H&amp;S'!B:B,'Spec_Single_H&amp;S'!F:F),
IFERROR(XLOOKUP(D1840,#REF!,#REF!),""))</f>
        <v/>
      </c>
      <c r="L1840" s="7" t="str">
        <f t="shared" ca="1" si="50"/>
        <v/>
      </c>
    </row>
    <row r="1841" spans="8:12" x14ac:dyDescent="0.3">
      <c r="H1841" s="7" t="str">
        <f>IF(B1841&lt;&gt;"Silicone","",IFERROR(XLOOKUP(D1841,#REF!,#REF!),""))</f>
        <v/>
      </c>
      <c r="J1841" s="7" t="str">
        <f ca="1">IFERROR(XLOOKUP(D1841,'Spec_Single_H&amp;S'!B:B,'Spec_Single_H&amp;S'!E:E),
IFERROR(XLOOKUP(D1841,#REF!,#REF!),""))</f>
        <v/>
      </c>
      <c r="K1841" s="7" t="str">
        <f ca="1">IFERROR(XLOOKUP(D1841,'Spec_Single_H&amp;S'!B:B,'Spec_Single_H&amp;S'!F:F),
IFERROR(XLOOKUP(D1841,#REF!,#REF!),""))</f>
        <v/>
      </c>
      <c r="L1841" s="7" t="str">
        <f t="shared" ca="1" si="50"/>
        <v/>
      </c>
    </row>
    <row r="1842" spans="8:12" x14ac:dyDescent="0.3">
      <c r="H1842" s="7" t="str">
        <f>IF(B1842&lt;&gt;"Silicone","",IFERROR(XLOOKUP(D1842,#REF!,#REF!),""))</f>
        <v/>
      </c>
      <c r="J1842" s="7" t="str">
        <f ca="1">IFERROR(XLOOKUP(D1842,'Spec_Single_H&amp;S'!B:B,'Spec_Single_H&amp;S'!E:E),
IFERROR(XLOOKUP(D1842,#REF!,#REF!),""))</f>
        <v/>
      </c>
      <c r="K1842" s="7" t="str">
        <f ca="1">IFERROR(XLOOKUP(D1842,'Spec_Single_H&amp;S'!B:B,'Spec_Single_H&amp;S'!F:F),
IFERROR(XLOOKUP(D1842,#REF!,#REF!),""))</f>
        <v/>
      </c>
      <c r="L1842" s="7" t="str">
        <f t="shared" ca="1" si="50"/>
        <v/>
      </c>
    </row>
    <row r="1843" spans="8:12" x14ac:dyDescent="0.3">
      <c r="H1843" s="7" t="str">
        <f>IF(B1843&lt;&gt;"Silicone","",IFERROR(XLOOKUP(D1843,#REF!,#REF!),""))</f>
        <v/>
      </c>
      <c r="J1843" s="7" t="str">
        <f ca="1">IFERROR(XLOOKUP(D1843,'Spec_Single_H&amp;S'!B:B,'Spec_Single_H&amp;S'!E:E),
IFERROR(XLOOKUP(D1843,#REF!,#REF!),""))</f>
        <v/>
      </c>
      <c r="K1843" s="7" t="str">
        <f ca="1">IFERROR(XLOOKUP(D1843,'Spec_Single_H&amp;S'!B:B,'Spec_Single_H&amp;S'!F:F),
IFERROR(XLOOKUP(D1843,#REF!,#REF!),""))</f>
        <v/>
      </c>
      <c r="L1843" s="7" t="str">
        <f t="shared" ca="1" si="50"/>
        <v/>
      </c>
    </row>
    <row r="1844" spans="8:12" x14ac:dyDescent="0.3">
      <c r="H1844" s="7" t="str">
        <f>IF(B1844&lt;&gt;"Silicone","",IFERROR(XLOOKUP(D1844,#REF!,#REF!),""))</f>
        <v/>
      </c>
      <c r="J1844" s="7" t="str">
        <f ca="1">IFERROR(XLOOKUP(D1844,'Spec_Single_H&amp;S'!B:B,'Spec_Single_H&amp;S'!E:E),
IFERROR(XLOOKUP(D1844,#REF!,#REF!),""))</f>
        <v/>
      </c>
      <c r="K1844" s="7" t="str">
        <f ca="1">IFERROR(XLOOKUP(D1844,'Spec_Single_H&amp;S'!B:B,'Spec_Single_H&amp;S'!F:F),
IFERROR(XLOOKUP(D1844,#REF!,#REF!),""))</f>
        <v/>
      </c>
      <c r="L1844" s="7" t="str">
        <f t="shared" ca="1" si="50"/>
        <v/>
      </c>
    </row>
    <row r="1845" spans="8:12" x14ac:dyDescent="0.3">
      <c r="H1845" s="7" t="str">
        <f>IF(B1845&lt;&gt;"Silicone","",IFERROR(XLOOKUP(D1845,#REF!,#REF!),""))</f>
        <v/>
      </c>
      <c r="J1845" s="7" t="str">
        <f ca="1">IFERROR(XLOOKUP(D1845,'Spec_Single_H&amp;S'!B:B,'Spec_Single_H&amp;S'!E:E),
IFERROR(XLOOKUP(D1845,#REF!,#REF!),""))</f>
        <v/>
      </c>
      <c r="K1845" s="7" t="str">
        <f ca="1">IFERROR(XLOOKUP(D1845,'Spec_Single_H&amp;S'!B:B,'Spec_Single_H&amp;S'!F:F),
IFERROR(XLOOKUP(D1845,#REF!,#REF!),""))</f>
        <v/>
      </c>
      <c r="L1845" s="7" t="str">
        <f t="shared" ca="1" si="50"/>
        <v/>
      </c>
    </row>
    <row r="1846" spans="8:12" x14ac:dyDescent="0.3">
      <c r="H1846" s="7" t="str">
        <f>IF(B1846&lt;&gt;"Silicone","",IFERROR(XLOOKUP(D1846,#REF!,#REF!),""))</f>
        <v/>
      </c>
      <c r="J1846" s="7" t="str">
        <f ca="1">IFERROR(XLOOKUP(D1846,'Spec_Single_H&amp;S'!B:B,'Spec_Single_H&amp;S'!E:E),
IFERROR(XLOOKUP(D1846,#REF!,#REF!),""))</f>
        <v/>
      </c>
      <c r="K1846" s="7" t="str">
        <f ca="1">IFERROR(XLOOKUP(D1846,'Spec_Single_H&amp;S'!B:B,'Spec_Single_H&amp;S'!F:F),
IFERROR(XLOOKUP(D1846,#REF!,#REF!),""))</f>
        <v/>
      </c>
      <c r="L1846" s="7" t="str">
        <f t="shared" ca="1" si="50"/>
        <v/>
      </c>
    </row>
    <row r="1847" spans="8:12" x14ac:dyDescent="0.3">
      <c r="H1847" s="7" t="str">
        <f>IF(B1847&lt;&gt;"Silicone","",IFERROR(XLOOKUP(D1847,#REF!,#REF!),""))</f>
        <v/>
      </c>
      <c r="J1847" s="7" t="str">
        <f ca="1">IFERROR(XLOOKUP(D1847,'Spec_Single_H&amp;S'!B:B,'Spec_Single_H&amp;S'!E:E),
IFERROR(XLOOKUP(D1847,#REF!,#REF!),""))</f>
        <v/>
      </c>
      <c r="K1847" s="7" t="str">
        <f ca="1">IFERROR(XLOOKUP(D1847,'Spec_Single_H&amp;S'!B:B,'Spec_Single_H&amp;S'!F:F),
IFERROR(XLOOKUP(D1847,#REF!,#REF!),""))</f>
        <v/>
      </c>
      <c r="L1847" s="7" t="str">
        <f t="shared" ca="1" si="50"/>
        <v/>
      </c>
    </row>
    <row r="1848" spans="8:12" x14ac:dyDescent="0.3">
      <c r="H1848" s="7" t="str">
        <f>IF(B1848&lt;&gt;"Silicone","",IFERROR(XLOOKUP(D1848,#REF!,#REF!),""))</f>
        <v/>
      </c>
      <c r="J1848" s="7" t="str">
        <f ca="1">IFERROR(XLOOKUP(D1848,'Spec_Single_H&amp;S'!B:B,'Spec_Single_H&amp;S'!E:E),
IFERROR(XLOOKUP(D1848,#REF!,#REF!),""))</f>
        <v/>
      </c>
      <c r="K1848" s="7" t="str">
        <f ca="1">IFERROR(XLOOKUP(D1848,'Spec_Single_H&amp;S'!B:B,'Spec_Single_H&amp;S'!F:F),
IFERROR(XLOOKUP(D1848,#REF!,#REF!),""))</f>
        <v/>
      </c>
      <c r="L1848" s="7" t="str">
        <f t="shared" ca="1" si="50"/>
        <v/>
      </c>
    </row>
    <row r="1849" spans="8:12" x14ac:dyDescent="0.3">
      <c r="H1849" s="7" t="str">
        <f>IF(B1849&lt;&gt;"Silicone","",IFERROR(XLOOKUP(D1849,#REF!,#REF!),""))</f>
        <v/>
      </c>
      <c r="J1849" s="7" t="str">
        <f ca="1">IFERROR(XLOOKUP(D1849,'Spec_Single_H&amp;S'!B:B,'Spec_Single_H&amp;S'!E:E),
IFERROR(XLOOKUP(D1849,#REF!,#REF!),""))</f>
        <v/>
      </c>
      <c r="K1849" s="7" t="str">
        <f ca="1">IFERROR(XLOOKUP(D1849,'Spec_Single_H&amp;S'!B:B,'Spec_Single_H&amp;S'!F:F),
IFERROR(XLOOKUP(D1849,#REF!,#REF!),""))</f>
        <v/>
      </c>
      <c r="L1849" s="7" t="str">
        <f t="shared" ca="1" si="50"/>
        <v/>
      </c>
    </row>
    <row r="1850" spans="8:12" x14ac:dyDescent="0.3">
      <c r="H1850" s="7" t="str">
        <f>IF(B1850&lt;&gt;"Silicone","",IFERROR(XLOOKUP(D1850,#REF!,#REF!),""))</f>
        <v/>
      </c>
      <c r="J1850" s="7" t="str">
        <f ca="1">IFERROR(XLOOKUP(D1850,'Spec_Single_H&amp;S'!B:B,'Spec_Single_H&amp;S'!E:E),
IFERROR(XLOOKUP(D1850,#REF!,#REF!),""))</f>
        <v/>
      </c>
      <c r="K1850" s="7" t="str">
        <f ca="1">IFERROR(XLOOKUP(D1850,'Spec_Single_H&amp;S'!B:B,'Spec_Single_H&amp;S'!F:F),
IFERROR(XLOOKUP(D1850,#REF!,#REF!),""))</f>
        <v/>
      </c>
      <c r="L1850" s="7" t="str">
        <f t="shared" ca="1" si="50"/>
        <v/>
      </c>
    </row>
    <row r="1851" spans="8:12" x14ac:dyDescent="0.3">
      <c r="H1851" s="7" t="str">
        <f>IF(B1851&lt;&gt;"Silicone","",IFERROR(XLOOKUP(D1851,#REF!,#REF!),""))</f>
        <v/>
      </c>
      <c r="J1851" s="7" t="str">
        <f ca="1">IFERROR(XLOOKUP(D1851,'Spec_Single_H&amp;S'!B:B,'Spec_Single_H&amp;S'!E:E),
IFERROR(XLOOKUP(D1851,#REF!,#REF!),""))</f>
        <v/>
      </c>
      <c r="K1851" s="7" t="str">
        <f ca="1">IFERROR(XLOOKUP(D1851,'Spec_Single_H&amp;S'!B:B,'Spec_Single_H&amp;S'!F:F),
IFERROR(XLOOKUP(D1851,#REF!,#REF!),""))</f>
        <v/>
      </c>
      <c r="L1851" s="7" t="str">
        <f t="shared" ca="1" si="50"/>
        <v/>
      </c>
    </row>
    <row r="1852" spans="8:12" x14ac:dyDescent="0.3">
      <c r="H1852" s="7" t="str">
        <f>IF(B1852&lt;&gt;"Silicone","",IFERROR(XLOOKUP(D1852,#REF!,#REF!),""))</f>
        <v/>
      </c>
      <c r="J1852" s="7" t="str">
        <f ca="1">IFERROR(XLOOKUP(D1852,'Spec_Single_H&amp;S'!B:B,'Spec_Single_H&amp;S'!E:E),
IFERROR(XLOOKUP(D1852,#REF!,#REF!),""))</f>
        <v/>
      </c>
      <c r="K1852" s="7" t="str">
        <f ca="1">IFERROR(XLOOKUP(D1852,'Spec_Single_H&amp;S'!B:B,'Spec_Single_H&amp;S'!F:F),
IFERROR(XLOOKUP(D1852,#REF!,#REF!),""))</f>
        <v/>
      </c>
      <c r="L1852" s="7" t="str">
        <f t="shared" ca="1" si="50"/>
        <v/>
      </c>
    </row>
    <row r="1853" spans="8:12" x14ac:dyDescent="0.3">
      <c r="H1853" s="7" t="str">
        <f>IF(B1853&lt;&gt;"Silicone","",IFERROR(XLOOKUP(D1853,#REF!,#REF!),""))</f>
        <v/>
      </c>
      <c r="J1853" s="7" t="str">
        <f ca="1">IFERROR(XLOOKUP(D1853,'Spec_Single_H&amp;S'!B:B,'Spec_Single_H&amp;S'!E:E),
IFERROR(XLOOKUP(D1853,#REF!,#REF!),""))</f>
        <v/>
      </c>
      <c r="K1853" s="7" t="str">
        <f ca="1">IFERROR(XLOOKUP(D1853,'Spec_Single_H&amp;S'!B:B,'Spec_Single_H&amp;S'!F:F),
IFERROR(XLOOKUP(D1853,#REF!,#REF!),""))</f>
        <v/>
      </c>
      <c r="L1853" s="7" t="str">
        <f t="shared" ca="1" si="50"/>
        <v/>
      </c>
    </row>
    <row r="1854" spans="8:12" x14ac:dyDescent="0.3">
      <c r="H1854" s="7" t="str">
        <f>IF(B1854&lt;&gt;"Silicone","",IFERROR(XLOOKUP(D1854,#REF!,#REF!),""))</f>
        <v/>
      </c>
      <c r="J1854" s="7" t="str">
        <f ca="1">IFERROR(XLOOKUP(D1854,'Spec_Single_H&amp;S'!B:B,'Spec_Single_H&amp;S'!E:E),
IFERROR(XLOOKUP(D1854,#REF!,#REF!),""))</f>
        <v/>
      </c>
      <c r="K1854" s="7" t="str">
        <f ca="1">IFERROR(XLOOKUP(D1854,'Spec_Single_H&amp;S'!B:B,'Spec_Single_H&amp;S'!F:F),
IFERROR(XLOOKUP(D1854,#REF!,#REF!),""))</f>
        <v/>
      </c>
      <c r="L1854" s="7" t="str">
        <f t="shared" ca="1" si="50"/>
        <v/>
      </c>
    </row>
    <row r="1855" spans="8:12" x14ac:dyDescent="0.3">
      <c r="H1855" s="7" t="str">
        <f>IF(B1855&lt;&gt;"Silicone","",IFERROR(XLOOKUP(D1855,#REF!,#REF!),""))</f>
        <v/>
      </c>
      <c r="J1855" s="7" t="str">
        <f ca="1">IFERROR(XLOOKUP(D1855,'Spec_Single_H&amp;S'!B:B,'Spec_Single_H&amp;S'!E:E),
IFERROR(XLOOKUP(D1855,#REF!,#REF!),""))</f>
        <v/>
      </c>
      <c r="K1855" s="7" t="str">
        <f ca="1">IFERROR(XLOOKUP(D1855,'Spec_Single_H&amp;S'!B:B,'Spec_Single_H&amp;S'!F:F),
IFERROR(XLOOKUP(D1855,#REF!,#REF!),""))</f>
        <v/>
      </c>
      <c r="L1855" s="7" t="str">
        <f t="shared" ca="1" si="50"/>
        <v/>
      </c>
    </row>
    <row r="1856" spans="8:12" x14ac:dyDescent="0.3">
      <c r="H1856" s="7" t="str">
        <f>IF(B1856&lt;&gt;"Silicone","",IFERROR(XLOOKUP(D1856,#REF!,#REF!),""))</f>
        <v/>
      </c>
      <c r="J1856" s="7" t="str">
        <f ca="1">IFERROR(XLOOKUP(D1856,'Spec_Single_H&amp;S'!B:B,'Spec_Single_H&amp;S'!E:E),
IFERROR(XLOOKUP(D1856,#REF!,#REF!),""))</f>
        <v/>
      </c>
      <c r="K1856" s="7" t="str">
        <f ca="1">IFERROR(XLOOKUP(D1856,'Spec_Single_H&amp;S'!B:B,'Spec_Single_H&amp;S'!F:F),
IFERROR(XLOOKUP(D1856,#REF!,#REF!),""))</f>
        <v/>
      </c>
      <c r="L1856" s="7" t="str">
        <f t="shared" ca="1" si="50"/>
        <v/>
      </c>
    </row>
    <row r="1857" spans="8:12" x14ac:dyDescent="0.3">
      <c r="H1857" s="7" t="str">
        <f>IF(B1857&lt;&gt;"Silicone","",IFERROR(XLOOKUP(D1857,#REF!,#REF!),""))</f>
        <v/>
      </c>
      <c r="J1857" s="7" t="str">
        <f ca="1">IFERROR(XLOOKUP(D1857,'Spec_Single_H&amp;S'!B:B,'Spec_Single_H&amp;S'!E:E),
IFERROR(XLOOKUP(D1857,#REF!,#REF!),""))</f>
        <v/>
      </c>
      <c r="K1857" s="7" t="str">
        <f ca="1">IFERROR(XLOOKUP(D1857,'Spec_Single_H&amp;S'!B:B,'Spec_Single_H&amp;S'!F:F),
IFERROR(XLOOKUP(D1857,#REF!,#REF!),""))</f>
        <v/>
      </c>
      <c r="L1857" s="7" t="str">
        <f t="shared" ca="1" si="50"/>
        <v/>
      </c>
    </row>
    <row r="1858" spans="8:12" x14ac:dyDescent="0.3">
      <c r="H1858" s="7" t="str">
        <f>IF(B1858&lt;&gt;"Silicone","",IFERROR(XLOOKUP(D1858,#REF!,#REF!),""))</f>
        <v/>
      </c>
      <c r="J1858" s="7" t="str">
        <f ca="1">IFERROR(XLOOKUP(D1858,'Spec_Single_H&amp;S'!B:B,'Spec_Single_H&amp;S'!E:E),
IFERROR(XLOOKUP(D1858,#REF!,#REF!),""))</f>
        <v/>
      </c>
      <c r="K1858" s="7" t="str">
        <f ca="1">IFERROR(XLOOKUP(D1858,'Spec_Single_H&amp;S'!B:B,'Spec_Single_H&amp;S'!F:F),
IFERROR(XLOOKUP(D1858,#REF!,#REF!),""))</f>
        <v/>
      </c>
      <c r="L1858" s="7" t="str">
        <f t="shared" ca="1" si="50"/>
        <v/>
      </c>
    </row>
    <row r="1859" spans="8:12" x14ac:dyDescent="0.3">
      <c r="H1859" s="7" t="str">
        <f>IF(B1859&lt;&gt;"Silicone","",IFERROR(XLOOKUP(D1859,#REF!,#REF!),""))</f>
        <v/>
      </c>
      <c r="J1859" s="7" t="str">
        <f ca="1">IFERROR(XLOOKUP(D1859,'Spec_Single_H&amp;S'!B:B,'Spec_Single_H&amp;S'!E:E),
IFERROR(XLOOKUP(D1859,#REF!,#REF!),""))</f>
        <v/>
      </c>
      <c r="K1859" s="7" t="str">
        <f ca="1">IFERROR(XLOOKUP(D1859,'Spec_Single_H&amp;S'!B:B,'Spec_Single_H&amp;S'!F:F),
IFERROR(XLOOKUP(D1859,#REF!,#REF!),""))</f>
        <v/>
      </c>
      <c r="L1859" s="7" t="str">
        <f t="shared" ca="1" si="50"/>
        <v/>
      </c>
    </row>
    <row r="1860" spans="8:12" x14ac:dyDescent="0.3">
      <c r="H1860" s="7" t="str">
        <f>IF(B1860&lt;&gt;"Silicone","",IFERROR(XLOOKUP(D1860,#REF!,#REF!),""))</f>
        <v/>
      </c>
      <c r="J1860" s="7" t="str">
        <f ca="1">IFERROR(XLOOKUP(D1860,'Spec_Single_H&amp;S'!B:B,'Spec_Single_H&amp;S'!E:E),
IFERROR(XLOOKUP(D1860,#REF!,#REF!),""))</f>
        <v/>
      </c>
      <c r="K1860" s="7" t="str">
        <f ca="1">IFERROR(XLOOKUP(D1860,'Spec_Single_H&amp;S'!B:B,'Spec_Single_H&amp;S'!F:F),
IFERROR(XLOOKUP(D1860,#REF!,#REF!),""))</f>
        <v/>
      </c>
      <c r="L1860" s="7" t="str">
        <f t="shared" ca="1" si="50"/>
        <v/>
      </c>
    </row>
    <row r="1861" spans="8:12" x14ac:dyDescent="0.3">
      <c r="H1861" s="7" t="str">
        <f>IF(B1861&lt;&gt;"Silicone","",IFERROR(XLOOKUP(D1861,#REF!,#REF!),""))</f>
        <v/>
      </c>
      <c r="J1861" s="7" t="str">
        <f ca="1">IFERROR(XLOOKUP(D1861,'Spec_Single_H&amp;S'!B:B,'Spec_Single_H&amp;S'!E:E),
IFERROR(XLOOKUP(D1861,#REF!,#REF!),""))</f>
        <v/>
      </c>
      <c r="K1861" s="7" t="str">
        <f ca="1">IFERROR(XLOOKUP(D1861,'Spec_Single_H&amp;S'!B:B,'Spec_Single_H&amp;S'!F:F),
IFERROR(XLOOKUP(D1861,#REF!,#REF!),""))</f>
        <v/>
      </c>
      <c r="L1861" s="7" t="str">
        <f t="shared" ca="1" si="50"/>
        <v/>
      </c>
    </row>
    <row r="1862" spans="8:12" x14ac:dyDescent="0.3">
      <c r="H1862" s="7" t="str">
        <f>IF(B1862&lt;&gt;"Silicone","",IFERROR(XLOOKUP(D1862,#REF!,#REF!),""))</f>
        <v/>
      </c>
      <c r="J1862" s="7" t="str">
        <f ca="1">IFERROR(XLOOKUP(D1862,'Spec_Single_H&amp;S'!B:B,'Spec_Single_H&amp;S'!E:E),
IFERROR(XLOOKUP(D1862,#REF!,#REF!),""))</f>
        <v/>
      </c>
      <c r="K1862" s="7" t="str">
        <f ca="1">IFERROR(XLOOKUP(D1862,'Spec_Single_H&amp;S'!B:B,'Spec_Single_H&amp;S'!F:F),
IFERROR(XLOOKUP(D1862,#REF!,#REF!),""))</f>
        <v/>
      </c>
      <c r="L1862" s="7" t="str">
        <f t="shared" ca="1" si="50"/>
        <v/>
      </c>
    </row>
    <row r="1863" spans="8:12" x14ac:dyDescent="0.3">
      <c r="H1863" s="7" t="str">
        <f>IF(B1863&lt;&gt;"Silicone","",IFERROR(XLOOKUP(D1863,#REF!,#REF!),""))</f>
        <v/>
      </c>
      <c r="J1863" s="7" t="str">
        <f ca="1">IFERROR(XLOOKUP(D1863,'Spec_Single_H&amp;S'!B:B,'Spec_Single_H&amp;S'!E:E),
IFERROR(XLOOKUP(D1863,#REF!,#REF!),""))</f>
        <v/>
      </c>
      <c r="K1863" s="7" t="str">
        <f ca="1">IFERROR(XLOOKUP(D1863,'Spec_Single_H&amp;S'!B:B,'Spec_Single_H&amp;S'!F:F),
IFERROR(XLOOKUP(D1863,#REF!,#REF!),""))</f>
        <v/>
      </c>
      <c r="L1863" s="7" t="str">
        <f t="shared" ca="1" si="50"/>
        <v/>
      </c>
    </row>
    <row r="1864" spans="8:12" x14ac:dyDescent="0.3">
      <c r="H1864" s="7" t="str">
        <f>IF(B1864&lt;&gt;"Silicone","",IFERROR(XLOOKUP(D1864,#REF!,#REF!),""))</f>
        <v/>
      </c>
      <c r="J1864" s="7" t="str">
        <f ca="1">IFERROR(XLOOKUP(D1864,'Spec_Single_H&amp;S'!B:B,'Spec_Single_H&amp;S'!E:E),
IFERROR(XLOOKUP(D1864,#REF!,#REF!),""))</f>
        <v/>
      </c>
      <c r="K1864" s="7" t="str">
        <f ca="1">IFERROR(XLOOKUP(D1864,'Spec_Single_H&amp;S'!B:B,'Spec_Single_H&amp;S'!F:F),
IFERROR(XLOOKUP(D1864,#REF!,#REF!),""))</f>
        <v/>
      </c>
      <c r="L1864" s="7" t="str">
        <f t="shared" ref="L1864:L1927" ca="1" si="51">IF(AND(NOT(ISBLANK(I1864)),I1864&gt;=J1864,I1864&lt;=K1864),"적합",IF(ISBLANK(I1864),"", "부적합"))</f>
        <v/>
      </c>
    </row>
    <row r="1865" spans="8:12" x14ac:dyDescent="0.3">
      <c r="H1865" s="7" t="str">
        <f>IF(B1865&lt;&gt;"Silicone","",IFERROR(XLOOKUP(D1865,#REF!,#REF!),""))</f>
        <v/>
      </c>
      <c r="J1865" s="7" t="str">
        <f ca="1">IFERROR(XLOOKUP(D1865,'Spec_Single_H&amp;S'!B:B,'Spec_Single_H&amp;S'!E:E),
IFERROR(XLOOKUP(D1865,#REF!,#REF!),""))</f>
        <v/>
      </c>
      <c r="K1865" s="7" t="str">
        <f ca="1">IFERROR(XLOOKUP(D1865,'Spec_Single_H&amp;S'!B:B,'Spec_Single_H&amp;S'!F:F),
IFERROR(XLOOKUP(D1865,#REF!,#REF!),""))</f>
        <v/>
      </c>
      <c r="L1865" s="7" t="str">
        <f t="shared" ca="1" si="51"/>
        <v/>
      </c>
    </row>
    <row r="1866" spans="8:12" x14ac:dyDescent="0.3">
      <c r="H1866" s="7" t="str">
        <f>IF(B1866&lt;&gt;"Silicone","",IFERROR(XLOOKUP(D1866,#REF!,#REF!),""))</f>
        <v/>
      </c>
      <c r="J1866" s="7" t="str">
        <f ca="1">IFERROR(XLOOKUP(D1866,'Spec_Single_H&amp;S'!B:B,'Spec_Single_H&amp;S'!E:E),
IFERROR(XLOOKUP(D1866,#REF!,#REF!),""))</f>
        <v/>
      </c>
      <c r="K1866" s="7" t="str">
        <f ca="1">IFERROR(XLOOKUP(D1866,'Spec_Single_H&amp;S'!B:B,'Spec_Single_H&amp;S'!F:F),
IFERROR(XLOOKUP(D1866,#REF!,#REF!),""))</f>
        <v/>
      </c>
      <c r="L1866" s="7" t="str">
        <f t="shared" ca="1" si="51"/>
        <v/>
      </c>
    </row>
    <row r="1867" spans="8:12" x14ac:dyDescent="0.3">
      <c r="H1867" s="7" t="str">
        <f>IF(B1867&lt;&gt;"Silicone","",IFERROR(XLOOKUP(D1867,#REF!,#REF!),""))</f>
        <v/>
      </c>
      <c r="J1867" s="7" t="str">
        <f ca="1">IFERROR(XLOOKUP(D1867,'Spec_Single_H&amp;S'!B:B,'Spec_Single_H&amp;S'!E:E),
IFERROR(XLOOKUP(D1867,#REF!,#REF!),""))</f>
        <v/>
      </c>
      <c r="K1867" s="7" t="str">
        <f ca="1">IFERROR(XLOOKUP(D1867,'Spec_Single_H&amp;S'!B:B,'Spec_Single_H&amp;S'!F:F),
IFERROR(XLOOKUP(D1867,#REF!,#REF!),""))</f>
        <v/>
      </c>
      <c r="L1867" s="7" t="str">
        <f t="shared" ca="1" si="51"/>
        <v/>
      </c>
    </row>
    <row r="1868" spans="8:12" x14ac:dyDescent="0.3">
      <c r="H1868" s="7" t="str">
        <f>IF(B1868&lt;&gt;"Silicone","",IFERROR(XLOOKUP(D1868,#REF!,#REF!),""))</f>
        <v/>
      </c>
      <c r="J1868" s="7" t="str">
        <f ca="1">IFERROR(XLOOKUP(D1868,'Spec_Single_H&amp;S'!B:B,'Spec_Single_H&amp;S'!E:E),
IFERROR(XLOOKUP(D1868,#REF!,#REF!),""))</f>
        <v/>
      </c>
      <c r="K1868" s="7" t="str">
        <f ca="1">IFERROR(XLOOKUP(D1868,'Spec_Single_H&amp;S'!B:B,'Spec_Single_H&amp;S'!F:F),
IFERROR(XLOOKUP(D1868,#REF!,#REF!),""))</f>
        <v/>
      </c>
      <c r="L1868" s="7" t="str">
        <f t="shared" ca="1" si="51"/>
        <v/>
      </c>
    </row>
    <row r="1869" spans="8:12" x14ac:dyDescent="0.3">
      <c r="H1869" s="7" t="str">
        <f>IF(B1869&lt;&gt;"Silicone","",IFERROR(XLOOKUP(D1869,#REF!,#REF!),""))</f>
        <v/>
      </c>
      <c r="J1869" s="7" t="str">
        <f ca="1">IFERROR(XLOOKUP(D1869,'Spec_Single_H&amp;S'!B:B,'Spec_Single_H&amp;S'!E:E),
IFERROR(XLOOKUP(D1869,#REF!,#REF!),""))</f>
        <v/>
      </c>
      <c r="K1869" s="7" t="str">
        <f ca="1">IFERROR(XLOOKUP(D1869,'Spec_Single_H&amp;S'!B:B,'Spec_Single_H&amp;S'!F:F),
IFERROR(XLOOKUP(D1869,#REF!,#REF!),""))</f>
        <v/>
      </c>
      <c r="L1869" s="7" t="str">
        <f t="shared" ca="1" si="51"/>
        <v/>
      </c>
    </row>
    <row r="1870" spans="8:12" x14ac:dyDescent="0.3">
      <c r="H1870" s="7" t="str">
        <f>IF(B1870&lt;&gt;"Silicone","",IFERROR(XLOOKUP(D1870,#REF!,#REF!),""))</f>
        <v/>
      </c>
      <c r="J1870" s="7" t="str">
        <f ca="1">IFERROR(XLOOKUP(D1870,'Spec_Single_H&amp;S'!B:B,'Spec_Single_H&amp;S'!E:E),
IFERROR(XLOOKUP(D1870,#REF!,#REF!),""))</f>
        <v/>
      </c>
      <c r="K1870" s="7" t="str">
        <f ca="1">IFERROR(XLOOKUP(D1870,'Spec_Single_H&amp;S'!B:B,'Spec_Single_H&amp;S'!F:F),
IFERROR(XLOOKUP(D1870,#REF!,#REF!),""))</f>
        <v/>
      </c>
      <c r="L1870" s="7" t="str">
        <f t="shared" ca="1" si="51"/>
        <v/>
      </c>
    </row>
    <row r="1871" spans="8:12" x14ac:dyDescent="0.3">
      <c r="H1871" s="7" t="str">
        <f>IF(B1871&lt;&gt;"Silicone","",IFERROR(XLOOKUP(D1871,#REF!,#REF!),""))</f>
        <v/>
      </c>
      <c r="J1871" s="7" t="str">
        <f ca="1">IFERROR(XLOOKUP(D1871,'Spec_Single_H&amp;S'!B:B,'Spec_Single_H&amp;S'!E:E),
IFERROR(XLOOKUP(D1871,#REF!,#REF!),""))</f>
        <v/>
      </c>
      <c r="K1871" s="7" t="str">
        <f ca="1">IFERROR(XLOOKUP(D1871,'Spec_Single_H&amp;S'!B:B,'Spec_Single_H&amp;S'!F:F),
IFERROR(XLOOKUP(D1871,#REF!,#REF!),""))</f>
        <v/>
      </c>
      <c r="L1871" s="7" t="str">
        <f t="shared" ca="1" si="51"/>
        <v/>
      </c>
    </row>
    <row r="1872" spans="8:12" x14ac:dyDescent="0.3">
      <c r="H1872" s="7" t="str">
        <f>IF(B1872&lt;&gt;"Silicone","",IFERROR(XLOOKUP(D1872,#REF!,#REF!),""))</f>
        <v/>
      </c>
      <c r="J1872" s="7" t="str">
        <f ca="1">IFERROR(XLOOKUP(D1872,'Spec_Single_H&amp;S'!B:B,'Spec_Single_H&amp;S'!E:E),
IFERROR(XLOOKUP(D1872,#REF!,#REF!),""))</f>
        <v/>
      </c>
      <c r="K1872" s="7" t="str">
        <f ca="1">IFERROR(XLOOKUP(D1872,'Spec_Single_H&amp;S'!B:B,'Spec_Single_H&amp;S'!F:F),
IFERROR(XLOOKUP(D1872,#REF!,#REF!),""))</f>
        <v/>
      </c>
      <c r="L1872" s="7" t="str">
        <f t="shared" ca="1" si="51"/>
        <v/>
      </c>
    </row>
    <row r="1873" spans="8:12" x14ac:dyDescent="0.3">
      <c r="H1873" s="7" t="str">
        <f>IF(B1873&lt;&gt;"Silicone","",IFERROR(XLOOKUP(D1873,#REF!,#REF!),""))</f>
        <v/>
      </c>
      <c r="J1873" s="7" t="str">
        <f ca="1">IFERROR(XLOOKUP(D1873,'Spec_Single_H&amp;S'!B:B,'Spec_Single_H&amp;S'!E:E),
IFERROR(XLOOKUP(D1873,#REF!,#REF!),""))</f>
        <v/>
      </c>
      <c r="K1873" s="7" t="str">
        <f ca="1">IFERROR(XLOOKUP(D1873,'Spec_Single_H&amp;S'!B:B,'Spec_Single_H&amp;S'!F:F),
IFERROR(XLOOKUP(D1873,#REF!,#REF!),""))</f>
        <v/>
      </c>
      <c r="L1873" s="7" t="str">
        <f t="shared" ca="1" si="51"/>
        <v/>
      </c>
    </row>
    <row r="1874" spans="8:12" x14ac:dyDescent="0.3">
      <c r="H1874" s="7" t="str">
        <f>IF(B1874&lt;&gt;"Silicone","",IFERROR(XLOOKUP(D1874,#REF!,#REF!),""))</f>
        <v/>
      </c>
      <c r="J1874" s="7" t="str">
        <f ca="1">IFERROR(XLOOKUP(D1874,'Spec_Single_H&amp;S'!B:B,'Spec_Single_H&amp;S'!E:E),
IFERROR(XLOOKUP(D1874,#REF!,#REF!),""))</f>
        <v/>
      </c>
      <c r="K1874" s="7" t="str">
        <f ca="1">IFERROR(XLOOKUP(D1874,'Spec_Single_H&amp;S'!B:B,'Spec_Single_H&amp;S'!F:F),
IFERROR(XLOOKUP(D1874,#REF!,#REF!),""))</f>
        <v/>
      </c>
      <c r="L1874" s="7" t="str">
        <f t="shared" ca="1" si="51"/>
        <v/>
      </c>
    </row>
    <row r="1875" spans="8:12" x14ac:dyDescent="0.3">
      <c r="H1875" s="7" t="str">
        <f>IF(B1875&lt;&gt;"Silicone","",IFERROR(XLOOKUP(D1875,#REF!,#REF!),""))</f>
        <v/>
      </c>
      <c r="J1875" s="7" t="str">
        <f ca="1">IFERROR(XLOOKUP(D1875,'Spec_Single_H&amp;S'!B:B,'Spec_Single_H&amp;S'!E:E),
IFERROR(XLOOKUP(D1875,#REF!,#REF!),""))</f>
        <v/>
      </c>
      <c r="K1875" s="7" t="str">
        <f ca="1">IFERROR(XLOOKUP(D1875,'Spec_Single_H&amp;S'!B:B,'Spec_Single_H&amp;S'!F:F),
IFERROR(XLOOKUP(D1875,#REF!,#REF!),""))</f>
        <v/>
      </c>
      <c r="L1875" s="7" t="str">
        <f t="shared" ca="1" si="51"/>
        <v/>
      </c>
    </row>
    <row r="1876" spans="8:12" x14ac:dyDescent="0.3">
      <c r="H1876" s="7" t="str">
        <f>IF(B1876&lt;&gt;"Silicone","",IFERROR(XLOOKUP(D1876,#REF!,#REF!),""))</f>
        <v/>
      </c>
      <c r="J1876" s="7" t="str">
        <f ca="1">IFERROR(XLOOKUP(D1876,'Spec_Single_H&amp;S'!B:B,'Spec_Single_H&amp;S'!E:E),
IFERROR(XLOOKUP(D1876,#REF!,#REF!),""))</f>
        <v/>
      </c>
      <c r="K1876" s="7" t="str">
        <f ca="1">IFERROR(XLOOKUP(D1876,'Spec_Single_H&amp;S'!B:B,'Spec_Single_H&amp;S'!F:F),
IFERROR(XLOOKUP(D1876,#REF!,#REF!),""))</f>
        <v/>
      </c>
      <c r="L1876" s="7" t="str">
        <f t="shared" ca="1" si="51"/>
        <v/>
      </c>
    </row>
    <row r="1877" spans="8:12" x14ac:dyDescent="0.3">
      <c r="H1877" s="7" t="str">
        <f>IF(B1877&lt;&gt;"Silicone","",IFERROR(XLOOKUP(D1877,#REF!,#REF!),""))</f>
        <v/>
      </c>
      <c r="J1877" s="7" t="str">
        <f ca="1">IFERROR(XLOOKUP(D1877,'Spec_Single_H&amp;S'!B:B,'Spec_Single_H&amp;S'!E:E),
IFERROR(XLOOKUP(D1877,#REF!,#REF!),""))</f>
        <v/>
      </c>
      <c r="K1877" s="7" t="str">
        <f ca="1">IFERROR(XLOOKUP(D1877,'Spec_Single_H&amp;S'!B:B,'Spec_Single_H&amp;S'!F:F),
IFERROR(XLOOKUP(D1877,#REF!,#REF!),""))</f>
        <v/>
      </c>
      <c r="L1877" s="7" t="str">
        <f t="shared" ca="1" si="51"/>
        <v/>
      </c>
    </row>
    <row r="1878" spans="8:12" x14ac:dyDescent="0.3">
      <c r="H1878" s="7" t="str">
        <f>IF(B1878&lt;&gt;"Silicone","",IFERROR(XLOOKUP(D1878,#REF!,#REF!),""))</f>
        <v/>
      </c>
      <c r="J1878" s="7" t="str">
        <f ca="1">IFERROR(XLOOKUP(D1878,'Spec_Single_H&amp;S'!B:B,'Spec_Single_H&amp;S'!E:E),
IFERROR(XLOOKUP(D1878,#REF!,#REF!),""))</f>
        <v/>
      </c>
      <c r="K1878" s="7" t="str">
        <f ca="1">IFERROR(XLOOKUP(D1878,'Spec_Single_H&amp;S'!B:B,'Spec_Single_H&amp;S'!F:F),
IFERROR(XLOOKUP(D1878,#REF!,#REF!),""))</f>
        <v/>
      </c>
      <c r="L1878" s="7" t="str">
        <f t="shared" ca="1" si="51"/>
        <v/>
      </c>
    </row>
    <row r="1879" spans="8:12" x14ac:dyDescent="0.3">
      <c r="H1879" s="7" t="str">
        <f>IF(B1879&lt;&gt;"Silicone","",IFERROR(XLOOKUP(D1879,#REF!,#REF!),""))</f>
        <v/>
      </c>
      <c r="J1879" s="7" t="str">
        <f ca="1">IFERROR(XLOOKUP(D1879,'Spec_Single_H&amp;S'!B:B,'Spec_Single_H&amp;S'!E:E),
IFERROR(XLOOKUP(D1879,#REF!,#REF!),""))</f>
        <v/>
      </c>
      <c r="K1879" s="7" t="str">
        <f ca="1">IFERROR(XLOOKUP(D1879,'Spec_Single_H&amp;S'!B:B,'Spec_Single_H&amp;S'!F:F),
IFERROR(XLOOKUP(D1879,#REF!,#REF!),""))</f>
        <v/>
      </c>
      <c r="L1879" s="7" t="str">
        <f t="shared" ca="1" si="51"/>
        <v/>
      </c>
    </row>
    <row r="1880" spans="8:12" x14ac:dyDescent="0.3">
      <c r="H1880" s="7" t="str">
        <f>IF(B1880&lt;&gt;"Silicone","",IFERROR(XLOOKUP(D1880,#REF!,#REF!),""))</f>
        <v/>
      </c>
      <c r="J1880" s="7" t="str">
        <f ca="1">IFERROR(XLOOKUP(D1880,'Spec_Single_H&amp;S'!B:B,'Spec_Single_H&amp;S'!E:E),
IFERROR(XLOOKUP(D1880,#REF!,#REF!),""))</f>
        <v/>
      </c>
      <c r="K1880" s="7" t="str">
        <f ca="1">IFERROR(XLOOKUP(D1880,'Spec_Single_H&amp;S'!B:B,'Spec_Single_H&amp;S'!F:F),
IFERROR(XLOOKUP(D1880,#REF!,#REF!),""))</f>
        <v/>
      </c>
      <c r="L1880" s="7" t="str">
        <f t="shared" ca="1" si="51"/>
        <v/>
      </c>
    </row>
    <row r="1881" spans="8:12" x14ac:dyDescent="0.3">
      <c r="H1881" s="7" t="str">
        <f>IF(B1881&lt;&gt;"Silicone","",IFERROR(XLOOKUP(D1881,#REF!,#REF!),""))</f>
        <v/>
      </c>
      <c r="J1881" s="7" t="str">
        <f ca="1">IFERROR(XLOOKUP(D1881,'Spec_Single_H&amp;S'!B:B,'Spec_Single_H&amp;S'!E:E),
IFERROR(XLOOKUP(D1881,#REF!,#REF!),""))</f>
        <v/>
      </c>
      <c r="K1881" s="7" t="str">
        <f ca="1">IFERROR(XLOOKUP(D1881,'Spec_Single_H&amp;S'!B:B,'Spec_Single_H&amp;S'!F:F),
IFERROR(XLOOKUP(D1881,#REF!,#REF!),""))</f>
        <v/>
      </c>
      <c r="L1881" s="7" t="str">
        <f t="shared" ca="1" si="51"/>
        <v/>
      </c>
    </row>
    <row r="1882" spans="8:12" x14ac:dyDescent="0.3">
      <c r="H1882" s="7" t="str">
        <f>IF(B1882&lt;&gt;"Silicone","",IFERROR(XLOOKUP(D1882,#REF!,#REF!),""))</f>
        <v/>
      </c>
      <c r="J1882" s="7" t="str">
        <f ca="1">IFERROR(XLOOKUP(D1882,'Spec_Single_H&amp;S'!B:B,'Spec_Single_H&amp;S'!E:E),
IFERROR(XLOOKUP(D1882,#REF!,#REF!),""))</f>
        <v/>
      </c>
      <c r="K1882" s="7" t="str">
        <f ca="1">IFERROR(XLOOKUP(D1882,'Spec_Single_H&amp;S'!B:B,'Spec_Single_H&amp;S'!F:F),
IFERROR(XLOOKUP(D1882,#REF!,#REF!),""))</f>
        <v/>
      </c>
      <c r="L1882" s="7" t="str">
        <f t="shared" ca="1" si="51"/>
        <v/>
      </c>
    </row>
    <row r="1883" spans="8:12" x14ac:dyDescent="0.3">
      <c r="H1883" s="7" t="str">
        <f>IF(B1883&lt;&gt;"Silicone","",IFERROR(XLOOKUP(D1883,#REF!,#REF!),""))</f>
        <v/>
      </c>
      <c r="J1883" s="7" t="str">
        <f ca="1">IFERROR(XLOOKUP(D1883,'Spec_Single_H&amp;S'!B:B,'Spec_Single_H&amp;S'!E:E),
IFERROR(XLOOKUP(D1883,#REF!,#REF!),""))</f>
        <v/>
      </c>
      <c r="K1883" s="7" t="str">
        <f ca="1">IFERROR(XLOOKUP(D1883,'Spec_Single_H&amp;S'!B:B,'Spec_Single_H&amp;S'!F:F),
IFERROR(XLOOKUP(D1883,#REF!,#REF!),""))</f>
        <v/>
      </c>
      <c r="L1883" s="7" t="str">
        <f t="shared" ca="1" si="51"/>
        <v/>
      </c>
    </row>
    <row r="1884" spans="8:12" x14ac:dyDescent="0.3">
      <c r="H1884" s="7" t="str">
        <f>IF(B1884&lt;&gt;"Silicone","",IFERROR(XLOOKUP(D1884,#REF!,#REF!),""))</f>
        <v/>
      </c>
      <c r="J1884" s="7" t="str">
        <f ca="1">IFERROR(XLOOKUP(D1884,'Spec_Single_H&amp;S'!B:B,'Spec_Single_H&amp;S'!E:E),
IFERROR(XLOOKUP(D1884,#REF!,#REF!),""))</f>
        <v/>
      </c>
      <c r="K1884" s="7" t="str">
        <f ca="1">IFERROR(XLOOKUP(D1884,'Spec_Single_H&amp;S'!B:B,'Spec_Single_H&amp;S'!F:F),
IFERROR(XLOOKUP(D1884,#REF!,#REF!),""))</f>
        <v/>
      </c>
      <c r="L1884" s="7" t="str">
        <f t="shared" ca="1" si="51"/>
        <v/>
      </c>
    </row>
    <row r="1885" spans="8:12" x14ac:dyDescent="0.3">
      <c r="H1885" s="7" t="str">
        <f>IF(B1885&lt;&gt;"Silicone","",IFERROR(XLOOKUP(D1885,#REF!,#REF!),""))</f>
        <v/>
      </c>
      <c r="J1885" s="7" t="str">
        <f ca="1">IFERROR(XLOOKUP(D1885,'Spec_Single_H&amp;S'!B:B,'Spec_Single_H&amp;S'!E:E),
IFERROR(XLOOKUP(D1885,#REF!,#REF!),""))</f>
        <v/>
      </c>
      <c r="K1885" s="7" t="str">
        <f ca="1">IFERROR(XLOOKUP(D1885,'Spec_Single_H&amp;S'!B:B,'Spec_Single_H&amp;S'!F:F),
IFERROR(XLOOKUP(D1885,#REF!,#REF!),""))</f>
        <v/>
      </c>
      <c r="L1885" s="7" t="str">
        <f t="shared" ca="1" si="51"/>
        <v/>
      </c>
    </row>
    <row r="1886" spans="8:12" x14ac:dyDescent="0.3">
      <c r="H1886" s="7" t="str">
        <f>IF(B1886&lt;&gt;"Silicone","",IFERROR(XLOOKUP(D1886,#REF!,#REF!),""))</f>
        <v/>
      </c>
      <c r="J1886" s="7" t="str">
        <f ca="1">IFERROR(XLOOKUP(D1886,'Spec_Single_H&amp;S'!B:B,'Spec_Single_H&amp;S'!E:E),
IFERROR(XLOOKUP(D1886,#REF!,#REF!),""))</f>
        <v/>
      </c>
      <c r="K1886" s="7" t="str">
        <f ca="1">IFERROR(XLOOKUP(D1886,'Spec_Single_H&amp;S'!B:B,'Spec_Single_H&amp;S'!F:F),
IFERROR(XLOOKUP(D1886,#REF!,#REF!),""))</f>
        <v/>
      </c>
      <c r="L1886" s="7" t="str">
        <f t="shared" ca="1" si="51"/>
        <v/>
      </c>
    </row>
    <row r="1887" spans="8:12" x14ac:dyDescent="0.3">
      <c r="H1887" s="7" t="str">
        <f>IF(B1887&lt;&gt;"Silicone","",IFERROR(XLOOKUP(D1887,#REF!,#REF!),""))</f>
        <v/>
      </c>
      <c r="J1887" s="7" t="str">
        <f ca="1">IFERROR(XLOOKUP(D1887,'Spec_Single_H&amp;S'!B:B,'Spec_Single_H&amp;S'!E:E),
IFERROR(XLOOKUP(D1887,#REF!,#REF!),""))</f>
        <v/>
      </c>
      <c r="K1887" s="7" t="str">
        <f ca="1">IFERROR(XLOOKUP(D1887,'Spec_Single_H&amp;S'!B:B,'Spec_Single_H&amp;S'!F:F),
IFERROR(XLOOKUP(D1887,#REF!,#REF!),""))</f>
        <v/>
      </c>
      <c r="L1887" s="7" t="str">
        <f t="shared" ca="1" si="51"/>
        <v/>
      </c>
    </row>
    <row r="1888" spans="8:12" x14ac:dyDescent="0.3">
      <c r="H1888" s="7" t="str">
        <f>IF(B1888&lt;&gt;"Silicone","",IFERROR(XLOOKUP(D1888,#REF!,#REF!),""))</f>
        <v/>
      </c>
      <c r="J1888" s="7" t="str">
        <f ca="1">IFERROR(XLOOKUP(D1888,'Spec_Single_H&amp;S'!B:B,'Spec_Single_H&amp;S'!E:E),
IFERROR(XLOOKUP(D1888,#REF!,#REF!),""))</f>
        <v/>
      </c>
      <c r="K1888" s="7" t="str">
        <f ca="1">IFERROR(XLOOKUP(D1888,'Spec_Single_H&amp;S'!B:B,'Spec_Single_H&amp;S'!F:F),
IFERROR(XLOOKUP(D1888,#REF!,#REF!),""))</f>
        <v/>
      </c>
      <c r="L1888" s="7" t="str">
        <f t="shared" ca="1" si="51"/>
        <v/>
      </c>
    </row>
    <row r="1889" spans="8:12" x14ac:dyDescent="0.3">
      <c r="H1889" s="7" t="str">
        <f>IF(B1889&lt;&gt;"Silicone","",IFERROR(XLOOKUP(D1889,#REF!,#REF!),""))</f>
        <v/>
      </c>
      <c r="J1889" s="7" t="str">
        <f ca="1">IFERROR(XLOOKUP(D1889,'Spec_Single_H&amp;S'!B:B,'Spec_Single_H&amp;S'!E:E),
IFERROR(XLOOKUP(D1889,#REF!,#REF!),""))</f>
        <v/>
      </c>
      <c r="K1889" s="7" t="str">
        <f ca="1">IFERROR(XLOOKUP(D1889,'Spec_Single_H&amp;S'!B:B,'Spec_Single_H&amp;S'!F:F),
IFERROR(XLOOKUP(D1889,#REF!,#REF!),""))</f>
        <v/>
      </c>
      <c r="L1889" s="7" t="str">
        <f t="shared" ca="1" si="51"/>
        <v/>
      </c>
    </row>
    <row r="1890" spans="8:12" x14ac:dyDescent="0.3">
      <c r="H1890" s="7" t="str">
        <f>IF(B1890&lt;&gt;"Silicone","",IFERROR(XLOOKUP(D1890,#REF!,#REF!),""))</f>
        <v/>
      </c>
      <c r="J1890" s="7" t="str">
        <f ca="1">IFERROR(XLOOKUP(D1890,'Spec_Single_H&amp;S'!B:B,'Spec_Single_H&amp;S'!E:E),
IFERROR(XLOOKUP(D1890,#REF!,#REF!),""))</f>
        <v/>
      </c>
      <c r="K1890" s="7" t="str">
        <f ca="1">IFERROR(XLOOKUP(D1890,'Spec_Single_H&amp;S'!B:B,'Spec_Single_H&amp;S'!F:F),
IFERROR(XLOOKUP(D1890,#REF!,#REF!),""))</f>
        <v/>
      </c>
      <c r="L1890" s="7" t="str">
        <f t="shared" ca="1" si="51"/>
        <v/>
      </c>
    </row>
    <row r="1891" spans="8:12" x14ac:dyDescent="0.3">
      <c r="H1891" s="7" t="str">
        <f>IF(B1891&lt;&gt;"Silicone","",IFERROR(XLOOKUP(D1891,#REF!,#REF!),""))</f>
        <v/>
      </c>
      <c r="J1891" s="7" t="str">
        <f ca="1">IFERROR(XLOOKUP(D1891,'Spec_Single_H&amp;S'!B:B,'Spec_Single_H&amp;S'!E:E),
IFERROR(XLOOKUP(D1891,#REF!,#REF!),""))</f>
        <v/>
      </c>
      <c r="K1891" s="7" t="str">
        <f ca="1">IFERROR(XLOOKUP(D1891,'Spec_Single_H&amp;S'!B:B,'Spec_Single_H&amp;S'!F:F),
IFERROR(XLOOKUP(D1891,#REF!,#REF!),""))</f>
        <v/>
      </c>
      <c r="L1891" s="7" t="str">
        <f t="shared" ca="1" si="51"/>
        <v/>
      </c>
    </row>
    <row r="1892" spans="8:12" x14ac:dyDescent="0.3">
      <c r="H1892" s="7" t="str">
        <f>IF(B1892&lt;&gt;"Silicone","",IFERROR(XLOOKUP(D1892,#REF!,#REF!),""))</f>
        <v/>
      </c>
      <c r="J1892" s="7" t="str">
        <f ca="1">IFERROR(XLOOKUP(D1892,'Spec_Single_H&amp;S'!B:B,'Spec_Single_H&amp;S'!E:E),
IFERROR(XLOOKUP(D1892,#REF!,#REF!),""))</f>
        <v/>
      </c>
      <c r="K1892" s="7" t="str">
        <f ca="1">IFERROR(XLOOKUP(D1892,'Spec_Single_H&amp;S'!B:B,'Spec_Single_H&amp;S'!F:F),
IFERROR(XLOOKUP(D1892,#REF!,#REF!),""))</f>
        <v/>
      </c>
      <c r="L1892" s="7" t="str">
        <f t="shared" ca="1" si="51"/>
        <v/>
      </c>
    </row>
    <row r="1893" spans="8:12" x14ac:dyDescent="0.3">
      <c r="H1893" s="7" t="str">
        <f>IF(B1893&lt;&gt;"Silicone","",IFERROR(XLOOKUP(D1893,#REF!,#REF!),""))</f>
        <v/>
      </c>
      <c r="J1893" s="7" t="str">
        <f ca="1">IFERROR(XLOOKUP(D1893,'Spec_Single_H&amp;S'!B:B,'Spec_Single_H&amp;S'!E:E),
IFERROR(XLOOKUP(D1893,#REF!,#REF!),""))</f>
        <v/>
      </c>
      <c r="K1893" s="7" t="str">
        <f ca="1">IFERROR(XLOOKUP(D1893,'Spec_Single_H&amp;S'!B:B,'Spec_Single_H&amp;S'!F:F),
IFERROR(XLOOKUP(D1893,#REF!,#REF!),""))</f>
        <v/>
      </c>
      <c r="L1893" s="7" t="str">
        <f t="shared" ca="1" si="51"/>
        <v/>
      </c>
    </row>
    <row r="1894" spans="8:12" x14ac:dyDescent="0.3">
      <c r="H1894" s="7" t="str">
        <f>IF(B1894&lt;&gt;"Silicone","",IFERROR(XLOOKUP(D1894,#REF!,#REF!),""))</f>
        <v/>
      </c>
      <c r="J1894" s="7" t="str">
        <f ca="1">IFERROR(XLOOKUP(D1894,'Spec_Single_H&amp;S'!B:B,'Spec_Single_H&amp;S'!E:E),
IFERROR(XLOOKUP(D1894,#REF!,#REF!),""))</f>
        <v/>
      </c>
      <c r="K1894" s="7" t="str">
        <f ca="1">IFERROR(XLOOKUP(D1894,'Spec_Single_H&amp;S'!B:B,'Spec_Single_H&amp;S'!F:F),
IFERROR(XLOOKUP(D1894,#REF!,#REF!),""))</f>
        <v/>
      </c>
      <c r="L1894" s="7" t="str">
        <f t="shared" ca="1" si="51"/>
        <v/>
      </c>
    </row>
    <row r="1895" spans="8:12" x14ac:dyDescent="0.3">
      <c r="H1895" s="7" t="str">
        <f>IF(B1895&lt;&gt;"Silicone","",IFERROR(XLOOKUP(D1895,#REF!,#REF!),""))</f>
        <v/>
      </c>
      <c r="J1895" s="7" t="str">
        <f ca="1">IFERROR(XLOOKUP(D1895,'Spec_Single_H&amp;S'!B:B,'Spec_Single_H&amp;S'!E:E),
IFERROR(XLOOKUP(D1895,#REF!,#REF!),""))</f>
        <v/>
      </c>
      <c r="K1895" s="7" t="str">
        <f ca="1">IFERROR(XLOOKUP(D1895,'Spec_Single_H&amp;S'!B:B,'Spec_Single_H&amp;S'!F:F),
IFERROR(XLOOKUP(D1895,#REF!,#REF!),""))</f>
        <v/>
      </c>
      <c r="L1895" s="7" t="str">
        <f t="shared" ca="1" si="51"/>
        <v/>
      </c>
    </row>
    <row r="1896" spans="8:12" x14ac:dyDescent="0.3">
      <c r="H1896" s="7" t="str">
        <f>IF(B1896&lt;&gt;"Silicone","",IFERROR(XLOOKUP(D1896,#REF!,#REF!),""))</f>
        <v/>
      </c>
      <c r="J1896" s="7" t="str">
        <f ca="1">IFERROR(XLOOKUP(D1896,'Spec_Single_H&amp;S'!B:B,'Spec_Single_H&amp;S'!E:E),
IFERROR(XLOOKUP(D1896,#REF!,#REF!),""))</f>
        <v/>
      </c>
      <c r="K1896" s="7" t="str">
        <f ca="1">IFERROR(XLOOKUP(D1896,'Spec_Single_H&amp;S'!B:B,'Spec_Single_H&amp;S'!F:F),
IFERROR(XLOOKUP(D1896,#REF!,#REF!),""))</f>
        <v/>
      </c>
      <c r="L1896" s="7" t="str">
        <f t="shared" ca="1" si="51"/>
        <v/>
      </c>
    </row>
    <row r="1897" spans="8:12" x14ac:dyDescent="0.3">
      <c r="H1897" s="7" t="str">
        <f>IF(B1897&lt;&gt;"Silicone","",IFERROR(XLOOKUP(D1897,#REF!,#REF!),""))</f>
        <v/>
      </c>
      <c r="J1897" s="7" t="str">
        <f ca="1">IFERROR(XLOOKUP(D1897,'Spec_Single_H&amp;S'!B:B,'Spec_Single_H&amp;S'!E:E),
IFERROR(XLOOKUP(D1897,#REF!,#REF!),""))</f>
        <v/>
      </c>
      <c r="K1897" s="7" t="str">
        <f ca="1">IFERROR(XLOOKUP(D1897,'Spec_Single_H&amp;S'!B:B,'Spec_Single_H&amp;S'!F:F),
IFERROR(XLOOKUP(D1897,#REF!,#REF!),""))</f>
        <v/>
      </c>
      <c r="L1897" s="7" t="str">
        <f t="shared" ca="1" si="51"/>
        <v/>
      </c>
    </row>
    <row r="1898" spans="8:12" x14ac:dyDescent="0.3">
      <c r="H1898" s="7" t="str">
        <f>IF(B1898&lt;&gt;"Silicone","",IFERROR(XLOOKUP(D1898,#REF!,#REF!),""))</f>
        <v/>
      </c>
      <c r="J1898" s="7" t="str">
        <f ca="1">IFERROR(XLOOKUP(D1898,'Spec_Single_H&amp;S'!B:B,'Spec_Single_H&amp;S'!E:E),
IFERROR(XLOOKUP(D1898,#REF!,#REF!),""))</f>
        <v/>
      </c>
      <c r="K1898" s="7" t="str">
        <f ca="1">IFERROR(XLOOKUP(D1898,'Spec_Single_H&amp;S'!B:B,'Spec_Single_H&amp;S'!F:F),
IFERROR(XLOOKUP(D1898,#REF!,#REF!),""))</f>
        <v/>
      </c>
      <c r="L1898" s="7" t="str">
        <f t="shared" ca="1" si="51"/>
        <v/>
      </c>
    </row>
    <row r="1899" spans="8:12" x14ac:dyDescent="0.3">
      <c r="H1899" s="7" t="str">
        <f>IF(B1899&lt;&gt;"Silicone","",IFERROR(XLOOKUP(D1899,#REF!,#REF!),""))</f>
        <v/>
      </c>
      <c r="J1899" s="7" t="str">
        <f ca="1">IFERROR(XLOOKUP(D1899,'Spec_Single_H&amp;S'!B:B,'Spec_Single_H&amp;S'!E:E),
IFERROR(XLOOKUP(D1899,#REF!,#REF!),""))</f>
        <v/>
      </c>
      <c r="K1899" s="7" t="str">
        <f ca="1">IFERROR(XLOOKUP(D1899,'Spec_Single_H&amp;S'!B:B,'Spec_Single_H&amp;S'!F:F),
IFERROR(XLOOKUP(D1899,#REF!,#REF!),""))</f>
        <v/>
      </c>
      <c r="L1899" s="7" t="str">
        <f t="shared" ca="1" si="51"/>
        <v/>
      </c>
    </row>
    <row r="1900" spans="8:12" x14ac:dyDescent="0.3">
      <c r="H1900" s="7" t="str">
        <f>IF(B1900&lt;&gt;"Silicone","",IFERROR(XLOOKUP(D1900,#REF!,#REF!),""))</f>
        <v/>
      </c>
      <c r="J1900" s="7" t="str">
        <f ca="1">IFERROR(XLOOKUP(D1900,'Spec_Single_H&amp;S'!B:B,'Spec_Single_H&amp;S'!E:E),
IFERROR(XLOOKUP(D1900,#REF!,#REF!),""))</f>
        <v/>
      </c>
      <c r="K1900" s="7" t="str">
        <f ca="1">IFERROR(XLOOKUP(D1900,'Spec_Single_H&amp;S'!B:B,'Spec_Single_H&amp;S'!F:F),
IFERROR(XLOOKUP(D1900,#REF!,#REF!),""))</f>
        <v/>
      </c>
      <c r="L1900" s="7" t="str">
        <f t="shared" ca="1" si="51"/>
        <v/>
      </c>
    </row>
    <row r="1901" spans="8:12" x14ac:dyDescent="0.3">
      <c r="H1901" s="7" t="str">
        <f>IF(B1901&lt;&gt;"Silicone","",IFERROR(XLOOKUP(D1901,#REF!,#REF!),""))</f>
        <v/>
      </c>
      <c r="J1901" s="7" t="str">
        <f ca="1">IFERROR(XLOOKUP(D1901,'Spec_Single_H&amp;S'!B:B,'Spec_Single_H&amp;S'!E:E),
IFERROR(XLOOKUP(D1901,#REF!,#REF!),""))</f>
        <v/>
      </c>
      <c r="K1901" s="7" t="str">
        <f ca="1">IFERROR(XLOOKUP(D1901,'Spec_Single_H&amp;S'!B:B,'Spec_Single_H&amp;S'!F:F),
IFERROR(XLOOKUP(D1901,#REF!,#REF!),""))</f>
        <v/>
      </c>
      <c r="L1901" s="7" t="str">
        <f t="shared" ca="1" si="51"/>
        <v/>
      </c>
    </row>
    <row r="1902" spans="8:12" x14ac:dyDescent="0.3">
      <c r="H1902" s="7" t="str">
        <f>IF(B1902&lt;&gt;"Silicone","",IFERROR(XLOOKUP(D1902,#REF!,#REF!),""))</f>
        <v/>
      </c>
      <c r="J1902" s="7" t="str">
        <f ca="1">IFERROR(XLOOKUP(D1902,'Spec_Single_H&amp;S'!B:B,'Spec_Single_H&amp;S'!E:E),
IFERROR(XLOOKUP(D1902,#REF!,#REF!),""))</f>
        <v/>
      </c>
      <c r="K1902" s="7" t="str">
        <f ca="1">IFERROR(XLOOKUP(D1902,'Spec_Single_H&amp;S'!B:B,'Spec_Single_H&amp;S'!F:F),
IFERROR(XLOOKUP(D1902,#REF!,#REF!),""))</f>
        <v/>
      </c>
      <c r="L1902" s="7" t="str">
        <f t="shared" ca="1" si="51"/>
        <v/>
      </c>
    </row>
    <row r="1903" spans="8:12" x14ac:dyDescent="0.3">
      <c r="H1903" s="7" t="str">
        <f>IF(B1903&lt;&gt;"Silicone","",IFERROR(XLOOKUP(D1903,#REF!,#REF!),""))</f>
        <v/>
      </c>
      <c r="J1903" s="7" t="str">
        <f ca="1">IFERROR(XLOOKUP(D1903,'Spec_Single_H&amp;S'!B:B,'Spec_Single_H&amp;S'!E:E),
IFERROR(XLOOKUP(D1903,#REF!,#REF!),""))</f>
        <v/>
      </c>
      <c r="K1903" s="7" t="str">
        <f ca="1">IFERROR(XLOOKUP(D1903,'Spec_Single_H&amp;S'!B:B,'Spec_Single_H&amp;S'!F:F),
IFERROR(XLOOKUP(D1903,#REF!,#REF!),""))</f>
        <v/>
      </c>
      <c r="L1903" s="7" t="str">
        <f t="shared" ca="1" si="51"/>
        <v/>
      </c>
    </row>
    <row r="1904" spans="8:12" x14ac:dyDescent="0.3">
      <c r="H1904" s="7" t="str">
        <f>IF(B1904&lt;&gt;"Silicone","",IFERROR(XLOOKUP(D1904,#REF!,#REF!),""))</f>
        <v/>
      </c>
      <c r="J1904" s="7" t="str">
        <f ca="1">IFERROR(XLOOKUP(D1904,'Spec_Single_H&amp;S'!B:B,'Spec_Single_H&amp;S'!E:E),
IFERROR(XLOOKUP(D1904,#REF!,#REF!),""))</f>
        <v/>
      </c>
      <c r="K1904" s="7" t="str">
        <f ca="1">IFERROR(XLOOKUP(D1904,'Spec_Single_H&amp;S'!B:B,'Spec_Single_H&amp;S'!F:F),
IFERROR(XLOOKUP(D1904,#REF!,#REF!),""))</f>
        <v/>
      </c>
      <c r="L1904" s="7" t="str">
        <f t="shared" ca="1" si="51"/>
        <v/>
      </c>
    </row>
    <row r="1905" spans="8:12" x14ac:dyDescent="0.3">
      <c r="H1905" s="7" t="str">
        <f>IF(B1905&lt;&gt;"Silicone","",IFERROR(XLOOKUP(D1905,#REF!,#REF!),""))</f>
        <v/>
      </c>
      <c r="J1905" s="7" t="str">
        <f ca="1">IFERROR(XLOOKUP(D1905,'Spec_Single_H&amp;S'!B:B,'Spec_Single_H&amp;S'!E:E),
IFERROR(XLOOKUP(D1905,#REF!,#REF!),""))</f>
        <v/>
      </c>
      <c r="K1905" s="7" t="str">
        <f ca="1">IFERROR(XLOOKUP(D1905,'Spec_Single_H&amp;S'!B:B,'Spec_Single_H&amp;S'!F:F),
IFERROR(XLOOKUP(D1905,#REF!,#REF!),""))</f>
        <v/>
      </c>
      <c r="L1905" s="7" t="str">
        <f t="shared" ca="1" si="51"/>
        <v/>
      </c>
    </row>
    <row r="1906" spans="8:12" x14ac:dyDescent="0.3">
      <c r="H1906" s="7" t="str">
        <f>IF(B1906&lt;&gt;"Silicone","",IFERROR(XLOOKUP(D1906,#REF!,#REF!),""))</f>
        <v/>
      </c>
      <c r="J1906" s="7" t="str">
        <f ca="1">IFERROR(XLOOKUP(D1906,'Spec_Single_H&amp;S'!B:B,'Spec_Single_H&amp;S'!E:E),
IFERROR(XLOOKUP(D1906,#REF!,#REF!),""))</f>
        <v/>
      </c>
      <c r="K1906" s="7" t="str">
        <f ca="1">IFERROR(XLOOKUP(D1906,'Spec_Single_H&amp;S'!B:B,'Spec_Single_H&amp;S'!F:F),
IFERROR(XLOOKUP(D1906,#REF!,#REF!),""))</f>
        <v/>
      </c>
      <c r="L1906" s="7" t="str">
        <f t="shared" ca="1" si="51"/>
        <v/>
      </c>
    </row>
    <row r="1907" spans="8:12" x14ac:dyDescent="0.3">
      <c r="H1907" s="7" t="str">
        <f>IF(B1907&lt;&gt;"Silicone","",IFERROR(XLOOKUP(D1907,#REF!,#REF!),""))</f>
        <v/>
      </c>
      <c r="J1907" s="7" t="str">
        <f ca="1">IFERROR(XLOOKUP(D1907,'Spec_Single_H&amp;S'!B:B,'Spec_Single_H&amp;S'!E:E),
IFERROR(XLOOKUP(D1907,#REF!,#REF!),""))</f>
        <v/>
      </c>
      <c r="K1907" s="7" t="str">
        <f ca="1">IFERROR(XLOOKUP(D1907,'Spec_Single_H&amp;S'!B:B,'Spec_Single_H&amp;S'!F:F),
IFERROR(XLOOKUP(D1907,#REF!,#REF!),""))</f>
        <v/>
      </c>
      <c r="L1907" s="7" t="str">
        <f t="shared" ca="1" si="51"/>
        <v/>
      </c>
    </row>
    <row r="1908" spans="8:12" x14ac:dyDescent="0.3">
      <c r="H1908" s="7" t="str">
        <f>IF(B1908&lt;&gt;"Silicone","",IFERROR(XLOOKUP(D1908,#REF!,#REF!),""))</f>
        <v/>
      </c>
      <c r="J1908" s="7" t="str">
        <f ca="1">IFERROR(XLOOKUP(D1908,'Spec_Single_H&amp;S'!B:B,'Spec_Single_H&amp;S'!E:E),
IFERROR(XLOOKUP(D1908,#REF!,#REF!),""))</f>
        <v/>
      </c>
      <c r="K1908" s="7" t="str">
        <f ca="1">IFERROR(XLOOKUP(D1908,'Spec_Single_H&amp;S'!B:B,'Spec_Single_H&amp;S'!F:F),
IFERROR(XLOOKUP(D1908,#REF!,#REF!),""))</f>
        <v/>
      </c>
      <c r="L1908" s="7" t="str">
        <f t="shared" ca="1" si="51"/>
        <v/>
      </c>
    </row>
    <row r="1909" spans="8:12" x14ac:dyDescent="0.3">
      <c r="H1909" s="7" t="str">
        <f>IF(B1909&lt;&gt;"Silicone","",IFERROR(XLOOKUP(D1909,#REF!,#REF!),""))</f>
        <v/>
      </c>
      <c r="J1909" s="7" t="str">
        <f ca="1">IFERROR(XLOOKUP(D1909,'Spec_Single_H&amp;S'!B:B,'Spec_Single_H&amp;S'!E:E),
IFERROR(XLOOKUP(D1909,#REF!,#REF!),""))</f>
        <v/>
      </c>
      <c r="K1909" s="7" t="str">
        <f ca="1">IFERROR(XLOOKUP(D1909,'Spec_Single_H&amp;S'!B:B,'Spec_Single_H&amp;S'!F:F),
IFERROR(XLOOKUP(D1909,#REF!,#REF!),""))</f>
        <v/>
      </c>
      <c r="L1909" s="7" t="str">
        <f t="shared" ca="1" si="51"/>
        <v/>
      </c>
    </row>
    <row r="1910" spans="8:12" x14ac:dyDescent="0.3">
      <c r="H1910" s="7" t="str">
        <f>IF(B1910&lt;&gt;"Silicone","",IFERROR(XLOOKUP(D1910,#REF!,#REF!),""))</f>
        <v/>
      </c>
      <c r="J1910" s="7" t="str">
        <f ca="1">IFERROR(XLOOKUP(D1910,'Spec_Single_H&amp;S'!B:B,'Spec_Single_H&amp;S'!E:E),
IFERROR(XLOOKUP(D1910,#REF!,#REF!),""))</f>
        <v/>
      </c>
      <c r="K1910" s="7" t="str">
        <f ca="1">IFERROR(XLOOKUP(D1910,'Spec_Single_H&amp;S'!B:B,'Spec_Single_H&amp;S'!F:F),
IFERROR(XLOOKUP(D1910,#REF!,#REF!),""))</f>
        <v/>
      </c>
      <c r="L1910" s="7" t="str">
        <f t="shared" ca="1" si="51"/>
        <v/>
      </c>
    </row>
    <row r="1911" spans="8:12" x14ac:dyDescent="0.3">
      <c r="H1911" s="7" t="str">
        <f>IF(B1911&lt;&gt;"Silicone","",IFERROR(XLOOKUP(D1911,#REF!,#REF!),""))</f>
        <v/>
      </c>
      <c r="J1911" s="7" t="str">
        <f ca="1">IFERROR(XLOOKUP(D1911,'Spec_Single_H&amp;S'!B:B,'Spec_Single_H&amp;S'!E:E),
IFERROR(XLOOKUP(D1911,#REF!,#REF!),""))</f>
        <v/>
      </c>
      <c r="K1911" s="7" t="str">
        <f ca="1">IFERROR(XLOOKUP(D1911,'Spec_Single_H&amp;S'!B:B,'Spec_Single_H&amp;S'!F:F),
IFERROR(XLOOKUP(D1911,#REF!,#REF!),""))</f>
        <v/>
      </c>
      <c r="L1911" s="7" t="str">
        <f t="shared" ca="1" si="51"/>
        <v/>
      </c>
    </row>
    <row r="1912" spans="8:12" x14ac:dyDescent="0.3">
      <c r="H1912" s="7" t="str">
        <f>IF(B1912&lt;&gt;"Silicone","",IFERROR(XLOOKUP(D1912,#REF!,#REF!),""))</f>
        <v/>
      </c>
      <c r="J1912" s="7" t="str">
        <f ca="1">IFERROR(XLOOKUP(D1912,'Spec_Single_H&amp;S'!B:B,'Spec_Single_H&amp;S'!E:E),
IFERROR(XLOOKUP(D1912,#REF!,#REF!),""))</f>
        <v/>
      </c>
      <c r="K1912" s="7" t="str">
        <f ca="1">IFERROR(XLOOKUP(D1912,'Spec_Single_H&amp;S'!B:B,'Spec_Single_H&amp;S'!F:F),
IFERROR(XLOOKUP(D1912,#REF!,#REF!),""))</f>
        <v/>
      </c>
      <c r="L1912" s="7" t="str">
        <f t="shared" ca="1" si="51"/>
        <v/>
      </c>
    </row>
    <row r="1913" spans="8:12" x14ac:dyDescent="0.3">
      <c r="H1913" s="7" t="str">
        <f>IF(B1913&lt;&gt;"Silicone","",IFERROR(XLOOKUP(D1913,#REF!,#REF!),""))</f>
        <v/>
      </c>
      <c r="J1913" s="7" t="str">
        <f ca="1">IFERROR(XLOOKUP(D1913,'Spec_Single_H&amp;S'!B:B,'Spec_Single_H&amp;S'!E:E),
IFERROR(XLOOKUP(D1913,#REF!,#REF!),""))</f>
        <v/>
      </c>
      <c r="K1913" s="7" t="str">
        <f ca="1">IFERROR(XLOOKUP(D1913,'Spec_Single_H&amp;S'!B:B,'Spec_Single_H&amp;S'!F:F),
IFERROR(XLOOKUP(D1913,#REF!,#REF!),""))</f>
        <v/>
      </c>
      <c r="L1913" s="7" t="str">
        <f t="shared" ca="1" si="51"/>
        <v/>
      </c>
    </row>
    <row r="1914" spans="8:12" x14ac:dyDescent="0.3">
      <c r="H1914" s="7" t="str">
        <f>IF(B1914&lt;&gt;"Silicone","",IFERROR(XLOOKUP(D1914,#REF!,#REF!),""))</f>
        <v/>
      </c>
      <c r="J1914" s="7" t="str">
        <f ca="1">IFERROR(XLOOKUP(D1914,'Spec_Single_H&amp;S'!B:B,'Spec_Single_H&amp;S'!E:E),
IFERROR(XLOOKUP(D1914,#REF!,#REF!),""))</f>
        <v/>
      </c>
      <c r="K1914" s="7" t="str">
        <f ca="1">IFERROR(XLOOKUP(D1914,'Spec_Single_H&amp;S'!B:B,'Spec_Single_H&amp;S'!F:F),
IFERROR(XLOOKUP(D1914,#REF!,#REF!),""))</f>
        <v/>
      </c>
      <c r="L1914" s="7" t="str">
        <f t="shared" ca="1" si="51"/>
        <v/>
      </c>
    </row>
    <row r="1915" spans="8:12" x14ac:dyDescent="0.3">
      <c r="H1915" s="7" t="str">
        <f>IF(B1915&lt;&gt;"Silicone","",IFERROR(XLOOKUP(D1915,#REF!,#REF!),""))</f>
        <v/>
      </c>
      <c r="J1915" s="7" t="str">
        <f ca="1">IFERROR(XLOOKUP(D1915,'Spec_Single_H&amp;S'!B:B,'Spec_Single_H&amp;S'!E:E),
IFERROR(XLOOKUP(D1915,#REF!,#REF!),""))</f>
        <v/>
      </c>
      <c r="K1915" s="7" t="str">
        <f ca="1">IFERROR(XLOOKUP(D1915,'Spec_Single_H&amp;S'!B:B,'Spec_Single_H&amp;S'!F:F),
IFERROR(XLOOKUP(D1915,#REF!,#REF!),""))</f>
        <v/>
      </c>
      <c r="L1915" s="7" t="str">
        <f t="shared" ca="1" si="51"/>
        <v/>
      </c>
    </row>
    <row r="1916" spans="8:12" x14ac:dyDescent="0.3">
      <c r="H1916" s="7" t="str">
        <f>IF(B1916&lt;&gt;"Silicone","",IFERROR(XLOOKUP(D1916,#REF!,#REF!),""))</f>
        <v/>
      </c>
      <c r="J1916" s="7" t="str">
        <f ca="1">IFERROR(XLOOKUP(D1916,'Spec_Single_H&amp;S'!B:B,'Spec_Single_H&amp;S'!E:E),
IFERROR(XLOOKUP(D1916,#REF!,#REF!),""))</f>
        <v/>
      </c>
      <c r="K1916" s="7" t="str">
        <f ca="1">IFERROR(XLOOKUP(D1916,'Spec_Single_H&amp;S'!B:B,'Spec_Single_H&amp;S'!F:F),
IFERROR(XLOOKUP(D1916,#REF!,#REF!),""))</f>
        <v/>
      </c>
      <c r="L1916" s="7" t="str">
        <f t="shared" ca="1" si="51"/>
        <v/>
      </c>
    </row>
    <row r="1917" spans="8:12" x14ac:dyDescent="0.3">
      <c r="H1917" s="7" t="str">
        <f>IF(B1917&lt;&gt;"Silicone","",IFERROR(XLOOKUP(D1917,#REF!,#REF!),""))</f>
        <v/>
      </c>
      <c r="J1917" s="7" t="str">
        <f ca="1">IFERROR(XLOOKUP(D1917,'Spec_Single_H&amp;S'!B:B,'Spec_Single_H&amp;S'!E:E),
IFERROR(XLOOKUP(D1917,#REF!,#REF!),""))</f>
        <v/>
      </c>
      <c r="K1917" s="7" t="str">
        <f ca="1">IFERROR(XLOOKUP(D1917,'Spec_Single_H&amp;S'!B:B,'Spec_Single_H&amp;S'!F:F),
IFERROR(XLOOKUP(D1917,#REF!,#REF!),""))</f>
        <v/>
      </c>
      <c r="L1917" s="7" t="str">
        <f t="shared" ca="1" si="51"/>
        <v/>
      </c>
    </row>
    <row r="1918" spans="8:12" x14ac:dyDescent="0.3">
      <c r="H1918" s="7" t="str">
        <f>IF(B1918&lt;&gt;"Silicone","",IFERROR(XLOOKUP(D1918,#REF!,#REF!),""))</f>
        <v/>
      </c>
      <c r="J1918" s="7" t="str">
        <f ca="1">IFERROR(XLOOKUP(D1918,'Spec_Single_H&amp;S'!B:B,'Spec_Single_H&amp;S'!E:E),
IFERROR(XLOOKUP(D1918,#REF!,#REF!),""))</f>
        <v/>
      </c>
      <c r="K1918" s="7" t="str">
        <f ca="1">IFERROR(XLOOKUP(D1918,'Spec_Single_H&amp;S'!B:B,'Spec_Single_H&amp;S'!F:F),
IFERROR(XLOOKUP(D1918,#REF!,#REF!),""))</f>
        <v/>
      </c>
      <c r="L1918" s="7" t="str">
        <f t="shared" ca="1" si="51"/>
        <v/>
      </c>
    </row>
    <row r="1919" spans="8:12" x14ac:dyDescent="0.3">
      <c r="H1919" s="7" t="str">
        <f>IF(B1919&lt;&gt;"Silicone","",IFERROR(XLOOKUP(D1919,#REF!,#REF!),""))</f>
        <v/>
      </c>
      <c r="J1919" s="7" t="str">
        <f ca="1">IFERROR(XLOOKUP(D1919,'Spec_Single_H&amp;S'!B:B,'Spec_Single_H&amp;S'!E:E),
IFERROR(XLOOKUP(D1919,#REF!,#REF!),""))</f>
        <v/>
      </c>
      <c r="K1919" s="7" t="str">
        <f ca="1">IFERROR(XLOOKUP(D1919,'Spec_Single_H&amp;S'!B:B,'Spec_Single_H&amp;S'!F:F),
IFERROR(XLOOKUP(D1919,#REF!,#REF!),""))</f>
        <v/>
      </c>
      <c r="L1919" s="7" t="str">
        <f t="shared" ca="1" si="51"/>
        <v/>
      </c>
    </row>
    <row r="1920" spans="8:12" x14ac:dyDescent="0.3">
      <c r="H1920" s="7" t="str">
        <f>IF(B1920&lt;&gt;"Silicone","",IFERROR(XLOOKUP(D1920,#REF!,#REF!),""))</f>
        <v/>
      </c>
      <c r="J1920" s="7" t="str">
        <f ca="1">IFERROR(XLOOKUP(D1920,'Spec_Single_H&amp;S'!B:B,'Spec_Single_H&amp;S'!E:E),
IFERROR(XLOOKUP(D1920,#REF!,#REF!),""))</f>
        <v/>
      </c>
      <c r="K1920" s="7" t="str">
        <f ca="1">IFERROR(XLOOKUP(D1920,'Spec_Single_H&amp;S'!B:B,'Spec_Single_H&amp;S'!F:F),
IFERROR(XLOOKUP(D1920,#REF!,#REF!),""))</f>
        <v/>
      </c>
      <c r="L1920" s="7" t="str">
        <f t="shared" ca="1" si="51"/>
        <v/>
      </c>
    </row>
    <row r="1921" spans="8:12" x14ac:dyDescent="0.3">
      <c r="H1921" s="7" t="str">
        <f>IF(B1921&lt;&gt;"Silicone","",IFERROR(XLOOKUP(D1921,#REF!,#REF!),""))</f>
        <v/>
      </c>
      <c r="J1921" s="7" t="str">
        <f ca="1">IFERROR(XLOOKUP(D1921,'Spec_Single_H&amp;S'!B:B,'Spec_Single_H&amp;S'!E:E),
IFERROR(XLOOKUP(D1921,#REF!,#REF!),""))</f>
        <v/>
      </c>
      <c r="K1921" s="7" t="str">
        <f ca="1">IFERROR(XLOOKUP(D1921,'Spec_Single_H&amp;S'!B:B,'Spec_Single_H&amp;S'!F:F),
IFERROR(XLOOKUP(D1921,#REF!,#REF!),""))</f>
        <v/>
      </c>
      <c r="L1921" s="7" t="str">
        <f t="shared" ca="1" si="51"/>
        <v/>
      </c>
    </row>
    <row r="1922" spans="8:12" x14ac:dyDescent="0.3">
      <c r="H1922" s="7" t="str">
        <f>IF(B1922&lt;&gt;"Silicone","",IFERROR(XLOOKUP(D1922,#REF!,#REF!),""))</f>
        <v/>
      </c>
      <c r="J1922" s="7" t="str">
        <f ca="1">IFERROR(XLOOKUP(D1922,'Spec_Single_H&amp;S'!B:B,'Spec_Single_H&amp;S'!E:E),
IFERROR(XLOOKUP(D1922,#REF!,#REF!),""))</f>
        <v/>
      </c>
      <c r="K1922" s="7" t="str">
        <f ca="1">IFERROR(XLOOKUP(D1922,'Spec_Single_H&amp;S'!B:B,'Spec_Single_H&amp;S'!F:F),
IFERROR(XLOOKUP(D1922,#REF!,#REF!),""))</f>
        <v/>
      </c>
      <c r="L1922" s="7" t="str">
        <f t="shared" ca="1" si="51"/>
        <v/>
      </c>
    </row>
    <row r="1923" spans="8:12" x14ac:dyDescent="0.3">
      <c r="H1923" s="7" t="str">
        <f>IF(B1923&lt;&gt;"Silicone","",IFERROR(XLOOKUP(D1923,#REF!,#REF!),""))</f>
        <v/>
      </c>
      <c r="J1923" s="7" t="str">
        <f ca="1">IFERROR(XLOOKUP(D1923,'Spec_Single_H&amp;S'!B:B,'Spec_Single_H&amp;S'!E:E),
IFERROR(XLOOKUP(D1923,#REF!,#REF!),""))</f>
        <v/>
      </c>
      <c r="K1923" s="7" t="str">
        <f ca="1">IFERROR(XLOOKUP(D1923,'Spec_Single_H&amp;S'!B:B,'Spec_Single_H&amp;S'!F:F),
IFERROR(XLOOKUP(D1923,#REF!,#REF!),""))</f>
        <v/>
      </c>
      <c r="L1923" s="7" t="str">
        <f t="shared" ca="1" si="51"/>
        <v/>
      </c>
    </row>
    <row r="1924" spans="8:12" x14ac:dyDescent="0.3">
      <c r="H1924" s="7" t="str">
        <f>IF(B1924&lt;&gt;"Silicone","",IFERROR(XLOOKUP(D1924,#REF!,#REF!),""))</f>
        <v/>
      </c>
      <c r="J1924" s="7" t="str">
        <f ca="1">IFERROR(XLOOKUP(D1924,'Spec_Single_H&amp;S'!B:B,'Spec_Single_H&amp;S'!E:E),
IFERROR(XLOOKUP(D1924,#REF!,#REF!),""))</f>
        <v/>
      </c>
      <c r="K1924" s="7" t="str">
        <f ca="1">IFERROR(XLOOKUP(D1924,'Spec_Single_H&amp;S'!B:B,'Spec_Single_H&amp;S'!F:F),
IFERROR(XLOOKUP(D1924,#REF!,#REF!),""))</f>
        <v/>
      </c>
      <c r="L1924" s="7" t="str">
        <f t="shared" ca="1" si="51"/>
        <v/>
      </c>
    </row>
    <row r="1925" spans="8:12" x14ac:dyDescent="0.3">
      <c r="H1925" s="7" t="str">
        <f>IF(B1925&lt;&gt;"Silicone","",IFERROR(XLOOKUP(D1925,#REF!,#REF!),""))</f>
        <v/>
      </c>
      <c r="J1925" s="7" t="str">
        <f ca="1">IFERROR(XLOOKUP(D1925,'Spec_Single_H&amp;S'!B:B,'Spec_Single_H&amp;S'!E:E),
IFERROR(XLOOKUP(D1925,#REF!,#REF!),""))</f>
        <v/>
      </c>
      <c r="K1925" s="7" t="str">
        <f ca="1">IFERROR(XLOOKUP(D1925,'Spec_Single_H&amp;S'!B:B,'Spec_Single_H&amp;S'!F:F),
IFERROR(XLOOKUP(D1925,#REF!,#REF!),""))</f>
        <v/>
      </c>
      <c r="L1925" s="7" t="str">
        <f t="shared" ca="1" si="51"/>
        <v/>
      </c>
    </row>
    <row r="1926" spans="8:12" x14ac:dyDescent="0.3">
      <c r="H1926" s="7" t="str">
        <f>IF(B1926&lt;&gt;"Silicone","",IFERROR(XLOOKUP(D1926,#REF!,#REF!),""))</f>
        <v/>
      </c>
      <c r="J1926" s="7" t="str">
        <f ca="1">IFERROR(XLOOKUP(D1926,'Spec_Single_H&amp;S'!B:B,'Spec_Single_H&amp;S'!E:E),
IFERROR(XLOOKUP(D1926,#REF!,#REF!),""))</f>
        <v/>
      </c>
      <c r="K1926" s="7" t="str">
        <f ca="1">IFERROR(XLOOKUP(D1926,'Spec_Single_H&amp;S'!B:B,'Spec_Single_H&amp;S'!F:F),
IFERROR(XLOOKUP(D1926,#REF!,#REF!),""))</f>
        <v/>
      </c>
      <c r="L1926" s="7" t="str">
        <f t="shared" ca="1" si="51"/>
        <v/>
      </c>
    </row>
    <row r="1927" spans="8:12" x14ac:dyDescent="0.3">
      <c r="H1927" s="7" t="str">
        <f>IF(B1927&lt;&gt;"Silicone","",IFERROR(XLOOKUP(D1927,#REF!,#REF!),""))</f>
        <v/>
      </c>
      <c r="J1927" s="7" t="str">
        <f ca="1">IFERROR(XLOOKUP(D1927,'Spec_Single_H&amp;S'!B:B,'Spec_Single_H&amp;S'!E:E),
IFERROR(XLOOKUP(D1927,#REF!,#REF!),""))</f>
        <v/>
      </c>
      <c r="K1927" s="7" t="str">
        <f ca="1">IFERROR(XLOOKUP(D1927,'Spec_Single_H&amp;S'!B:B,'Spec_Single_H&amp;S'!F:F),
IFERROR(XLOOKUP(D1927,#REF!,#REF!),""))</f>
        <v/>
      </c>
      <c r="L1927" s="7" t="str">
        <f t="shared" ca="1" si="51"/>
        <v/>
      </c>
    </row>
    <row r="1928" spans="8:12" x14ac:dyDescent="0.3">
      <c r="H1928" s="7" t="str">
        <f>IF(B1928&lt;&gt;"Silicone","",IFERROR(XLOOKUP(D1928,#REF!,#REF!),""))</f>
        <v/>
      </c>
      <c r="J1928" s="7" t="str">
        <f ca="1">IFERROR(XLOOKUP(D1928,'Spec_Single_H&amp;S'!B:B,'Spec_Single_H&amp;S'!E:E),
IFERROR(XLOOKUP(D1928,#REF!,#REF!),""))</f>
        <v/>
      </c>
      <c r="K1928" s="7" t="str">
        <f ca="1">IFERROR(XLOOKUP(D1928,'Spec_Single_H&amp;S'!B:B,'Spec_Single_H&amp;S'!F:F),
IFERROR(XLOOKUP(D1928,#REF!,#REF!),""))</f>
        <v/>
      </c>
      <c r="L1928" s="7" t="str">
        <f t="shared" ref="L1928:L1991" ca="1" si="52">IF(AND(NOT(ISBLANK(I1928)),I1928&gt;=J1928,I1928&lt;=K1928),"적합",IF(ISBLANK(I1928),"", "부적합"))</f>
        <v/>
      </c>
    </row>
    <row r="1929" spans="8:12" x14ac:dyDescent="0.3">
      <c r="H1929" s="7" t="str">
        <f>IF(B1929&lt;&gt;"Silicone","",IFERROR(XLOOKUP(D1929,#REF!,#REF!),""))</f>
        <v/>
      </c>
      <c r="J1929" s="7" t="str">
        <f ca="1">IFERROR(XLOOKUP(D1929,'Spec_Single_H&amp;S'!B:B,'Spec_Single_H&amp;S'!E:E),
IFERROR(XLOOKUP(D1929,#REF!,#REF!),""))</f>
        <v/>
      </c>
      <c r="K1929" s="7" t="str">
        <f ca="1">IFERROR(XLOOKUP(D1929,'Spec_Single_H&amp;S'!B:B,'Spec_Single_H&amp;S'!F:F),
IFERROR(XLOOKUP(D1929,#REF!,#REF!),""))</f>
        <v/>
      </c>
      <c r="L1929" s="7" t="str">
        <f t="shared" ca="1" si="52"/>
        <v/>
      </c>
    </row>
    <row r="1930" spans="8:12" x14ac:dyDescent="0.3">
      <c r="H1930" s="7" t="str">
        <f>IF(B1930&lt;&gt;"Silicone","",IFERROR(XLOOKUP(D1930,#REF!,#REF!),""))</f>
        <v/>
      </c>
      <c r="J1930" s="7" t="str">
        <f ca="1">IFERROR(XLOOKUP(D1930,'Spec_Single_H&amp;S'!B:B,'Spec_Single_H&amp;S'!E:E),
IFERROR(XLOOKUP(D1930,#REF!,#REF!),""))</f>
        <v/>
      </c>
      <c r="K1930" s="7" t="str">
        <f ca="1">IFERROR(XLOOKUP(D1930,'Spec_Single_H&amp;S'!B:B,'Spec_Single_H&amp;S'!F:F),
IFERROR(XLOOKUP(D1930,#REF!,#REF!),""))</f>
        <v/>
      </c>
      <c r="L1930" s="7" t="str">
        <f t="shared" ca="1" si="52"/>
        <v/>
      </c>
    </row>
    <row r="1931" spans="8:12" x14ac:dyDescent="0.3">
      <c r="H1931" s="7" t="str">
        <f>IF(B1931&lt;&gt;"Silicone","",IFERROR(XLOOKUP(D1931,#REF!,#REF!),""))</f>
        <v/>
      </c>
      <c r="J1931" s="7" t="str">
        <f ca="1">IFERROR(XLOOKUP(D1931,'Spec_Single_H&amp;S'!B:B,'Spec_Single_H&amp;S'!E:E),
IFERROR(XLOOKUP(D1931,#REF!,#REF!),""))</f>
        <v/>
      </c>
      <c r="K1931" s="7" t="str">
        <f ca="1">IFERROR(XLOOKUP(D1931,'Spec_Single_H&amp;S'!B:B,'Spec_Single_H&amp;S'!F:F),
IFERROR(XLOOKUP(D1931,#REF!,#REF!),""))</f>
        <v/>
      </c>
      <c r="L1931" s="7" t="str">
        <f t="shared" ca="1" si="52"/>
        <v/>
      </c>
    </row>
    <row r="1932" spans="8:12" x14ac:dyDescent="0.3">
      <c r="H1932" s="7" t="str">
        <f>IF(B1932&lt;&gt;"Silicone","",IFERROR(XLOOKUP(D1932,#REF!,#REF!),""))</f>
        <v/>
      </c>
      <c r="J1932" s="7" t="str">
        <f ca="1">IFERROR(XLOOKUP(D1932,'Spec_Single_H&amp;S'!B:B,'Spec_Single_H&amp;S'!E:E),
IFERROR(XLOOKUP(D1932,#REF!,#REF!),""))</f>
        <v/>
      </c>
      <c r="K1932" s="7" t="str">
        <f ca="1">IFERROR(XLOOKUP(D1932,'Spec_Single_H&amp;S'!B:B,'Spec_Single_H&amp;S'!F:F),
IFERROR(XLOOKUP(D1932,#REF!,#REF!),""))</f>
        <v/>
      </c>
      <c r="L1932" s="7" t="str">
        <f t="shared" ca="1" si="52"/>
        <v/>
      </c>
    </row>
    <row r="1933" spans="8:12" x14ac:dyDescent="0.3">
      <c r="H1933" s="7" t="str">
        <f>IF(B1933&lt;&gt;"Silicone","",IFERROR(XLOOKUP(D1933,#REF!,#REF!),""))</f>
        <v/>
      </c>
      <c r="J1933" s="7" t="str">
        <f ca="1">IFERROR(XLOOKUP(D1933,'Spec_Single_H&amp;S'!B:B,'Spec_Single_H&amp;S'!E:E),
IFERROR(XLOOKUP(D1933,#REF!,#REF!),""))</f>
        <v/>
      </c>
      <c r="K1933" s="7" t="str">
        <f ca="1">IFERROR(XLOOKUP(D1933,'Spec_Single_H&amp;S'!B:B,'Spec_Single_H&amp;S'!F:F),
IFERROR(XLOOKUP(D1933,#REF!,#REF!),""))</f>
        <v/>
      </c>
      <c r="L1933" s="7" t="str">
        <f t="shared" ca="1" si="52"/>
        <v/>
      </c>
    </row>
    <row r="1934" spans="8:12" x14ac:dyDescent="0.3">
      <c r="H1934" s="7" t="str">
        <f>IF(B1934&lt;&gt;"Silicone","",IFERROR(XLOOKUP(D1934,#REF!,#REF!),""))</f>
        <v/>
      </c>
      <c r="J1934" s="7" t="str">
        <f ca="1">IFERROR(XLOOKUP(D1934,'Spec_Single_H&amp;S'!B:B,'Spec_Single_H&amp;S'!E:E),
IFERROR(XLOOKUP(D1934,#REF!,#REF!),""))</f>
        <v/>
      </c>
      <c r="K1934" s="7" t="str">
        <f ca="1">IFERROR(XLOOKUP(D1934,'Spec_Single_H&amp;S'!B:B,'Spec_Single_H&amp;S'!F:F),
IFERROR(XLOOKUP(D1934,#REF!,#REF!),""))</f>
        <v/>
      </c>
      <c r="L1934" s="7" t="str">
        <f t="shared" ca="1" si="52"/>
        <v/>
      </c>
    </row>
    <row r="1935" spans="8:12" x14ac:dyDescent="0.3">
      <c r="H1935" s="7" t="str">
        <f>IF(B1935&lt;&gt;"Silicone","",IFERROR(XLOOKUP(D1935,#REF!,#REF!),""))</f>
        <v/>
      </c>
      <c r="J1935" s="7" t="str">
        <f ca="1">IFERROR(XLOOKUP(D1935,'Spec_Single_H&amp;S'!B:B,'Spec_Single_H&amp;S'!E:E),
IFERROR(XLOOKUP(D1935,#REF!,#REF!),""))</f>
        <v/>
      </c>
      <c r="K1935" s="7" t="str">
        <f ca="1">IFERROR(XLOOKUP(D1935,'Spec_Single_H&amp;S'!B:B,'Spec_Single_H&amp;S'!F:F),
IFERROR(XLOOKUP(D1935,#REF!,#REF!),""))</f>
        <v/>
      </c>
      <c r="L1935" s="7" t="str">
        <f t="shared" ca="1" si="52"/>
        <v/>
      </c>
    </row>
    <row r="1936" spans="8:12" x14ac:dyDescent="0.3">
      <c r="H1936" s="7" t="str">
        <f>IF(B1936&lt;&gt;"Silicone","",IFERROR(XLOOKUP(D1936,#REF!,#REF!),""))</f>
        <v/>
      </c>
      <c r="J1936" s="7" t="str">
        <f ca="1">IFERROR(XLOOKUP(D1936,'Spec_Single_H&amp;S'!B:B,'Spec_Single_H&amp;S'!E:E),
IFERROR(XLOOKUP(D1936,#REF!,#REF!),""))</f>
        <v/>
      </c>
      <c r="K1936" s="7" t="str">
        <f ca="1">IFERROR(XLOOKUP(D1936,'Spec_Single_H&amp;S'!B:B,'Spec_Single_H&amp;S'!F:F),
IFERROR(XLOOKUP(D1936,#REF!,#REF!),""))</f>
        <v/>
      </c>
      <c r="L1936" s="7" t="str">
        <f t="shared" ca="1" si="52"/>
        <v/>
      </c>
    </row>
    <row r="1937" spans="8:12" x14ac:dyDescent="0.3">
      <c r="H1937" s="7" t="str">
        <f>IF(B1937&lt;&gt;"Silicone","",IFERROR(XLOOKUP(D1937,#REF!,#REF!),""))</f>
        <v/>
      </c>
      <c r="J1937" s="7" t="str">
        <f ca="1">IFERROR(XLOOKUP(D1937,'Spec_Single_H&amp;S'!B:B,'Spec_Single_H&amp;S'!E:E),
IFERROR(XLOOKUP(D1937,#REF!,#REF!),""))</f>
        <v/>
      </c>
      <c r="K1937" s="7" t="str">
        <f ca="1">IFERROR(XLOOKUP(D1937,'Spec_Single_H&amp;S'!B:B,'Spec_Single_H&amp;S'!F:F),
IFERROR(XLOOKUP(D1937,#REF!,#REF!),""))</f>
        <v/>
      </c>
      <c r="L1937" s="7" t="str">
        <f t="shared" ca="1" si="52"/>
        <v/>
      </c>
    </row>
    <row r="1938" spans="8:12" x14ac:dyDescent="0.3">
      <c r="H1938" s="7" t="str">
        <f>IF(B1938&lt;&gt;"Silicone","",IFERROR(XLOOKUP(D1938,#REF!,#REF!),""))</f>
        <v/>
      </c>
      <c r="J1938" s="7" t="str">
        <f ca="1">IFERROR(XLOOKUP(D1938,'Spec_Single_H&amp;S'!B:B,'Spec_Single_H&amp;S'!E:E),
IFERROR(XLOOKUP(D1938,#REF!,#REF!),""))</f>
        <v/>
      </c>
      <c r="K1938" s="7" t="str">
        <f ca="1">IFERROR(XLOOKUP(D1938,'Spec_Single_H&amp;S'!B:B,'Spec_Single_H&amp;S'!F:F),
IFERROR(XLOOKUP(D1938,#REF!,#REF!),""))</f>
        <v/>
      </c>
      <c r="L1938" s="7" t="str">
        <f t="shared" ca="1" si="52"/>
        <v/>
      </c>
    </row>
    <row r="1939" spans="8:12" x14ac:dyDescent="0.3">
      <c r="H1939" s="7" t="str">
        <f>IF(B1939&lt;&gt;"Silicone","",IFERROR(XLOOKUP(D1939,#REF!,#REF!),""))</f>
        <v/>
      </c>
      <c r="J1939" s="7" t="str">
        <f ca="1">IFERROR(XLOOKUP(D1939,'Spec_Single_H&amp;S'!B:B,'Spec_Single_H&amp;S'!E:E),
IFERROR(XLOOKUP(D1939,#REF!,#REF!),""))</f>
        <v/>
      </c>
      <c r="K1939" s="7" t="str">
        <f ca="1">IFERROR(XLOOKUP(D1939,'Spec_Single_H&amp;S'!B:B,'Spec_Single_H&amp;S'!F:F),
IFERROR(XLOOKUP(D1939,#REF!,#REF!),""))</f>
        <v/>
      </c>
      <c r="L1939" s="7" t="str">
        <f t="shared" ca="1" si="52"/>
        <v/>
      </c>
    </row>
    <row r="1940" spans="8:12" x14ac:dyDescent="0.3">
      <c r="H1940" s="7" t="str">
        <f>IF(B1940&lt;&gt;"Silicone","",IFERROR(XLOOKUP(D1940,#REF!,#REF!),""))</f>
        <v/>
      </c>
      <c r="J1940" s="7" t="str">
        <f ca="1">IFERROR(XLOOKUP(D1940,'Spec_Single_H&amp;S'!B:B,'Spec_Single_H&amp;S'!E:E),
IFERROR(XLOOKUP(D1940,#REF!,#REF!),""))</f>
        <v/>
      </c>
      <c r="K1940" s="7" t="str">
        <f ca="1">IFERROR(XLOOKUP(D1940,'Spec_Single_H&amp;S'!B:B,'Spec_Single_H&amp;S'!F:F),
IFERROR(XLOOKUP(D1940,#REF!,#REF!),""))</f>
        <v/>
      </c>
      <c r="L1940" s="7" t="str">
        <f t="shared" ca="1" si="52"/>
        <v/>
      </c>
    </row>
    <row r="1941" spans="8:12" x14ac:dyDescent="0.3">
      <c r="H1941" s="7" t="str">
        <f>IF(B1941&lt;&gt;"Silicone","",IFERROR(XLOOKUP(D1941,#REF!,#REF!),""))</f>
        <v/>
      </c>
      <c r="J1941" s="7" t="str">
        <f ca="1">IFERROR(XLOOKUP(D1941,'Spec_Single_H&amp;S'!B:B,'Spec_Single_H&amp;S'!E:E),
IFERROR(XLOOKUP(D1941,#REF!,#REF!),""))</f>
        <v/>
      </c>
      <c r="K1941" s="7" t="str">
        <f ca="1">IFERROR(XLOOKUP(D1941,'Spec_Single_H&amp;S'!B:B,'Spec_Single_H&amp;S'!F:F),
IFERROR(XLOOKUP(D1941,#REF!,#REF!),""))</f>
        <v/>
      </c>
      <c r="L1941" s="7" t="str">
        <f t="shared" ca="1" si="52"/>
        <v/>
      </c>
    </row>
    <row r="1942" spans="8:12" x14ac:dyDescent="0.3">
      <c r="H1942" s="7" t="str">
        <f>IF(B1942&lt;&gt;"Silicone","",IFERROR(XLOOKUP(D1942,#REF!,#REF!),""))</f>
        <v/>
      </c>
      <c r="J1942" s="7" t="str">
        <f ca="1">IFERROR(XLOOKUP(D1942,'Spec_Single_H&amp;S'!B:B,'Spec_Single_H&amp;S'!E:E),
IFERROR(XLOOKUP(D1942,#REF!,#REF!),""))</f>
        <v/>
      </c>
      <c r="K1942" s="7" t="str">
        <f ca="1">IFERROR(XLOOKUP(D1942,'Spec_Single_H&amp;S'!B:B,'Spec_Single_H&amp;S'!F:F),
IFERROR(XLOOKUP(D1942,#REF!,#REF!),""))</f>
        <v/>
      </c>
      <c r="L1942" s="7" t="str">
        <f t="shared" ca="1" si="52"/>
        <v/>
      </c>
    </row>
    <row r="1943" spans="8:12" x14ac:dyDescent="0.3">
      <c r="H1943" s="7" t="str">
        <f>IF(B1943&lt;&gt;"Silicone","",IFERROR(XLOOKUP(D1943,#REF!,#REF!),""))</f>
        <v/>
      </c>
      <c r="J1943" s="7" t="str">
        <f ca="1">IFERROR(XLOOKUP(D1943,'Spec_Single_H&amp;S'!B:B,'Spec_Single_H&amp;S'!E:E),
IFERROR(XLOOKUP(D1943,#REF!,#REF!),""))</f>
        <v/>
      </c>
      <c r="K1943" s="7" t="str">
        <f ca="1">IFERROR(XLOOKUP(D1943,'Spec_Single_H&amp;S'!B:B,'Spec_Single_H&amp;S'!F:F),
IFERROR(XLOOKUP(D1943,#REF!,#REF!),""))</f>
        <v/>
      </c>
      <c r="L1943" s="7" t="str">
        <f t="shared" ca="1" si="52"/>
        <v/>
      </c>
    </row>
    <row r="1944" spans="8:12" x14ac:dyDescent="0.3">
      <c r="H1944" s="7" t="str">
        <f>IF(B1944&lt;&gt;"Silicone","",IFERROR(XLOOKUP(D1944,#REF!,#REF!),""))</f>
        <v/>
      </c>
      <c r="J1944" s="7" t="str">
        <f ca="1">IFERROR(XLOOKUP(D1944,'Spec_Single_H&amp;S'!B:B,'Spec_Single_H&amp;S'!E:E),
IFERROR(XLOOKUP(D1944,#REF!,#REF!),""))</f>
        <v/>
      </c>
      <c r="K1944" s="7" t="str">
        <f ca="1">IFERROR(XLOOKUP(D1944,'Spec_Single_H&amp;S'!B:B,'Spec_Single_H&amp;S'!F:F),
IFERROR(XLOOKUP(D1944,#REF!,#REF!),""))</f>
        <v/>
      </c>
      <c r="L1944" s="7" t="str">
        <f t="shared" ca="1" si="52"/>
        <v/>
      </c>
    </row>
    <row r="1945" spans="8:12" x14ac:dyDescent="0.3">
      <c r="H1945" s="7" t="str">
        <f>IF(B1945&lt;&gt;"Silicone","",IFERROR(XLOOKUP(D1945,#REF!,#REF!),""))</f>
        <v/>
      </c>
      <c r="J1945" s="7" t="str">
        <f ca="1">IFERROR(XLOOKUP(D1945,'Spec_Single_H&amp;S'!B:B,'Spec_Single_H&amp;S'!E:E),
IFERROR(XLOOKUP(D1945,#REF!,#REF!),""))</f>
        <v/>
      </c>
      <c r="K1945" s="7" t="str">
        <f ca="1">IFERROR(XLOOKUP(D1945,'Spec_Single_H&amp;S'!B:B,'Spec_Single_H&amp;S'!F:F),
IFERROR(XLOOKUP(D1945,#REF!,#REF!),""))</f>
        <v/>
      </c>
      <c r="L1945" s="7" t="str">
        <f t="shared" ca="1" si="52"/>
        <v/>
      </c>
    </row>
    <row r="1946" spans="8:12" x14ac:dyDescent="0.3">
      <c r="H1946" s="7" t="str">
        <f>IF(B1946&lt;&gt;"Silicone","",IFERROR(XLOOKUP(D1946,#REF!,#REF!),""))</f>
        <v/>
      </c>
      <c r="J1946" s="7" t="str">
        <f ca="1">IFERROR(XLOOKUP(D1946,'Spec_Single_H&amp;S'!B:B,'Spec_Single_H&amp;S'!E:E),
IFERROR(XLOOKUP(D1946,#REF!,#REF!),""))</f>
        <v/>
      </c>
      <c r="K1946" s="7" t="str">
        <f ca="1">IFERROR(XLOOKUP(D1946,'Spec_Single_H&amp;S'!B:B,'Spec_Single_H&amp;S'!F:F),
IFERROR(XLOOKUP(D1946,#REF!,#REF!),""))</f>
        <v/>
      </c>
      <c r="L1946" s="7" t="str">
        <f t="shared" ca="1" si="52"/>
        <v/>
      </c>
    </row>
    <row r="1947" spans="8:12" x14ac:dyDescent="0.3">
      <c r="H1947" s="7" t="str">
        <f>IF(B1947&lt;&gt;"Silicone","",IFERROR(XLOOKUP(D1947,#REF!,#REF!),""))</f>
        <v/>
      </c>
      <c r="J1947" s="7" t="str">
        <f ca="1">IFERROR(XLOOKUP(D1947,'Spec_Single_H&amp;S'!B:B,'Spec_Single_H&amp;S'!E:E),
IFERROR(XLOOKUP(D1947,#REF!,#REF!),""))</f>
        <v/>
      </c>
      <c r="K1947" s="7" t="str">
        <f ca="1">IFERROR(XLOOKUP(D1947,'Spec_Single_H&amp;S'!B:B,'Spec_Single_H&amp;S'!F:F),
IFERROR(XLOOKUP(D1947,#REF!,#REF!),""))</f>
        <v/>
      </c>
      <c r="L1947" s="7" t="str">
        <f t="shared" ca="1" si="52"/>
        <v/>
      </c>
    </row>
    <row r="1948" spans="8:12" x14ac:dyDescent="0.3">
      <c r="H1948" s="7" t="str">
        <f>IF(B1948&lt;&gt;"Silicone","",IFERROR(XLOOKUP(D1948,#REF!,#REF!),""))</f>
        <v/>
      </c>
      <c r="J1948" s="7" t="str">
        <f ca="1">IFERROR(XLOOKUP(D1948,'Spec_Single_H&amp;S'!B:B,'Spec_Single_H&amp;S'!E:E),
IFERROR(XLOOKUP(D1948,#REF!,#REF!),""))</f>
        <v/>
      </c>
      <c r="K1948" s="7" t="str">
        <f ca="1">IFERROR(XLOOKUP(D1948,'Spec_Single_H&amp;S'!B:B,'Spec_Single_H&amp;S'!F:F),
IFERROR(XLOOKUP(D1948,#REF!,#REF!),""))</f>
        <v/>
      </c>
      <c r="L1948" s="7" t="str">
        <f t="shared" ca="1" si="52"/>
        <v/>
      </c>
    </row>
    <row r="1949" spans="8:12" x14ac:dyDescent="0.3">
      <c r="H1949" s="7" t="str">
        <f>IF(B1949&lt;&gt;"Silicone","",IFERROR(XLOOKUP(D1949,#REF!,#REF!),""))</f>
        <v/>
      </c>
      <c r="J1949" s="7" t="str">
        <f ca="1">IFERROR(XLOOKUP(D1949,'Spec_Single_H&amp;S'!B:B,'Spec_Single_H&amp;S'!E:E),
IFERROR(XLOOKUP(D1949,#REF!,#REF!),""))</f>
        <v/>
      </c>
      <c r="K1949" s="7" t="str">
        <f ca="1">IFERROR(XLOOKUP(D1949,'Spec_Single_H&amp;S'!B:B,'Spec_Single_H&amp;S'!F:F),
IFERROR(XLOOKUP(D1949,#REF!,#REF!),""))</f>
        <v/>
      </c>
      <c r="L1949" s="7" t="str">
        <f t="shared" ca="1" si="52"/>
        <v/>
      </c>
    </row>
    <row r="1950" spans="8:12" x14ac:dyDescent="0.3">
      <c r="H1950" s="7" t="str">
        <f>IF(B1950&lt;&gt;"Silicone","",IFERROR(XLOOKUP(D1950,#REF!,#REF!),""))</f>
        <v/>
      </c>
      <c r="J1950" s="7" t="str">
        <f ca="1">IFERROR(XLOOKUP(D1950,'Spec_Single_H&amp;S'!B:B,'Spec_Single_H&amp;S'!E:E),
IFERROR(XLOOKUP(D1950,#REF!,#REF!),""))</f>
        <v/>
      </c>
      <c r="K1950" s="7" t="str">
        <f ca="1">IFERROR(XLOOKUP(D1950,'Spec_Single_H&amp;S'!B:B,'Spec_Single_H&amp;S'!F:F),
IFERROR(XLOOKUP(D1950,#REF!,#REF!),""))</f>
        <v/>
      </c>
      <c r="L1950" s="7" t="str">
        <f t="shared" ca="1" si="52"/>
        <v/>
      </c>
    </row>
    <row r="1951" spans="8:12" x14ac:dyDescent="0.3">
      <c r="H1951" s="7" t="str">
        <f>IF(B1951&lt;&gt;"Silicone","",IFERROR(XLOOKUP(D1951,#REF!,#REF!),""))</f>
        <v/>
      </c>
      <c r="J1951" s="7" t="str">
        <f ca="1">IFERROR(XLOOKUP(D1951,'Spec_Single_H&amp;S'!B:B,'Spec_Single_H&amp;S'!E:E),
IFERROR(XLOOKUP(D1951,#REF!,#REF!),""))</f>
        <v/>
      </c>
      <c r="K1951" s="7" t="str">
        <f ca="1">IFERROR(XLOOKUP(D1951,'Spec_Single_H&amp;S'!B:B,'Spec_Single_H&amp;S'!F:F),
IFERROR(XLOOKUP(D1951,#REF!,#REF!),""))</f>
        <v/>
      </c>
      <c r="L1951" s="7" t="str">
        <f t="shared" ca="1" si="52"/>
        <v/>
      </c>
    </row>
    <row r="1952" spans="8:12" x14ac:dyDescent="0.3">
      <c r="H1952" s="7" t="str">
        <f>IF(B1952&lt;&gt;"Silicone","",IFERROR(XLOOKUP(D1952,#REF!,#REF!),""))</f>
        <v/>
      </c>
      <c r="J1952" s="7" t="str">
        <f ca="1">IFERROR(XLOOKUP(D1952,'Spec_Single_H&amp;S'!B:B,'Spec_Single_H&amp;S'!E:E),
IFERROR(XLOOKUP(D1952,#REF!,#REF!),""))</f>
        <v/>
      </c>
      <c r="K1952" s="7" t="str">
        <f ca="1">IFERROR(XLOOKUP(D1952,'Spec_Single_H&amp;S'!B:B,'Spec_Single_H&amp;S'!F:F),
IFERROR(XLOOKUP(D1952,#REF!,#REF!),""))</f>
        <v/>
      </c>
      <c r="L1952" s="7" t="str">
        <f t="shared" ca="1" si="52"/>
        <v/>
      </c>
    </row>
    <row r="1953" spans="8:12" x14ac:dyDescent="0.3">
      <c r="H1953" s="7" t="str">
        <f>IF(B1953&lt;&gt;"Silicone","",IFERROR(XLOOKUP(D1953,#REF!,#REF!),""))</f>
        <v/>
      </c>
      <c r="J1953" s="7" t="str">
        <f ca="1">IFERROR(XLOOKUP(D1953,'Spec_Single_H&amp;S'!B:B,'Spec_Single_H&amp;S'!E:E),
IFERROR(XLOOKUP(D1953,#REF!,#REF!),""))</f>
        <v/>
      </c>
      <c r="K1953" s="7" t="str">
        <f ca="1">IFERROR(XLOOKUP(D1953,'Spec_Single_H&amp;S'!B:B,'Spec_Single_H&amp;S'!F:F),
IFERROR(XLOOKUP(D1953,#REF!,#REF!),""))</f>
        <v/>
      </c>
      <c r="L1953" s="7" t="str">
        <f t="shared" ca="1" si="52"/>
        <v/>
      </c>
    </row>
    <row r="1954" spans="8:12" x14ac:dyDescent="0.3">
      <c r="H1954" s="7" t="str">
        <f>IF(B1954&lt;&gt;"Silicone","",IFERROR(XLOOKUP(D1954,#REF!,#REF!),""))</f>
        <v/>
      </c>
      <c r="J1954" s="7" t="str">
        <f ca="1">IFERROR(XLOOKUP(D1954,'Spec_Single_H&amp;S'!B:B,'Spec_Single_H&amp;S'!E:E),
IFERROR(XLOOKUP(D1954,#REF!,#REF!),""))</f>
        <v/>
      </c>
      <c r="K1954" s="7" t="str">
        <f ca="1">IFERROR(XLOOKUP(D1954,'Spec_Single_H&amp;S'!B:B,'Spec_Single_H&amp;S'!F:F),
IFERROR(XLOOKUP(D1954,#REF!,#REF!),""))</f>
        <v/>
      </c>
      <c r="L1954" s="7" t="str">
        <f t="shared" ca="1" si="52"/>
        <v/>
      </c>
    </row>
    <row r="1955" spans="8:12" x14ac:dyDescent="0.3">
      <c r="H1955" s="7" t="str">
        <f>IF(B1955&lt;&gt;"Silicone","",IFERROR(XLOOKUP(D1955,#REF!,#REF!),""))</f>
        <v/>
      </c>
      <c r="J1955" s="7" t="str">
        <f ca="1">IFERROR(XLOOKUP(D1955,'Spec_Single_H&amp;S'!B:B,'Spec_Single_H&amp;S'!E:E),
IFERROR(XLOOKUP(D1955,#REF!,#REF!),""))</f>
        <v/>
      </c>
      <c r="K1955" s="7" t="str">
        <f ca="1">IFERROR(XLOOKUP(D1955,'Spec_Single_H&amp;S'!B:B,'Spec_Single_H&amp;S'!F:F),
IFERROR(XLOOKUP(D1955,#REF!,#REF!),""))</f>
        <v/>
      </c>
      <c r="L1955" s="7" t="str">
        <f t="shared" ca="1" si="52"/>
        <v/>
      </c>
    </row>
    <row r="1956" spans="8:12" x14ac:dyDescent="0.3">
      <c r="H1956" s="7" t="str">
        <f>IF(B1956&lt;&gt;"Silicone","",IFERROR(XLOOKUP(D1956,#REF!,#REF!),""))</f>
        <v/>
      </c>
      <c r="J1956" s="7" t="str">
        <f ca="1">IFERROR(XLOOKUP(D1956,'Spec_Single_H&amp;S'!B:B,'Spec_Single_H&amp;S'!E:E),
IFERROR(XLOOKUP(D1956,#REF!,#REF!),""))</f>
        <v/>
      </c>
      <c r="K1956" s="7" t="str">
        <f ca="1">IFERROR(XLOOKUP(D1956,'Spec_Single_H&amp;S'!B:B,'Spec_Single_H&amp;S'!F:F),
IFERROR(XLOOKUP(D1956,#REF!,#REF!),""))</f>
        <v/>
      </c>
      <c r="L1956" s="7" t="str">
        <f t="shared" ca="1" si="52"/>
        <v/>
      </c>
    </row>
    <row r="1957" spans="8:12" x14ac:dyDescent="0.3">
      <c r="H1957" s="7" t="str">
        <f>IF(B1957&lt;&gt;"Silicone","",IFERROR(XLOOKUP(D1957,#REF!,#REF!),""))</f>
        <v/>
      </c>
      <c r="J1957" s="7" t="str">
        <f ca="1">IFERROR(XLOOKUP(D1957,'Spec_Single_H&amp;S'!B:B,'Spec_Single_H&amp;S'!E:E),
IFERROR(XLOOKUP(D1957,#REF!,#REF!),""))</f>
        <v/>
      </c>
      <c r="K1957" s="7" t="str">
        <f ca="1">IFERROR(XLOOKUP(D1957,'Spec_Single_H&amp;S'!B:B,'Spec_Single_H&amp;S'!F:F),
IFERROR(XLOOKUP(D1957,#REF!,#REF!),""))</f>
        <v/>
      </c>
      <c r="L1957" s="7" t="str">
        <f t="shared" ca="1" si="52"/>
        <v/>
      </c>
    </row>
    <row r="1958" spans="8:12" x14ac:dyDescent="0.3">
      <c r="H1958" s="7" t="str">
        <f>IF(B1958&lt;&gt;"Silicone","",IFERROR(XLOOKUP(D1958,#REF!,#REF!),""))</f>
        <v/>
      </c>
      <c r="J1958" s="7" t="str">
        <f ca="1">IFERROR(XLOOKUP(D1958,'Spec_Single_H&amp;S'!B:B,'Spec_Single_H&amp;S'!E:E),
IFERROR(XLOOKUP(D1958,#REF!,#REF!),""))</f>
        <v/>
      </c>
      <c r="K1958" s="7" t="str">
        <f ca="1">IFERROR(XLOOKUP(D1958,'Spec_Single_H&amp;S'!B:B,'Spec_Single_H&amp;S'!F:F),
IFERROR(XLOOKUP(D1958,#REF!,#REF!),""))</f>
        <v/>
      </c>
      <c r="L1958" s="7" t="str">
        <f t="shared" ca="1" si="52"/>
        <v/>
      </c>
    </row>
    <row r="1959" spans="8:12" x14ac:dyDescent="0.3">
      <c r="H1959" s="7" t="str">
        <f>IF(B1959&lt;&gt;"Silicone","",IFERROR(XLOOKUP(D1959,#REF!,#REF!),""))</f>
        <v/>
      </c>
      <c r="J1959" s="7" t="str">
        <f ca="1">IFERROR(XLOOKUP(D1959,'Spec_Single_H&amp;S'!B:B,'Spec_Single_H&amp;S'!E:E),
IFERROR(XLOOKUP(D1959,#REF!,#REF!),""))</f>
        <v/>
      </c>
      <c r="K1959" s="7" t="str">
        <f ca="1">IFERROR(XLOOKUP(D1959,'Spec_Single_H&amp;S'!B:B,'Spec_Single_H&amp;S'!F:F),
IFERROR(XLOOKUP(D1959,#REF!,#REF!),""))</f>
        <v/>
      </c>
      <c r="L1959" s="7" t="str">
        <f t="shared" ca="1" si="52"/>
        <v/>
      </c>
    </row>
    <row r="1960" spans="8:12" x14ac:dyDescent="0.3">
      <c r="H1960" s="7" t="str">
        <f>IF(B1960&lt;&gt;"Silicone","",IFERROR(XLOOKUP(D1960,#REF!,#REF!),""))</f>
        <v/>
      </c>
      <c r="J1960" s="7" t="str">
        <f ca="1">IFERROR(XLOOKUP(D1960,'Spec_Single_H&amp;S'!B:B,'Spec_Single_H&amp;S'!E:E),
IFERROR(XLOOKUP(D1960,#REF!,#REF!),""))</f>
        <v/>
      </c>
      <c r="K1960" s="7" t="str">
        <f ca="1">IFERROR(XLOOKUP(D1960,'Spec_Single_H&amp;S'!B:B,'Spec_Single_H&amp;S'!F:F),
IFERROR(XLOOKUP(D1960,#REF!,#REF!),""))</f>
        <v/>
      </c>
      <c r="L1960" s="7" t="str">
        <f t="shared" ca="1" si="52"/>
        <v/>
      </c>
    </row>
    <row r="1961" spans="8:12" x14ac:dyDescent="0.3">
      <c r="H1961" s="7" t="str">
        <f>IF(B1961&lt;&gt;"Silicone","",IFERROR(XLOOKUP(D1961,#REF!,#REF!),""))</f>
        <v/>
      </c>
      <c r="J1961" s="7" t="str">
        <f ca="1">IFERROR(XLOOKUP(D1961,'Spec_Single_H&amp;S'!B:B,'Spec_Single_H&amp;S'!E:E),
IFERROR(XLOOKUP(D1961,#REF!,#REF!),""))</f>
        <v/>
      </c>
      <c r="K1961" s="7" t="str">
        <f ca="1">IFERROR(XLOOKUP(D1961,'Spec_Single_H&amp;S'!B:B,'Spec_Single_H&amp;S'!F:F),
IFERROR(XLOOKUP(D1961,#REF!,#REF!),""))</f>
        <v/>
      </c>
      <c r="L1961" s="7" t="str">
        <f t="shared" ca="1" si="52"/>
        <v/>
      </c>
    </row>
    <row r="1962" spans="8:12" x14ac:dyDescent="0.3">
      <c r="H1962" s="7" t="str">
        <f>IF(B1962&lt;&gt;"Silicone","",IFERROR(XLOOKUP(D1962,#REF!,#REF!),""))</f>
        <v/>
      </c>
      <c r="J1962" s="7" t="str">
        <f ca="1">IFERROR(XLOOKUP(D1962,'Spec_Single_H&amp;S'!B:B,'Spec_Single_H&amp;S'!E:E),
IFERROR(XLOOKUP(D1962,#REF!,#REF!),""))</f>
        <v/>
      </c>
      <c r="K1962" s="7" t="str">
        <f ca="1">IFERROR(XLOOKUP(D1962,'Spec_Single_H&amp;S'!B:B,'Spec_Single_H&amp;S'!F:F),
IFERROR(XLOOKUP(D1962,#REF!,#REF!),""))</f>
        <v/>
      </c>
      <c r="L1962" s="7" t="str">
        <f t="shared" ca="1" si="52"/>
        <v/>
      </c>
    </row>
    <row r="1963" spans="8:12" x14ac:dyDescent="0.3">
      <c r="H1963" s="7" t="str">
        <f>IF(B1963&lt;&gt;"Silicone","",IFERROR(XLOOKUP(D1963,#REF!,#REF!),""))</f>
        <v/>
      </c>
      <c r="J1963" s="7" t="str">
        <f ca="1">IFERROR(XLOOKUP(D1963,'Spec_Single_H&amp;S'!B:B,'Spec_Single_H&amp;S'!E:E),
IFERROR(XLOOKUP(D1963,#REF!,#REF!),""))</f>
        <v/>
      </c>
      <c r="K1963" s="7" t="str">
        <f ca="1">IFERROR(XLOOKUP(D1963,'Spec_Single_H&amp;S'!B:B,'Spec_Single_H&amp;S'!F:F),
IFERROR(XLOOKUP(D1963,#REF!,#REF!),""))</f>
        <v/>
      </c>
      <c r="L1963" s="7" t="str">
        <f t="shared" ca="1" si="52"/>
        <v/>
      </c>
    </row>
    <row r="1964" spans="8:12" x14ac:dyDescent="0.3">
      <c r="H1964" s="7" t="str">
        <f>IF(B1964&lt;&gt;"Silicone","",IFERROR(XLOOKUP(D1964,#REF!,#REF!),""))</f>
        <v/>
      </c>
      <c r="J1964" s="7" t="str">
        <f ca="1">IFERROR(XLOOKUP(D1964,'Spec_Single_H&amp;S'!B:B,'Spec_Single_H&amp;S'!E:E),
IFERROR(XLOOKUP(D1964,#REF!,#REF!),""))</f>
        <v/>
      </c>
      <c r="K1964" s="7" t="str">
        <f ca="1">IFERROR(XLOOKUP(D1964,'Spec_Single_H&amp;S'!B:B,'Spec_Single_H&amp;S'!F:F),
IFERROR(XLOOKUP(D1964,#REF!,#REF!),""))</f>
        <v/>
      </c>
      <c r="L1964" s="7" t="str">
        <f t="shared" ca="1" si="52"/>
        <v/>
      </c>
    </row>
    <row r="1965" spans="8:12" x14ac:dyDescent="0.3">
      <c r="H1965" s="7" t="str">
        <f>IF(B1965&lt;&gt;"Silicone","",IFERROR(XLOOKUP(D1965,#REF!,#REF!),""))</f>
        <v/>
      </c>
      <c r="J1965" s="7" t="str">
        <f ca="1">IFERROR(XLOOKUP(D1965,'Spec_Single_H&amp;S'!B:B,'Spec_Single_H&amp;S'!E:E),
IFERROR(XLOOKUP(D1965,#REF!,#REF!),""))</f>
        <v/>
      </c>
      <c r="K1965" s="7" t="str">
        <f ca="1">IFERROR(XLOOKUP(D1965,'Spec_Single_H&amp;S'!B:B,'Spec_Single_H&amp;S'!F:F),
IFERROR(XLOOKUP(D1965,#REF!,#REF!),""))</f>
        <v/>
      </c>
      <c r="L1965" s="7" t="str">
        <f t="shared" ca="1" si="52"/>
        <v/>
      </c>
    </row>
    <row r="1966" spans="8:12" x14ac:dyDescent="0.3">
      <c r="H1966" s="7" t="str">
        <f>IF(B1966&lt;&gt;"Silicone","",IFERROR(XLOOKUP(D1966,#REF!,#REF!),""))</f>
        <v/>
      </c>
      <c r="J1966" s="7" t="str">
        <f ca="1">IFERROR(XLOOKUP(D1966,'Spec_Single_H&amp;S'!B:B,'Spec_Single_H&amp;S'!E:E),
IFERROR(XLOOKUP(D1966,#REF!,#REF!),""))</f>
        <v/>
      </c>
      <c r="K1966" s="7" t="str">
        <f ca="1">IFERROR(XLOOKUP(D1966,'Spec_Single_H&amp;S'!B:B,'Spec_Single_H&amp;S'!F:F),
IFERROR(XLOOKUP(D1966,#REF!,#REF!),""))</f>
        <v/>
      </c>
      <c r="L1966" s="7" t="str">
        <f t="shared" ca="1" si="52"/>
        <v/>
      </c>
    </row>
    <row r="1967" spans="8:12" x14ac:dyDescent="0.3">
      <c r="H1967" s="7" t="str">
        <f>IF(B1967&lt;&gt;"Silicone","",IFERROR(XLOOKUP(D1967,#REF!,#REF!),""))</f>
        <v/>
      </c>
      <c r="J1967" s="7" t="str">
        <f ca="1">IFERROR(XLOOKUP(D1967,'Spec_Single_H&amp;S'!B:B,'Spec_Single_H&amp;S'!E:E),
IFERROR(XLOOKUP(D1967,#REF!,#REF!),""))</f>
        <v/>
      </c>
      <c r="K1967" s="7" t="str">
        <f ca="1">IFERROR(XLOOKUP(D1967,'Spec_Single_H&amp;S'!B:B,'Spec_Single_H&amp;S'!F:F),
IFERROR(XLOOKUP(D1967,#REF!,#REF!),""))</f>
        <v/>
      </c>
      <c r="L1967" s="7" t="str">
        <f t="shared" ca="1" si="52"/>
        <v/>
      </c>
    </row>
    <row r="1968" spans="8:12" x14ac:dyDescent="0.3">
      <c r="H1968" s="7" t="str">
        <f>IF(B1968&lt;&gt;"Silicone","",IFERROR(XLOOKUP(D1968,#REF!,#REF!),""))</f>
        <v/>
      </c>
      <c r="J1968" s="7" t="str">
        <f ca="1">IFERROR(XLOOKUP(D1968,'Spec_Single_H&amp;S'!B:B,'Spec_Single_H&amp;S'!E:E),
IFERROR(XLOOKUP(D1968,#REF!,#REF!),""))</f>
        <v/>
      </c>
      <c r="K1968" s="7" t="str">
        <f ca="1">IFERROR(XLOOKUP(D1968,'Spec_Single_H&amp;S'!B:B,'Spec_Single_H&amp;S'!F:F),
IFERROR(XLOOKUP(D1968,#REF!,#REF!),""))</f>
        <v/>
      </c>
      <c r="L1968" s="7" t="str">
        <f t="shared" ca="1" si="52"/>
        <v/>
      </c>
    </row>
    <row r="1969" spans="8:12" x14ac:dyDescent="0.3">
      <c r="H1969" s="7" t="str">
        <f>IF(B1969&lt;&gt;"Silicone","",IFERROR(XLOOKUP(D1969,#REF!,#REF!),""))</f>
        <v/>
      </c>
      <c r="J1969" s="7" t="str">
        <f ca="1">IFERROR(XLOOKUP(D1969,'Spec_Single_H&amp;S'!B:B,'Spec_Single_H&amp;S'!E:E),
IFERROR(XLOOKUP(D1969,#REF!,#REF!),""))</f>
        <v/>
      </c>
      <c r="K1969" s="7" t="str">
        <f ca="1">IFERROR(XLOOKUP(D1969,'Spec_Single_H&amp;S'!B:B,'Spec_Single_H&amp;S'!F:F),
IFERROR(XLOOKUP(D1969,#REF!,#REF!),""))</f>
        <v/>
      </c>
      <c r="L1969" s="7" t="str">
        <f t="shared" ca="1" si="52"/>
        <v/>
      </c>
    </row>
    <row r="1970" spans="8:12" x14ac:dyDescent="0.3">
      <c r="H1970" s="7" t="str">
        <f>IF(B1970&lt;&gt;"Silicone","",IFERROR(XLOOKUP(D1970,#REF!,#REF!),""))</f>
        <v/>
      </c>
      <c r="J1970" s="7" t="str">
        <f ca="1">IFERROR(XLOOKUP(D1970,'Spec_Single_H&amp;S'!B:B,'Spec_Single_H&amp;S'!E:E),
IFERROR(XLOOKUP(D1970,#REF!,#REF!),""))</f>
        <v/>
      </c>
      <c r="K1970" s="7" t="str">
        <f ca="1">IFERROR(XLOOKUP(D1970,'Spec_Single_H&amp;S'!B:B,'Spec_Single_H&amp;S'!F:F),
IFERROR(XLOOKUP(D1970,#REF!,#REF!),""))</f>
        <v/>
      </c>
      <c r="L1970" s="7" t="str">
        <f t="shared" ca="1" si="52"/>
        <v/>
      </c>
    </row>
    <row r="1971" spans="8:12" x14ac:dyDescent="0.3">
      <c r="H1971" s="7" t="str">
        <f>IF(B1971&lt;&gt;"Silicone","",IFERROR(XLOOKUP(D1971,#REF!,#REF!),""))</f>
        <v/>
      </c>
      <c r="J1971" s="7" t="str">
        <f ca="1">IFERROR(XLOOKUP(D1971,'Spec_Single_H&amp;S'!B:B,'Spec_Single_H&amp;S'!E:E),
IFERROR(XLOOKUP(D1971,#REF!,#REF!),""))</f>
        <v/>
      </c>
      <c r="K1971" s="7" t="str">
        <f ca="1">IFERROR(XLOOKUP(D1971,'Spec_Single_H&amp;S'!B:B,'Spec_Single_H&amp;S'!F:F),
IFERROR(XLOOKUP(D1971,#REF!,#REF!),""))</f>
        <v/>
      </c>
      <c r="L1971" s="7" t="str">
        <f t="shared" ca="1" si="52"/>
        <v/>
      </c>
    </row>
    <row r="1972" spans="8:12" x14ac:dyDescent="0.3">
      <c r="H1972" s="7" t="str">
        <f>IF(B1972&lt;&gt;"Silicone","",IFERROR(XLOOKUP(D1972,#REF!,#REF!),""))</f>
        <v/>
      </c>
      <c r="J1972" s="7" t="str">
        <f ca="1">IFERROR(XLOOKUP(D1972,'Spec_Single_H&amp;S'!B:B,'Spec_Single_H&amp;S'!E:E),
IFERROR(XLOOKUP(D1972,#REF!,#REF!),""))</f>
        <v/>
      </c>
      <c r="K1972" s="7" t="str">
        <f ca="1">IFERROR(XLOOKUP(D1972,'Spec_Single_H&amp;S'!B:B,'Spec_Single_H&amp;S'!F:F),
IFERROR(XLOOKUP(D1972,#REF!,#REF!),""))</f>
        <v/>
      </c>
      <c r="L1972" s="7" t="str">
        <f t="shared" ca="1" si="52"/>
        <v/>
      </c>
    </row>
    <row r="1973" spans="8:12" x14ac:dyDescent="0.3">
      <c r="H1973" s="7" t="str">
        <f>IF(B1973&lt;&gt;"Silicone","",IFERROR(XLOOKUP(D1973,#REF!,#REF!),""))</f>
        <v/>
      </c>
      <c r="J1973" s="7" t="str">
        <f ca="1">IFERROR(XLOOKUP(D1973,'Spec_Single_H&amp;S'!B:B,'Spec_Single_H&amp;S'!E:E),
IFERROR(XLOOKUP(D1973,#REF!,#REF!),""))</f>
        <v/>
      </c>
      <c r="K1973" s="7" t="str">
        <f ca="1">IFERROR(XLOOKUP(D1973,'Spec_Single_H&amp;S'!B:B,'Spec_Single_H&amp;S'!F:F),
IFERROR(XLOOKUP(D1973,#REF!,#REF!),""))</f>
        <v/>
      </c>
      <c r="L1973" s="7" t="str">
        <f t="shared" ca="1" si="52"/>
        <v/>
      </c>
    </row>
    <row r="1974" spans="8:12" x14ac:dyDescent="0.3">
      <c r="H1974" s="7" t="str">
        <f>IF(B1974&lt;&gt;"Silicone","",IFERROR(XLOOKUP(D1974,#REF!,#REF!),""))</f>
        <v/>
      </c>
      <c r="J1974" s="7" t="str">
        <f ca="1">IFERROR(XLOOKUP(D1974,'Spec_Single_H&amp;S'!B:B,'Spec_Single_H&amp;S'!E:E),
IFERROR(XLOOKUP(D1974,#REF!,#REF!),""))</f>
        <v/>
      </c>
      <c r="K1974" s="7" t="str">
        <f ca="1">IFERROR(XLOOKUP(D1974,'Spec_Single_H&amp;S'!B:B,'Spec_Single_H&amp;S'!F:F),
IFERROR(XLOOKUP(D1974,#REF!,#REF!),""))</f>
        <v/>
      </c>
      <c r="L1974" s="7" t="str">
        <f t="shared" ca="1" si="52"/>
        <v/>
      </c>
    </row>
    <row r="1975" spans="8:12" x14ac:dyDescent="0.3">
      <c r="H1975" s="7" t="str">
        <f>IF(B1975&lt;&gt;"Silicone","",IFERROR(XLOOKUP(D1975,#REF!,#REF!),""))</f>
        <v/>
      </c>
      <c r="J1975" s="7" t="str">
        <f ca="1">IFERROR(XLOOKUP(D1975,'Spec_Single_H&amp;S'!B:B,'Spec_Single_H&amp;S'!E:E),
IFERROR(XLOOKUP(D1975,#REF!,#REF!),""))</f>
        <v/>
      </c>
      <c r="K1975" s="7" t="str">
        <f ca="1">IFERROR(XLOOKUP(D1975,'Spec_Single_H&amp;S'!B:B,'Spec_Single_H&amp;S'!F:F),
IFERROR(XLOOKUP(D1975,#REF!,#REF!),""))</f>
        <v/>
      </c>
      <c r="L1975" s="7" t="str">
        <f t="shared" ca="1" si="52"/>
        <v/>
      </c>
    </row>
    <row r="1976" spans="8:12" x14ac:dyDescent="0.3">
      <c r="H1976" s="7" t="str">
        <f>IF(B1976&lt;&gt;"Silicone","",IFERROR(XLOOKUP(D1976,#REF!,#REF!),""))</f>
        <v/>
      </c>
      <c r="J1976" s="7" t="str">
        <f ca="1">IFERROR(XLOOKUP(D1976,'Spec_Single_H&amp;S'!B:B,'Spec_Single_H&amp;S'!E:E),
IFERROR(XLOOKUP(D1976,#REF!,#REF!),""))</f>
        <v/>
      </c>
      <c r="K1976" s="7" t="str">
        <f ca="1">IFERROR(XLOOKUP(D1976,'Spec_Single_H&amp;S'!B:B,'Spec_Single_H&amp;S'!F:F),
IFERROR(XLOOKUP(D1976,#REF!,#REF!),""))</f>
        <v/>
      </c>
      <c r="L1976" s="7" t="str">
        <f t="shared" ca="1" si="52"/>
        <v/>
      </c>
    </row>
    <row r="1977" spans="8:12" x14ac:dyDescent="0.3">
      <c r="H1977" s="7" t="str">
        <f>IF(B1977&lt;&gt;"Silicone","",IFERROR(XLOOKUP(D1977,#REF!,#REF!),""))</f>
        <v/>
      </c>
      <c r="J1977" s="7" t="str">
        <f ca="1">IFERROR(XLOOKUP(D1977,'Spec_Single_H&amp;S'!B:B,'Spec_Single_H&amp;S'!E:E),
IFERROR(XLOOKUP(D1977,#REF!,#REF!),""))</f>
        <v/>
      </c>
      <c r="K1977" s="7" t="str">
        <f ca="1">IFERROR(XLOOKUP(D1977,'Spec_Single_H&amp;S'!B:B,'Spec_Single_H&amp;S'!F:F),
IFERROR(XLOOKUP(D1977,#REF!,#REF!),""))</f>
        <v/>
      </c>
      <c r="L1977" s="7" t="str">
        <f t="shared" ca="1" si="52"/>
        <v/>
      </c>
    </row>
    <row r="1978" spans="8:12" x14ac:dyDescent="0.3">
      <c r="H1978" s="7" t="str">
        <f>IF(B1978&lt;&gt;"Silicone","",IFERROR(XLOOKUP(D1978,#REF!,#REF!),""))</f>
        <v/>
      </c>
      <c r="J1978" s="7" t="str">
        <f ca="1">IFERROR(XLOOKUP(D1978,'Spec_Single_H&amp;S'!B:B,'Spec_Single_H&amp;S'!E:E),
IFERROR(XLOOKUP(D1978,#REF!,#REF!),""))</f>
        <v/>
      </c>
      <c r="K1978" s="7" t="str">
        <f ca="1">IFERROR(XLOOKUP(D1978,'Spec_Single_H&amp;S'!B:B,'Spec_Single_H&amp;S'!F:F),
IFERROR(XLOOKUP(D1978,#REF!,#REF!),""))</f>
        <v/>
      </c>
      <c r="L1978" s="7" t="str">
        <f t="shared" ca="1" si="52"/>
        <v/>
      </c>
    </row>
    <row r="1979" spans="8:12" x14ac:dyDescent="0.3">
      <c r="H1979" s="7" t="str">
        <f>IF(B1979&lt;&gt;"Silicone","",IFERROR(XLOOKUP(D1979,#REF!,#REF!),""))</f>
        <v/>
      </c>
      <c r="J1979" s="7" t="str">
        <f ca="1">IFERROR(XLOOKUP(D1979,'Spec_Single_H&amp;S'!B:B,'Spec_Single_H&amp;S'!E:E),
IFERROR(XLOOKUP(D1979,#REF!,#REF!),""))</f>
        <v/>
      </c>
      <c r="K1979" s="7" t="str">
        <f ca="1">IFERROR(XLOOKUP(D1979,'Spec_Single_H&amp;S'!B:B,'Spec_Single_H&amp;S'!F:F),
IFERROR(XLOOKUP(D1979,#REF!,#REF!),""))</f>
        <v/>
      </c>
      <c r="L1979" s="7" t="str">
        <f t="shared" ca="1" si="52"/>
        <v/>
      </c>
    </row>
    <row r="1980" spans="8:12" x14ac:dyDescent="0.3">
      <c r="H1980" s="7" t="str">
        <f>IF(B1980&lt;&gt;"Silicone","",IFERROR(XLOOKUP(D1980,#REF!,#REF!),""))</f>
        <v/>
      </c>
      <c r="J1980" s="7" t="str">
        <f ca="1">IFERROR(XLOOKUP(D1980,'Spec_Single_H&amp;S'!B:B,'Spec_Single_H&amp;S'!E:E),
IFERROR(XLOOKUP(D1980,#REF!,#REF!),""))</f>
        <v/>
      </c>
      <c r="K1980" s="7" t="str">
        <f ca="1">IFERROR(XLOOKUP(D1980,'Spec_Single_H&amp;S'!B:B,'Spec_Single_H&amp;S'!F:F),
IFERROR(XLOOKUP(D1980,#REF!,#REF!),""))</f>
        <v/>
      </c>
      <c r="L1980" s="7" t="str">
        <f t="shared" ca="1" si="52"/>
        <v/>
      </c>
    </row>
    <row r="1981" spans="8:12" x14ac:dyDescent="0.3">
      <c r="H1981" s="7" t="str">
        <f>IF(B1981&lt;&gt;"Silicone","",IFERROR(XLOOKUP(D1981,#REF!,#REF!),""))</f>
        <v/>
      </c>
      <c r="J1981" s="7" t="str">
        <f ca="1">IFERROR(XLOOKUP(D1981,'Spec_Single_H&amp;S'!B:B,'Spec_Single_H&amp;S'!E:E),
IFERROR(XLOOKUP(D1981,#REF!,#REF!),""))</f>
        <v/>
      </c>
      <c r="K1981" s="7" t="str">
        <f ca="1">IFERROR(XLOOKUP(D1981,'Spec_Single_H&amp;S'!B:B,'Spec_Single_H&amp;S'!F:F),
IFERROR(XLOOKUP(D1981,#REF!,#REF!),""))</f>
        <v/>
      </c>
      <c r="L1981" s="7" t="str">
        <f t="shared" ca="1" si="52"/>
        <v/>
      </c>
    </row>
    <row r="1982" spans="8:12" x14ac:dyDescent="0.3">
      <c r="H1982" s="7" t="str">
        <f>IF(B1982&lt;&gt;"Silicone","",IFERROR(XLOOKUP(D1982,#REF!,#REF!),""))</f>
        <v/>
      </c>
      <c r="J1982" s="7" t="str">
        <f ca="1">IFERROR(XLOOKUP(D1982,'Spec_Single_H&amp;S'!B:B,'Spec_Single_H&amp;S'!E:E),
IFERROR(XLOOKUP(D1982,#REF!,#REF!),""))</f>
        <v/>
      </c>
      <c r="K1982" s="7" t="str">
        <f ca="1">IFERROR(XLOOKUP(D1982,'Spec_Single_H&amp;S'!B:B,'Spec_Single_H&amp;S'!F:F),
IFERROR(XLOOKUP(D1982,#REF!,#REF!),""))</f>
        <v/>
      </c>
      <c r="L1982" s="7" t="str">
        <f t="shared" ca="1" si="52"/>
        <v/>
      </c>
    </row>
    <row r="1983" spans="8:12" x14ac:dyDescent="0.3">
      <c r="H1983" s="7" t="str">
        <f>IF(B1983&lt;&gt;"Silicone","",IFERROR(XLOOKUP(D1983,#REF!,#REF!),""))</f>
        <v/>
      </c>
      <c r="J1983" s="7" t="str">
        <f ca="1">IFERROR(XLOOKUP(D1983,'Spec_Single_H&amp;S'!B:B,'Spec_Single_H&amp;S'!E:E),
IFERROR(XLOOKUP(D1983,#REF!,#REF!),""))</f>
        <v/>
      </c>
      <c r="K1983" s="7" t="str">
        <f ca="1">IFERROR(XLOOKUP(D1983,'Spec_Single_H&amp;S'!B:B,'Spec_Single_H&amp;S'!F:F),
IFERROR(XLOOKUP(D1983,#REF!,#REF!),""))</f>
        <v/>
      </c>
      <c r="L1983" s="7" t="str">
        <f t="shared" ca="1" si="52"/>
        <v/>
      </c>
    </row>
    <row r="1984" spans="8:12" x14ac:dyDescent="0.3">
      <c r="H1984" s="7" t="str">
        <f>IF(B1984&lt;&gt;"Silicone","",IFERROR(XLOOKUP(D1984,#REF!,#REF!),""))</f>
        <v/>
      </c>
      <c r="J1984" s="7" t="str">
        <f ca="1">IFERROR(XLOOKUP(D1984,'Spec_Single_H&amp;S'!B:B,'Spec_Single_H&amp;S'!E:E),
IFERROR(XLOOKUP(D1984,#REF!,#REF!),""))</f>
        <v/>
      </c>
      <c r="K1984" s="7" t="str">
        <f ca="1">IFERROR(XLOOKUP(D1984,'Spec_Single_H&amp;S'!B:B,'Spec_Single_H&amp;S'!F:F),
IFERROR(XLOOKUP(D1984,#REF!,#REF!),""))</f>
        <v/>
      </c>
      <c r="L1984" s="7" t="str">
        <f t="shared" ca="1" si="52"/>
        <v/>
      </c>
    </row>
    <row r="1985" spans="8:12" x14ac:dyDescent="0.3">
      <c r="H1985" s="7" t="str">
        <f>IF(B1985&lt;&gt;"Silicone","",IFERROR(XLOOKUP(D1985,#REF!,#REF!),""))</f>
        <v/>
      </c>
      <c r="J1985" s="7" t="str">
        <f ca="1">IFERROR(XLOOKUP(D1985,'Spec_Single_H&amp;S'!B:B,'Spec_Single_H&amp;S'!E:E),
IFERROR(XLOOKUP(D1985,#REF!,#REF!),""))</f>
        <v/>
      </c>
      <c r="K1985" s="7" t="str">
        <f ca="1">IFERROR(XLOOKUP(D1985,'Spec_Single_H&amp;S'!B:B,'Spec_Single_H&amp;S'!F:F),
IFERROR(XLOOKUP(D1985,#REF!,#REF!),""))</f>
        <v/>
      </c>
      <c r="L1985" s="7" t="str">
        <f t="shared" ca="1" si="52"/>
        <v/>
      </c>
    </row>
    <row r="1986" spans="8:12" x14ac:dyDescent="0.3">
      <c r="H1986" s="7" t="str">
        <f>IF(B1986&lt;&gt;"Silicone","",IFERROR(XLOOKUP(D1986,#REF!,#REF!),""))</f>
        <v/>
      </c>
      <c r="J1986" s="7" t="str">
        <f ca="1">IFERROR(XLOOKUP(D1986,'Spec_Single_H&amp;S'!B:B,'Spec_Single_H&amp;S'!E:E),
IFERROR(XLOOKUP(D1986,#REF!,#REF!),""))</f>
        <v/>
      </c>
      <c r="K1986" s="7" t="str">
        <f ca="1">IFERROR(XLOOKUP(D1986,'Spec_Single_H&amp;S'!B:B,'Spec_Single_H&amp;S'!F:F),
IFERROR(XLOOKUP(D1986,#REF!,#REF!),""))</f>
        <v/>
      </c>
      <c r="L1986" s="7" t="str">
        <f t="shared" ca="1" si="52"/>
        <v/>
      </c>
    </row>
    <row r="1987" spans="8:12" x14ac:dyDescent="0.3">
      <c r="H1987" s="7" t="str">
        <f>IF(B1987&lt;&gt;"Silicone","",IFERROR(XLOOKUP(D1987,#REF!,#REF!),""))</f>
        <v/>
      </c>
      <c r="J1987" s="7" t="str">
        <f ca="1">IFERROR(XLOOKUP(D1987,'Spec_Single_H&amp;S'!B:B,'Spec_Single_H&amp;S'!E:E),
IFERROR(XLOOKUP(D1987,#REF!,#REF!),""))</f>
        <v/>
      </c>
      <c r="K1987" s="7" t="str">
        <f ca="1">IFERROR(XLOOKUP(D1987,'Spec_Single_H&amp;S'!B:B,'Spec_Single_H&amp;S'!F:F),
IFERROR(XLOOKUP(D1987,#REF!,#REF!),""))</f>
        <v/>
      </c>
      <c r="L1987" s="7" t="str">
        <f t="shared" ca="1" si="52"/>
        <v/>
      </c>
    </row>
    <row r="1988" spans="8:12" x14ac:dyDescent="0.3">
      <c r="H1988" s="7" t="str">
        <f>IF(B1988&lt;&gt;"Silicone","",IFERROR(XLOOKUP(D1988,#REF!,#REF!),""))</f>
        <v/>
      </c>
      <c r="J1988" s="7" t="str">
        <f ca="1">IFERROR(XLOOKUP(D1988,'Spec_Single_H&amp;S'!B:B,'Spec_Single_H&amp;S'!E:E),
IFERROR(XLOOKUP(D1988,#REF!,#REF!),""))</f>
        <v/>
      </c>
      <c r="K1988" s="7" t="str">
        <f ca="1">IFERROR(XLOOKUP(D1988,'Spec_Single_H&amp;S'!B:B,'Spec_Single_H&amp;S'!F:F),
IFERROR(XLOOKUP(D1988,#REF!,#REF!),""))</f>
        <v/>
      </c>
      <c r="L1988" s="7" t="str">
        <f t="shared" ca="1" si="52"/>
        <v/>
      </c>
    </row>
    <row r="1989" spans="8:12" x14ac:dyDescent="0.3">
      <c r="H1989" s="7" t="str">
        <f>IF(B1989&lt;&gt;"Silicone","",IFERROR(XLOOKUP(D1989,#REF!,#REF!),""))</f>
        <v/>
      </c>
      <c r="J1989" s="7" t="str">
        <f ca="1">IFERROR(XLOOKUP(D1989,'Spec_Single_H&amp;S'!B:B,'Spec_Single_H&amp;S'!E:E),
IFERROR(XLOOKUP(D1989,#REF!,#REF!),""))</f>
        <v/>
      </c>
      <c r="K1989" s="7" t="str">
        <f ca="1">IFERROR(XLOOKUP(D1989,'Spec_Single_H&amp;S'!B:B,'Spec_Single_H&amp;S'!F:F),
IFERROR(XLOOKUP(D1989,#REF!,#REF!),""))</f>
        <v/>
      </c>
      <c r="L1989" s="7" t="str">
        <f t="shared" ca="1" si="52"/>
        <v/>
      </c>
    </row>
    <row r="1990" spans="8:12" x14ac:dyDescent="0.3">
      <c r="H1990" s="7" t="str">
        <f>IF(B1990&lt;&gt;"Silicone","",IFERROR(XLOOKUP(D1990,#REF!,#REF!),""))</f>
        <v/>
      </c>
      <c r="J1990" s="7" t="str">
        <f ca="1">IFERROR(XLOOKUP(D1990,'Spec_Single_H&amp;S'!B:B,'Spec_Single_H&amp;S'!E:E),
IFERROR(XLOOKUP(D1990,#REF!,#REF!),""))</f>
        <v/>
      </c>
      <c r="K1990" s="7" t="str">
        <f ca="1">IFERROR(XLOOKUP(D1990,'Spec_Single_H&amp;S'!B:B,'Spec_Single_H&amp;S'!F:F),
IFERROR(XLOOKUP(D1990,#REF!,#REF!),""))</f>
        <v/>
      </c>
      <c r="L1990" s="7" t="str">
        <f t="shared" ca="1" si="52"/>
        <v/>
      </c>
    </row>
    <row r="1991" spans="8:12" x14ac:dyDescent="0.3">
      <c r="H1991" s="7" t="str">
        <f>IF(B1991&lt;&gt;"Silicone","",IFERROR(XLOOKUP(D1991,#REF!,#REF!),""))</f>
        <v/>
      </c>
      <c r="J1991" s="7" t="str">
        <f ca="1">IFERROR(XLOOKUP(D1991,'Spec_Single_H&amp;S'!B:B,'Spec_Single_H&amp;S'!E:E),
IFERROR(XLOOKUP(D1991,#REF!,#REF!),""))</f>
        <v/>
      </c>
      <c r="K1991" s="7" t="str">
        <f ca="1">IFERROR(XLOOKUP(D1991,'Spec_Single_H&amp;S'!B:B,'Spec_Single_H&amp;S'!F:F),
IFERROR(XLOOKUP(D1991,#REF!,#REF!),""))</f>
        <v/>
      </c>
      <c r="L1991" s="7" t="str">
        <f t="shared" ca="1" si="52"/>
        <v/>
      </c>
    </row>
    <row r="1992" spans="8:12" x14ac:dyDescent="0.3">
      <c r="H1992" s="7" t="str">
        <f>IF(B1992&lt;&gt;"Silicone","",IFERROR(XLOOKUP(D1992,#REF!,#REF!),""))</f>
        <v/>
      </c>
      <c r="J1992" s="7" t="str">
        <f ca="1">IFERROR(XLOOKUP(D1992,'Spec_Single_H&amp;S'!B:B,'Spec_Single_H&amp;S'!E:E),
IFERROR(XLOOKUP(D1992,#REF!,#REF!),""))</f>
        <v/>
      </c>
      <c r="K1992" s="7" t="str">
        <f ca="1">IFERROR(XLOOKUP(D1992,'Spec_Single_H&amp;S'!B:B,'Spec_Single_H&amp;S'!F:F),
IFERROR(XLOOKUP(D1992,#REF!,#REF!),""))</f>
        <v/>
      </c>
      <c r="L1992" s="7" t="str">
        <f t="shared" ref="L1992:L2006" ca="1" si="53">IF(AND(NOT(ISBLANK(I1992)),I1992&gt;=J1992,I1992&lt;=K1992),"적합",IF(ISBLANK(I1992),"", "부적합"))</f>
        <v/>
      </c>
    </row>
    <row r="1993" spans="8:12" x14ac:dyDescent="0.3">
      <c r="H1993" s="7" t="str">
        <f>IF(B1993&lt;&gt;"Silicone","",IFERROR(XLOOKUP(D1993,#REF!,#REF!),""))</f>
        <v/>
      </c>
      <c r="J1993" s="7" t="str">
        <f ca="1">IFERROR(XLOOKUP(D1993,'Spec_Single_H&amp;S'!B:B,'Spec_Single_H&amp;S'!E:E),
IFERROR(XLOOKUP(D1993,#REF!,#REF!),""))</f>
        <v/>
      </c>
      <c r="K1993" s="7" t="str">
        <f ca="1">IFERROR(XLOOKUP(D1993,'Spec_Single_H&amp;S'!B:B,'Spec_Single_H&amp;S'!F:F),
IFERROR(XLOOKUP(D1993,#REF!,#REF!),""))</f>
        <v/>
      </c>
      <c r="L1993" s="7" t="str">
        <f t="shared" ca="1" si="53"/>
        <v/>
      </c>
    </row>
    <row r="1994" spans="8:12" x14ac:dyDescent="0.3">
      <c r="H1994" s="7" t="str">
        <f>IF(B1994&lt;&gt;"Silicone","",IFERROR(XLOOKUP(D1994,#REF!,#REF!),""))</f>
        <v/>
      </c>
      <c r="J1994" s="7" t="str">
        <f ca="1">IFERROR(XLOOKUP(D1994,'Spec_Single_H&amp;S'!B:B,'Spec_Single_H&amp;S'!E:E),
IFERROR(XLOOKUP(D1994,#REF!,#REF!),""))</f>
        <v/>
      </c>
      <c r="K1994" s="7" t="str">
        <f ca="1">IFERROR(XLOOKUP(D1994,'Spec_Single_H&amp;S'!B:B,'Spec_Single_H&amp;S'!F:F),
IFERROR(XLOOKUP(D1994,#REF!,#REF!),""))</f>
        <v/>
      </c>
      <c r="L1994" s="7" t="str">
        <f t="shared" ca="1" si="53"/>
        <v/>
      </c>
    </row>
    <row r="1995" spans="8:12" x14ac:dyDescent="0.3">
      <c r="H1995" s="7" t="str">
        <f>IF(B1995&lt;&gt;"Silicone","",IFERROR(XLOOKUP(D1995,#REF!,#REF!),""))</f>
        <v/>
      </c>
      <c r="J1995" s="7" t="str">
        <f ca="1">IFERROR(XLOOKUP(D1995,'Spec_Single_H&amp;S'!B:B,'Spec_Single_H&amp;S'!E:E),
IFERROR(XLOOKUP(D1995,#REF!,#REF!),""))</f>
        <v/>
      </c>
      <c r="K1995" s="7" t="str">
        <f ca="1">IFERROR(XLOOKUP(D1995,'Spec_Single_H&amp;S'!B:B,'Spec_Single_H&amp;S'!F:F),
IFERROR(XLOOKUP(D1995,#REF!,#REF!),""))</f>
        <v/>
      </c>
      <c r="L1995" s="7" t="str">
        <f t="shared" ca="1" si="53"/>
        <v/>
      </c>
    </row>
    <row r="1996" spans="8:12" x14ac:dyDescent="0.3">
      <c r="H1996" s="7" t="str">
        <f>IF(B1996&lt;&gt;"Silicone","",IFERROR(XLOOKUP(D1996,#REF!,#REF!),""))</f>
        <v/>
      </c>
      <c r="J1996" s="7" t="str">
        <f ca="1">IFERROR(XLOOKUP(D1996,'Spec_Single_H&amp;S'!B:B,'Spec_Single_H&amp;S'!E:E),
IFERROR(XLOOKUP(D1996,#REF!,#REF!),""))</f>
        <v/>
      </c>
      <c r="K1996" s="7" t="str">
        <f ca="1">IFERROR(XLOOKUP(D1996,'Spec_Single_H&amp;S'!B:B,'Spec_Single_H&amp;S'!F:F),
IFERROR(XLOOKUP(D1996,#REF!,#REF!),""))</f>
        <v/>
      </c>
      <c r="L1996" s="7" t="str">
        <f t="shared" ca="1" si="53"/>
        <v/>
      </c>
    </row>
    <row r="1997" spans="8:12" x14ac:dyDescent="0.3">
      <c r="H1997" s="7" t="str">
        <f>IF(B1997&lt;&gt;"Silicone","",IFERROR(XLOOKUP(D1997,#REF!,#REF!),""))</f>
        <v/>
      </c>
      <c r="J1997" s="7" t="str">
        <f ca="1">IFERROR(XLOOKUP(D1997,'Spec_Single_H&amp;S'!B:B,'Spec_Single_H&amp;S'!E:E),
IFERROR(XLOOKUP(D1997,#REF!,#REF!),""))</f>
        <v/>
      </c>
      <c r="K1997" s="7" t="str">
        <f ca="1">IFERROR(XLOOKUP(D1997,'Spec_Single_H&amp;S'!B:B,'Spec_Single_H&amp;S'!F:F),
IFERROR(XLOOKUP(D1997,#REF!,#REF!),""))</f>
        <v/>
      </c>
      <c r="L1997" s="7" t="str">
        <f t="shared" ca="1" si="53"/>
        <v/>
      </c>
    </row>
    <row r="1998" spans="8:12" x14ac:dyDescent="0.3">
      <c r="H1998" s="7" t="str">
        <f>IF(B1998&lt;&gt;"Silicone","",IFERROR(XLOOKUP(D1998,#REF!,#REF!),""))</f>
        <v/>
      </c>
      <c r="J1998" s="7" t="str">
        <f ca="1">IFERROR(XLOOKUP(D1998,'Spec_Single_H&amp;S'!B:B,'Spec_Single_H&amp;S'!E:E),
IFERROR(XLOOKUP(D1998,#REF!,#REF!),""))</f>
        <v/>
      </c>
      <c r="K1998" s="7" t="str">
        <f ca="1">IFERROR(XLOOKUP(D1998,'Spec_Single_H&amp;S'!B:B,'Spec_Single_H&amp;S'!F:F),
IFERROR(XLOOKUP(D1998,#REF!,#REF!),""))</f>
        <v/>
      </c>
      <c r="L1998" s="7" t="str">
        <f t="shared" ca="1" si="53"/>
        <v/>
      </c>
    </row>
    <row r="1999" spans="8:12" x14ac:dyDescent="0.3">
      <c r="H1999" s="7" t="str">
        <f>IF(B1999&lt;&gt;"Silicone","",IFERROR(XLOOKUP(D1999,#REF!,#REF!),""))</f>
        <v/>
      </c>
      <c r="J1999" s="7" t="str">
        <f ca="1">IFERROR(XLOOKUP(D1999,'Spec_Single_H&amp;S'!B:B,'Spec_Single_H&amp;S'!E:E),
IFERROR(XLOOKUP(D1999,#REF!,#REF!),""))</f>
        <v/>
      </c>
      <c r="K1999" s="7" t="str">
        <f ca="1">IFERROR(XLOOKUP(D1999,'Spec_Single_H&amp;S'!B:B,'Spec_Single_H&amp;S'!F:F),
IFERROR(XLOOKUP(D1999,#REF!,#REF!),""))</f>
        <v/>
      </c>
      <c r="L1999" s="7" t="str">
        <f t="shared" ca="1" si="53"/>
        <v/>
      </c>
    </row>
    <row r="2000" spans="8:12" x14ac:dyDescent="0.3">
      <c r="H2000" s="7" t="str">
        <f>IF(B2000&lt;&gt;"Silicone","",IFERROR(XLOOKUP(D2000,#REF!,#REF!),""))</f>
        <v/>
      </c>
      <c r="J2000" s="7" t="str">
        <f ca="1">IFERROR(XLOOKUP(D2000,'Spec_Single_H&amp;S'!B:B,'Spec_Single_H&amp;S'!E:E),
IFERROR(XLOOKUP(D2000,#REF!,#REF!),""))</f>
        <v/>
      </c>
      <c r="K2000" s="7" t="str">
        <f ca="1">IFERROR(XLOOKUP(D2000,'Spec_Single_H&amp;S'!B:B,'Spec_Single_H&amp;S'!F:F),
IFERROR(XLOOKUP(D2000,#REF!,#REF!),""))</f>
        <v/>
      </c>
      <c r="L2000" s="7" t="str">
        <f t="shared" ca="1" si="53"/>
        <v/>
      </c>
    </row>
    <row r="2001" spans="8:12" x14ac:dyDescent="0.3">
      <c r="H2001" s="7" t="str">
        <f>IF(B2001&lt;&gt;"Silicone","",IFERROR(XLOOKUP(D2001,#REF!,#REF!),""))</f>
        <v/>
      </c>
      <c r="J2001" s="7" t="str">
        <f ca="1">IFERROR(XLOOKUP(D2001,'Spec_Single_H&amp;S'!B:B,'Spec_Single_H&amp;S'!E:E),
IFERROR(XLOOKUP(D2001,#REF!,#REF!),""))</f>
        <v/>
      </c>
      <c r="K2001" s="7" t="str">
        <f ca="1">IFERROR(XLOOKUP(D2001,'Spec_Single_H&amp;S'!B:B,'Spec_Single_H&amp;S'!F:F),
IFERROR(XLOOKUP(D2001,#REF!,#REF!),""))</f>
        <v/>
      </c>
      <c r="L2001" s="7" t="str">
        <f t="shared" ca="1" si="53"/>
        <v/>
      </c>
    </row>
    <row r="2002" spans="8:12" x14ac:dyDescent="0.3">
      <c r="H2002" s="7" t="str">
        <f>IF(B2002&lt;&gt;"Silicone","",IFERROR(XLOOKUP(D2002,#REF!,#REF!),""))</f>
        <v/>
      </c>
      <c r="J2002" s="7" t="str">
        <f ca="1">IFERROR(XLOOKUP(D2002,'Spec_Single_H&amp;S'!B:B,'Spec_Single_H&amp;S'!E:E),
IFERROR(XLOOKUP(D2002,#REF!,#REF!),""))</f>
        <v/>
      </c>
      <c r="K2002" s="7" t="str">
        <f ca="1">IFERROR(XLOOKUP(D2002,'Spec_Single_H&amp;S'!B:B,'Spec_Single_H&amp;S'!F:F),
IFERROR(XLOOKUP(D2002,#REF!,#REF!),""))</f>
        <v/>
      </c>
      <c r="L2002" s="7" t="str">
        <f t="shared" ca="1" si="53"/>
        <v/>
      </c>
    </row>
    <row r="2003" spans="8:12" x14ac:dyDescent="0.3">
      <c r="H2003" s="7" t="str">
        <f>IF(B2003&lt;&gt;"Silicone","",IFERROR(XLOOKUP(D2003,#REF!,#REF!),""))</f>
        <v/>
      </c>
      <c r="J2003" s="7" t="str">
        <f ca="1">IFERROR(XLOOKUP(D2003,'Spec_Single_H&amp;S'!B:B,'Spec_Single_H&amp;S'!E:E),
IFERROR(XLOOKUP(D2003,#REF!,#REF!),""))</f>
        <v/>
      </c>
      <c r="K2003" s="7" t="str">
        <f ca="1">IFERROR(XLOOKUP(D2003,'Spec_Single_H&amp;S'!B:B,'Spec_Single_H&amp;S'!F:F),
IFERROR(XLOOKUP(D2003,#REF!,#REF!),""))</f>
        <v/>
      </c>
      <c r="L2003" s="7" t="str">
        <f t="shared" ca="1" si="53"/>
        <v/>
      </c>
    </row>
    <row r="2004" spans="8:12" x14ac:dyDescent="0.3">
      <c r="H2004" s="7" t="str">
        <f>IF(B2004&lt;&gt;"Silicone","",IFERROR(XLOOKUP(D2004,#REF!,#REF!),""))</f>
        <v/>
      </c>
      <c r="J2004" s="7" t="str">
        <f ca="1">IFERROR(XLOOKUP(D2004,'Spec_Single_H&amp;S'!B:B,'Spec_Single_H&amp;S'!E:E),
IFERROR(XLOOKUP(D2004,#REF!,#REF!),""))</f>
        <v/>
      </c>
      <c r="K2004" s="7" t="str">
        <f ca="1">IFERROR(XLOOKUP(D2004,'Spec_Single_H&amp;S'!B:B,'Spec_Single_H&amp;S'!F:F),
IFERROR(XLOOKUP(D2004,#REF!,#REF!),""))</f>
        <v/>
      </c>
      <c r="L2004" s="7" t="str">
        <f t="shared" ca="1" si="53"/>
        <v/>
      </c>
    </row>
    <row r="2005" spans="8:12" x14ac:dyDescent="0.3">
      <c r="H2005" s="7" t="str">
        <f>IF(B2005&lt;&gt;"Silicone","",IFERROR(XLOOKUP(D2005,#REF!,#REF!),""))</f>
        <v/>
      </c>
      <c r="J2005" s="7" t="str">
        <f ca="1">IFERROR(XLOOKUP(D2005,'Spec_Single_H&amp;S'!B:B,'Spec_Single_H&amp;S'!E:E),
IFERROR(XLOOKUP(D2005,#REF!,#REF!),""))</f>
        <v/>
      </c>
      <c r="K2005" s="7" t="str">
        <f ca="1">IFERROR(XLOOKUP(D2005,'Spec_Single_H&amp;S'!B:B,'Spec_Single_H&amp;S'!F:F),
IFERROR(XLOOKUP(D2005,#REF!,#REF!),""))</f>
        <v/>
      </c>
      <c r="L2005" s="7" t="str">
        <f t="shared" ca="1" si="53"/>
        <v/>
      </c>
    </row>
    <row r="2006" spans="8:12" x14ac:dyDescent="0.3">
      <c r="H2006" s="7" t="str">
        <f>IF(B2006&lt;&gt;"Silicone","",IFERROR(XLOOKUP(D2006,#REF!,#REF!),""))</f>
        <v/>
      </c>
      <c r="J2006" s="7" t="str">
        <f ca="1">IFERROR(XLOOKUP(D2006,'Spec_Single_H&amp;S'!B:B,'Spec_Single_H&amp;S'!E:E),
IFERROR(XLOOKUP(D2006,#REF!,#REF!),""))</f>
        <v/>
      </c>
      <c r="K2006" s="7" t="str">
        <f ca="1">IFERROR(XLOOKUP(D2006,'Spec_Single_H&amp;S'!B:B,'Spec_Single_H&amp;S'!F:F),
IFERROR(XLOOKUP(D2006,#REF!,#REF!),""))</f>
        <v/>
      </c>
      <c r="L2006" s="7" t="str">
        <f t="shared" ca="1" si="53"/>
        <v/>
      </c>
    </row>
  </sheetData>
  <sortState ref="A2:BB35">
    <sortCondition ref="A2"/>
  </sortState>
  <phoneticPr fontId="4" type="noConversion"/>
  <conditionalFormatting sqref="L3:L16 L25:L56 L58:L137">
    <cfRule type="containsText" dxfId="9" priority="10" operator="containsText" text="부적합">
      <formula>NOT(ISERROR(SEARCH("부적합",L3)))</formula>
    </cfRule>
  </conditionalFormatting>
  <conditionalFormatting sqref="L23">
    <cfRule type="containsText" dxfId="8" priority="9" operator="containsText" text="부적합">
      <formula>NOT(ISERROR(SEARCH("부적합",L23)))</formula>
    </cfRule>
  </conditionalFormatting>
  <conditionalFormatting sqref="L24">
    <cfRule type="containsText" dxfId="7" priority="8" operator="containsText" text="부적합">
      <formula>NOT(ISERROR(SEARCH("부적합",L24)))</formula>
    </cfRule>
  </conditionalFormatting>
  <conditionalFormatting sqref="L17">
    <cfRule type="containsText" dxfId="6" priority="7" operator="containsText" text="부적합">
      <formula>NOT(ISERROR(SEARCH("부적합",L17)))</formula>
    </cfRule>
  </conditionalFormatting>
  <conditionalFormatting sqref="L18">
    <cfRule type="containsText" dxfId="5" priority="6" operator="containsText" text="부적합">
      <formula>NOT(ISERROR(SEARCH("부적합",L18)))</formula>
    </cfRule>
  </conditionalFormatting>
  <conditionalFormatting sqref="L19">
    <cfRule type="containsText" dxfId="4" priority="5" operator="containsText" text="부적합">
      <formula>NOT(ISERROR(SEARCH("부적합",L19)))</formula>
    </cfRule>
  </conditionalFormatting>
  <conditionalFormatting sqref="L20">
    <cfRule type="containsText" dxfId="3" priority="4" operator="containsText" text="부적합">
      <formula>NOT(ISERROR(SEARCH("부적합",L20)))</formula>
    </cfRule>
  </conditionalFormatting>
  <conditionalFormatting sqref="L21">
    <cfRule type="containsText" dxfId="2" priority="3" operator="containsText" text="부적합">
      <formula>NOT(ISERROR(SEARCH("부적합",L21)))</formula>
    </cfRule>
  </conditionalFormatting>
  <conditionalFormatting sqref="L22">
    <cfRule type="containsText" dxfId="1" priority="2" operator="containsText" text="부적합">
      <formula>NOT(ISERROR(SEARCH("부적합",L22)))</formula>
    </cfRule>
  </conditionalFormatting>
  <conditionalFormatting sqref="L57">
    <cfRule type="containsText" dxfId="0" priority="1" operator="containsText" text="부적합">
      <formula>NOT(ISERROR(SEARCH("부적합",L57)))</formula>
    </cfRule>
  </conditionalFormatting>
  <dataValidations count="5">
    <dataValidation type="list" allowBlank="1" showInputMessage="1" showErrorMessage="1" sqref="G27:G28 G2:G25">
      <formula1>"내부,외주"</formula1>
    </dataValidation>
    <dataValidation type="list" allowBlank="1" showInputMessage="1" showErrorMessage="1" sqref="G26">
      <formula1>$G:$G</formula1>
    </dataValidation>
    <dataValidation type="list" allowBlank="1" sqref="B2:B1006">
      <formula1>"HEMA,Silicone"</formula1>
    </dataValidation>
    <dataValidation type="list" allowBlank="1" sqref="C2:C1006">
      <formula1>"Black,White,Blue,Green,Yellow,Red,Pink"</formula1>
    </dataValidation>
    <dataValidation type="list" allowBlank="1" showInputMessage="1" showErrorMessage="1" sqref="D2:D2006">
      <formula1>INDIRECT(SUBSTITUTE(C2,"-","_"))</formula1>
    </dataValidation>
  </dataValidations>
  <pageMargins left="0.75" right="0.75" top="1" bottom="1" header="0.5" footer="0.5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40"/>
  <sheetViews>
    <sheetView workbookViewId="0"/>
  </sheetViews>
  <sheetFormatPr defaultRowHeight="16.5" x14ac:dyDescent="0.3"/>
  <sheetData>
    <row r="1" spans="1:1" x14ac:dyDescent="0.3">
      <c r="A1" t="s">
        <v>43</v>
      </c>
    </row>
    <row r="2" spans="1:1" x14ac:dyDescent="0.3">
      <c r="A2" t="s">
        <v>73</v>
      </c>
    </row>
    <row r="3" spans="1:1" x14ac:dyDescent="0.3">
      <c r="A3" t="s">
        <v>70</v>
      </c>
    </row>
    <row r="4" spans="1:1" x14ac:dyDescent="0.3">
      <c r="A4" t="s">
        <v>67</v>
      </c>
    </row>
    <row r="5" spans="1:1" x14ac:dyDescent="0.3">
      <c r="A5" t="s">
        <v>61</v>
      </c>
    </row>
    <row r="6" spans="1:1" x14ac:dyDescent="0.3">
      <c r="A6" t="s">
        <v>54</v>
      </c>
    </row>
    <row r="7" spans="1:1" x14ac:dyDescent="0.3">
      <c r="A7" t="s">
        <v>55</v>
      </c>
    </row>
    <row r="8" spans="1:1" x14ac:dyDescent="0.3">
      <c r="A8" t="s">
        <v>74</v>
      </c>
    </row>
    <row r="9" spans="1:1" x14ac:dyDescent="0.3">
      <c r="A9" t="s">
        <v>92</v>
      </c>
    </row>
    <row r="10" spans="1:1" x14ac:dyDescent="0.3">
      <c r="A10" t="s">
        <v>89</v>
      </c>
    </row>
    <row r="11" spans="1:1" x14ac:dyDescent="0.3">
      <c r="A11" t="s">
        <v>86</v>
      </c>
    </row>
    <row r="12" spans="1:1" x14ac:dyDescent="0.3">
      <c r="A12" t="s">
        <v>82</v>
      </c>
    </row>
    <row r="13" spans="1:1" x14ac:dyDescent="0.3">
      <c r="A13" t="s">
        <v>83</v>
      </c>
    </row>
    <row r="14" spans="1:1" x14ac:dyDescent="0.3">
      <c r="A14" t="s">
        <v>79</v>
      </c>
    </row>
    <row r="15" spans="1:1" x14ac:dyDescent="0.3">
      <c r="A15" t="s">
        <v>72</v>
      </c>
    </row>
    <row r="16" spans="1:1" x14ac:dyDescent="0.3">
      <c r="A16" t="s">
        <v>69</v>
      </c>
    </row>
    <row r="17" spans="1:1" x14ac:dyDescent="0.3">
      <c r="A17" t="s">
        <v>65</v>
      </c>
    </row>
    <row r="18" spans="1:1" x14ac:dyDescent="0.3">
      <c r="A18" t="s">
        <v>66</v>
      </c>
    </row>
    <row r="19" spans="1:1" x14ac:dyDescent="0.3">
      <c r="A19" t="s">
        <v>63</v>
      </c>
    </row>
    <row r="20" spans="1:1" x14ac:dyDescent="0.3">
      <c r="A20" t="s">
        <v>57</v>
      </c>
    </row>
    <row r="21" spans="1:1" x14ac:dyDescent="0.3">
      <c r="A21" t="s">
        <v>58</v>
      </c>
    </row>
    <row r="22" spans="1:1" x14ac:dyDescent="0.3">
      <c r="A22" t="s">
        <v>59</v>
      </c>
    </row>
    <row r="23" spans="1:1" x14ac:dyDescent="0.3">
      <c r="A23" t="s">
        <v>60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90</v>
      </c>
    </row>
    <row r="30" spans="1:1" x14ac:dyDescent="0.3">
      <c r="A30" t="s">
        <v>91</v>
      </c>
    </row>
    <row r="31" spans="1:1" x14ac:dyDescent="0.3">
      <c r="A31" t="s">
        <v>87</v>
      </c>
    </row>
    <row r="32" spans="1:1" x14ac:dyDescent="0.3">
      <c r="A32" t="s">
        <v>88</v>
      </c>
    </row>
    <row r="33" spans="1:1" x14ac:dyDescent="0.3">
      <c r="A33" t="s">
        <v>84</v>
      </c>
    </row>
    <row r="34" spans="1:1" x14ac:dyDescent="0.3">
      <c r="A34" t="s">
        <v>85</v>
      </c>
    </row>
    <row r="35" spans="1:1" x14ac:dyDescent="0.3">
      <c r="A35" t="s">
        <v>80</v>
      </c>
    </row>
    <row r="36" spans="1:1" x14ac:dyDescent="0.3">
      <c r="A36" t="s">
        <v>81</v>
      </c>
    </row>
    <row r="37" spans="1:1" x14ac:dyDescent="0.3">
      <c r="A37" t="s">
        <v>78</v>
      </c>
    </row>
    <row r="38" spans="1:1" x14ac:dyDescent="0.3">
      <c r="A38" t="s">
        <v>77</v>
      </c>
    </row>
    <row r="39" spans="1:1" x14ac:dyDescent="0.3">
      <c r="A39" t="s">
        <v>76</v>
      </c>
    </row>
    <row r="40" spans="1:1" x14ac:dyDescent="0.3">
      <c r="A40" t="s">
        <v>75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7</vt:i4>
      </vt:variant>
    </vt:vector>
  </HeadingPairs>
  <TitlesOfParts>
    <vt:vector size="18" baseType="lpstr">
      <vt:lpstr>Dashboard</vt:lpstr>
      <vt:lpstr>Spec_Binder</vt:lpstr>
      <vt:lpstr>Spec_Single_H&amp;S</vt:lpstr>
      <vt:lpstr>기준LAB</vt:lpstr>
      <vt:lpstr>코드목록</vt:lpstr>
      <vt:lpstr>Lot규칙_단일색</vt:lpstr>
      <vt:lpstr>Binder_Visc</vt:lpstr>
      <vt:lpstr>README</vt:lpstr>
      <vt:lpstr>바인더_제조_입고</vt:lpstr>
      <vt:lpstr>단일색_수입검사</vt:lpstr>
      <vt:lpstr>제품코드목록</vt:lpstr>
      <vt:lpstr>Black</vt:lpstr>
      <vt:lpstr>Blue</vt:lpstr>
      <vt:lpstr>Green</vt:lpstr>
      <vt:lpstr>Pink</vt:lpstr>
      <vt:lpstr>Red</vt:lpstr>
      <vt:lpstr>White</vt:lpstr>
      <vt:lpstr>Yellow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INTEROJO</cp:lastModifiedBy>
  <dcterms:created xsi:type="dcterms:W3CDTF">2025-11-14T03:13:02Z</dcterms:created>
  <dcterms:modified xsi:type="dcterms:W3CDTF">2026-01-09T07:30:35Z</dcterms:modified>
</cp:coreProperties>
</file>